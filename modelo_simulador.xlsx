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03569417\Downloads\"/>
    </mc:Choice>
  </mc:AlternateContent>
  <xr:revisionPtr revIDLastSave="0" documentId="13_ncr:1_{8BBC3B3B-4412-457D-A198-3B48FD8D78B7}" xr6:coauthVersionLast="47" xr6:coauthVersionMax="47" xr10:uidLastSave="{00000000-0000-0000-0000-000000000000}"/>
  <bookViews>
    <workbookView xWindow="-110" yWindow="-110" windowWidth="19420" windowHeight="10300" firstSheet="62" activeTab="64" xr2:uid="{00000000-000D-0000-FFFF-FFFF00000000}"/>
  </bookViews>
  <sheets>
    <sheet name="LEEME" sheetId="1" r:id="rId1"/>
    <sheet name="catalogos" sheetId="2" r:id="rId2"/>
    <sheet name="base_ni_ri_2030_2040" sheetId="3" r:id="rId3"/>
    <sheet name="equivalencias_promedio" sheetId="4" r:id="rId4"/>
    <sheet name="tasas_avance" sheetId="5" r:id="rId5"/>
    <sheet name="presencialidad_semestre" sheetId="6" r:id="rId6"/>
    <sheet name="distribucion_ri_semestre" sheetId="7" r:id="rId7"/>
    <sheet name="validaciones" sheetId="8" r:id="rId8"/>
    <sheet name="parametros_multicampus" sheetId="9" r:id="rId9"/>
    <sheet name="Maps bimestral" sheetId="10" r:id="rId10"/>
    <sheet name="Portafolio Actual" sheetId="11" r:id="rId11"/>
    <sheet name="Rutas enfoque" sheetId="12" r:id="rId12"/>
    <sheet name="aportacion_ni_programa" sheetId="13" r:id="rId13"/>
    <sheet name="rutas_por_programa" sheetId="14" r:id="rId14"/>
    <sheet name="carreras_nuevas_2027" sheetId="15" r:id="rId15"/>
    <sheet name="cierres_reales" sheetId="16" r:id="rId16"/>
    <sheet name="parametros_pos_ejec" sheetId="17" r:id="rId17"/>
    <sheet name="ni_bimestral_pos_ejec" sheetId="18" r:id="rId18"/>
    <sheet name="crecimiento_anual_pos_ejec" sheetId="19" r:id="rId19"/>
    <sheet name="reparto_periodos_pos_ejec" sheetId="20" r:id="rId20"/>
    <sheet name="tasas_ri_bimestre_pos_ejec" sheetId="21" r:id="rId21"/>
    <sheet name="stock_ri_agosto_2029" sheetId="22" r:id="rId22"/>
    <sheet name="LEEME_pos_ejec" sheetId="23" r:id="rId23"/>
    <sheet name="mt_agosto_real_pos_ejec" sheetId="24" r:id="rId24"/>
    <sheet name="stock_ri_periodo_pos_ejec" sheetId="25" r:id="rId25"/>
    <sheet name="mt_periodo_real_pos_ejec" sheetId="26" r:id="rId26"/>
    <sheet name="LEEME_v105_pos_ejec" sheetId="27" r:id="rId27"/>
    <sheet name="LEEME_v108_pos_ejec" sheetId="28" r:id="rId28"/>
    <sheet name="LEEME_v114_pos_ejec" sheetId="29" r:id="rId29"/>
    <sheet name="LEEME_v115_pos_ejec" sheetId="30" r:id="rId30"/>
    <sheet name="LEEME_v116_pos_ejec" sheetId="31" r:id="rId31"/>
    <sheet name="LEEME_v117_pos_ejec" sheetId="32" r:id="rId32"/>
    <sheet name="LEEME_v118_pos_ejec" sheetId="33" r:id="rId33"/>
    <sheet name="LEEME_v119_pos_ejec" sheetId="34" r:id="rId34"/>
    <sheet name="LEEME_v120_pos_ejec" sheetId="35" r:id="rId35"/>
    <sheet name="LEEME_v121_pos_ejec" sheetId="36" r:id="rId36"/>
    <sheet name="reparto_ni_anual_pos_ejec" sheetId="37" r:id="rId37"/>
    <sheet name="LEEME_v122_pos_ejec" sheetId="38" r:id="rId38"/>
    <sheet name="LEEME_v123_pos_ejec" sheetId="39" r:id="rId39"/>
    <sheet name="crecimiento_bloques_pos_ejec" sheetId="40" r:id="rId40"/>
    <sheet name="tetra_historica_pos_ejec" sheetId="41" r:id="rId41"/>
    <sheet name="LEEME_v124_pos_ejec" sheetId="42" r:id="rId42"/>
    <sheet name="LEEME_v125_pos_ejec" sheetId="43" r:id="rId43"/>
    <sheet name="pmp_mt_pos_ejec" sheetId="44" r:id="rId44"/>
    <sheet name="LEEME_v127_pos_ejec" sheetId="45" r:id="rId45"/>
    <sheet name="caso_base_fijo_3pct" sheetId="46" r:id="rId46"/>
    <sheet name="instrucciones_tasas_reales" sheetId="47" r:id="rId47"/>
    <sheet name="LEEME_v129_pos_ejec" sheetId="48" r:id="rId48"/>
    <sheet name="LEEME_v136_pos_ejec" sheetId="49" r:id="rId49"/>
    <sheet name="mt_pos_ejec" sheetId="50" r:id="rId50"/>
    <sheet name="LEEME_v137_pos_ejec" sheetId="51" r:id="rId51"/>
    <sheet name="internacional_base" sheetId="52" r:id="rId52"/>
    <sheet name="internacional_crecimiento" sheetId="53" r:id="rId53"/>
    <sheet name="LEEME_v138_pos_ejec" sheetId="54" r:id="rId54"/>
    <sheet name="internacional_bimestres" sheetId="55" r:id="rId55"/>
    <sheet name="LEEME_v139_internacional" sheetId="56" r:id="rId56"/>
    <sheet name="internacional_agosto" sheetId="57" r:id="rId57"/>
    <sheet name="caso_base_meta_2036" sheetId="58" r:id="rId58"/>
    <sheet name="espacio_connect" sheetId="59" r:id="rId59"/>
    <sheet name="LEEME_v140" sheetId="60" r:id="rId60"/>
    <sheet name="LEEME_v141" sheetId="61" r:id="rId61"/>
    <sheet name="caso_base_formato_v142" sheetId="62" r:id="rId62"/>
    <sheet name="LEEME_v142" sheetId="63" r:id="rId63"/>
    <sheet name="ri_bimestral_pos_ejec" sheetId="64" r:id="rId64"/>
    <sheet name="mt_tetra_historica_pos_ejec" sheetId="73" r:id="rId65"/>
    <sheet name="calculo_tetra_pmp_pos_ejec" sheetId="65" r:id="rId66"/>
    <sheet name="INSTRUCCIONES_captura_PMP_RI" sheetId="66" r:id="rId67"/>
    <sheet name="LEEME_v143_captura" sheetId="67" r:id="rId68"/>
    <sheet name="LEEME_v145" sheetId="68" r:id="rId69"/>
    <sheet name="LEEME_v146" sheetId="69" r:id="rId70"/>
    <sheet name="LEEME_v147" sheetId="70" r:id="rId71"/>
    <sheet name="LEEME_v150" sheetId="71" r:id="rId72"/>
    <sheet name="LEEME_v152" sheetId="72" r:id="rId73"/>
  </sheets>
  <definedNames>
    <definedName name="_xlnm._FilterDatabase" localSheetId="64" hidden="1">mt_tetra_historica_pos_ejec!$A$1:$E$25</definedName>
    <definedName name="_xlnm._FilterDatabase" localSheetId="17" hidden="1">ni_bimestral_pos_ejec!$A$1:$F$86</definedName>
    <definedName name="_xlnm._FilterDatabase" localSheetId="63" hidden="1">ri_bimestral_pos_ejec!$A$1:$G$81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65" l="1"/>
  <c r="J81" i="65" s="1"/>
  <c r="G81" i="65"/>
  <c r="F81" i="65"/>
  <c r="H80" i="65"/>
  <c r="J80" i="65" s="1"/>
  <c r="G80" i="65"/>
  <c r="F80" i="65"/>
  <c r="H79" i="65"/>
  <c r="J79" i="65" s="1"/>
  <c r="G79" i="65"/>
  <c r="F79" i="65"/>
  <c r="H78" i="65"/>
  <c r="J78" i="65" s="1"/>
  <c r="G78" i="65"/>
  <c r="F78" i="65"/>
  <c r="H77" i="65"/>
  <c r="J77" i="65" s="1"/>
  <c r="G77" i="65"/>
  <c r="F77" i="65"/>
  <c r="H76" i="65"/>
  <c r="J76" i="65" s="1"/>
  <c r="G76" i="65"/>
  <c r="F76" i="65"/>
  <c r="H75" i="65"/>
  <c r="J75" i="65" s="1"/>
  <c r="G75" i="65"/>
  <c r="F75" i="65"/>
  <c r="H74" i="65"/>
  <c r="J74" i="65" s="1"/>
  <c r="G74" i="65"/>
  <c r="F74" i="65"/>
  <c r="H73" i="65"/>
  <c r="J73" i="65" s="1"/>
  <c r="G73" i="65"/>
  <c r="F73" i="65"/>
  <c r="H72" i="65"/>
  <c r="J72" i="65" s="1"/>
  <c r="G72" i="65"/>
  <c r="F72" i="65"/>
  <c r="H71" i="65"/>
  <c r="J71" i="65" s="1"/>
  <c r="G71" i="65"/>
  <c r="F71" i="65"/>
  <c r="H70" i="65"/>
  <c r="I70" i="65" s="1"/>
  <c r="G70" i="65"/>
  <c r="F70" i="65"/>
  <c r="H69" i="65"/>
  <c r="J69" i="65" s="1"/>
  <c r="G69" i="65"/>
  <c r="F69" i="65"/>
  <c r="H68" i="65"/>
  <c r="J68" i="65" s="1"/>
  <c r="G68" i="65"/>
  <c r="F68" i="65"/>
  <c r="H67" i="65"/>
  <c r="J67" i="65" s="1"/>
  <c r="G67" i="65"/>
  <c r="F67" i="65"/>
  <c r="H66" i="65"/>
  <c r="G66" i="65"/>
  <c r="F66" i="65"/>
  <c r="H65" i="65"/>
  <c r="G65" i="65"/>
  <c r="F65" i="65"/>
  <c r="H64" i="65"/>
  <c r="G64" i="65"/>
  <c r="F64" i="65"/>
  <c r="H63" i="65"/>
  <c r="G63" i="65"/>
  <c r="F63" i="65"/>
  <c r="H62" i="65"/>
  <c r="G62" i="65"/>
  <c r="F62" i="65"/>
  <c r="H61" i="65"/>
  <c r="J61" i="65" s="1"/>
  <c r="G61" i="65"/>
  <c r="F61" i="65"/>
  <c r="H60" i="65"/>
  <c r="J60" i="65" s="1"/>
  <c r="G60" i="65"/>
  <c r="F60" i="65"/>
  <c r="H59" i="65"/>
  <c r="J59" i="65" s="1"/>
  <c r="G59" i="65"/>
  <c r="F59" i="65"/>
  <c r="H58" i="65"/>
  <c r="I58" i="65" s="1"/>
  <c r="G58" i="65"/>
  <c r="F58" i="65"/>
  <c r="H57" i="65"/>
  <c r="J57" i="65" s="1"/>
  <c r="G57" i="65"/>
  <c r="F57" i="65"/>
  <c r="H56" i="65"/>
  <c r="J56" i="65" s="1"/>
  <c r="G56" i="65"/>
  <c r="F56" i="65"/>
  <c r="H55" i="65"/>
  <c r="J55" i="65" s="1"/>
  <c r="G55" i="65"/>
  <c r="F55" i="65"/>
  <c r="H54" i="65"/>
  <c r="J54" i="65" s="1"/>
  <c r="G54" i="65"/>
  <c r="F54" i="65"/>
  <c r="H53" i="65"/>
  <c r="J53" i="65" s="1"/>
  <c r="G53" i="65"/>
  <c r="F53" i="65"/>
  <c r="H52" i="65"/>
  <c r="J52" i="65" s="1"/>
  <c r="G52" i="65"/>
  <c r="F52" i="65"/>
  <c r="H51" i="65"/>
  <c r="J51" i="65" s="1"/>
  <c r="G51" i="65"/>
  <c r="F51" i="65"/>
  <c r="H50" i="65"/>
  <c r="J50" i="65" s="1"/>
  <c r="G50" i="65"/>
  <c r="F50" i="65"/>
  <c r="H49" i="65"/>
  <c r="J49" i="65" s="1"/>
  <c r="G49" i="65"/>
  <c r="F49" i="65"/>
  <c r="H48" i="65"/>
  <c r="J48" i="65" s="1"/>
  <c r="G48" i="65"/>
  <c r="F48" i="65"/>
  <c r="H47" i="65"/>
  <c r="J47" i="65" s="1"/>
  <c r="G47" i="65"/>
  <c r="F47" i="65"/>
  <c r="H46" i="65"/>
  <c r="J46" i="65" s="1"/>
  <c r="G46" i="65"/>
  <c r="F46" i="65"/>
  <c r="H45" i="65"/>
  <c r="G45" i="65"/>
  <c r="F45" i="65"/>
  <c r="H44" i="65"/>
  <c r="G44" i="65"/>
  <c r="F44" i="65"/>
  <c r="H43" i="65"/>
  <c r="G43" i="65"/>
  <c r="F43" i="65"/>
  <c r="H42" i="65"/>
  <c r="G42" i="65"/>
  <c r="F42" i="65"/>
  <c r="H41" i="65"/>
  <c r="J41" i="65" s="1"/>
  <c r="G41" i="65"/>
  <c r="F41" i="65"/>
  <c r="H40" i="65"/>
  <c r="J40" i="65" s="1"/>
  <c r="G40" i="65"/>
  <c r="F40" i="65"/>
  <c r="H39" i="65"/>
  <c r="J39" i="65" s="1"/>
  <c r="G39" i="65"/>
  <c r="F39" i="65"/>
  <c r="H38" i="65"/>
  <c r="J38" i="65" s="1"/>
  <c r="G38" i="65"/>
  <c r="F38" i="65"/>
  <c r="H37" i="65"/>
  <c r="J37" i="65" s="1"/>
  <c r="G37" i="65"/>
  <c r="F37" i="65"/>
  <c r="H36" i="65"/>
  <c r="J36" i="65" s="1"/>
  <c r="G36" i="65"/>
  <c r="F36" i="65"/>
  <c r="H35" i="65"/>
  <c r="J35" i="65" s="1"/>
  <c r="G35" i="65"/>
  <c r="F35" i="65"/>
  <c r="H34" i="65"/>
  <c r="I34" i="65" s="1"/>
  <c r="G34" i="65"/>
  <c r="F34" i="65"/>
  <c r="H33" i="65"/>
  <c r="J33" i="65" s="1"/>
  <c r="G33" i="65"/>
  <c r="F33" i="65"/>
  <c r="H32" i="65"/>
  <c r="J32" i="65" s="1"/>
  <c r="G32" i="65"/>
  <c r="F32" i="65"/>
  <c r="H31" i="65"/>
  <c r="J31" i="65" s="1"/>
  <c r="G31" i="65"/>
  <c r="F31" i="65"/>
  <c r="H30" i="65"/>
  <c r="J30" i="65" s="1"/>
  <c r="G30" i="65"/>
  <c r="F30" i="65"/>
  <c r="H29" i="65"/>
  <c r="J29" i="65" s="1"/>
  <c r="G29" i="65"/>
  <c r="F29" i="65"/>
  <c r="H28" i="65"/>
  <c r="J28" i="65" s="1"/>
  <c r="G28" i="65"/>
  <c r="F28" i="65"/>
  <c r="H27" i="65"/>
  <c r="J27" i="65" s="1"/>
  <c r="G27" i="65"/>
  <c r="F27" i="65"/>
  <c r="H26" i="65"/>
  <c r="J26" i="65" s="1"/>
  <c r="G26" i="65"/>
  <c r="F26" i="65"/>
  <c r="H25" i="65"/>
  <c r="G25" i="65"/>
  <c r="F25" i="65"/>
  <c r="H24" i="65"/>
  <c r="G24" i="65"/>
  <c r="F24" i="65"/>
  <c r="H23" i="65"/>
  <c r="G23" i="65"/>
  <c r="F23" i="65"/>
  <c r="H22" i="65"/>
  <c r="G22" i="65"/>
  <c r="F22" i="65"/>
  <c r="H21" i="65"/>
  <c r="J21" i="65" s="1"/>
  <c r="G21" i="65"/>
  <c r="F21" i="65"/>
  <c r="H20" i="65"/>
  <c r="J20" i="65" s="1"/>
  <c r="G20" i="65"/>
  <c r="F20" i="65"/>
  <c r="H19" i="65"/>
  <c r="J19" i="65" s="1"/>
  <c r="G19" i="65"/>
  <c r="F19" i="65"/>
  <c r="H18" i="65"/>
  <c r="J18" i="65" s="1"/>
  <c r="G18" i="65"/>
  <c r="F18" i="65"/>
  <c r="H17" i="65"/>
  <c r="J17" i="65" s="1"/>
  <c r="G17" i="65"/>
  <c r="F17" i="65"/>
  <c r="H16" i="65"/>
  <c r="J16" i="65" s="1"/>
  <c r="G16" i="65"/>
  <c r="F16" i="65"/>
  <c r="H15" i="65"/>
  <c r="G15" i="65"/>
  <c r="F15" i="65"/>
  <c r="H14" i="65"/>
  <c r="J14" i="65" s="1"/>
  <c r="G14" i="65"/>
  <c r="F14" i="65"/>
  <c r="H13" i="65"/>
  <c r="J13" i="65" s="1"/>
  <c r="G13" i="65"/>
  <c r="F13" i="65"/>
  <c r="H12" i="65"/>
  <c r="J12" i="65" s="1"/>
  <c r="G12" i="65"/>
  <c r="F12" i="65"/>
  <c r="H11" i="65"/>
  <c r="G11" i="65"/>
  <c r="F11" i="65"/>
  <c r="H10" i="65"/>
  <c r="G10" i="65"/>
  <c r="F10" i="65"/>
  <c r="H9" i="65"/>
  <c r="J9" i="65" s="1"/>
  <c r="G9" i="65"/>
  <c r="F9" i="65"/>
  <c r="H8" i="65"/>
  <c r="J8" i="65" s="1"/>
  <c r="G8" i="65"/>
  <c r="F8" i="65"/>
  <c r="H7" i="65"/>
  <c r="G7" i="65"/>
  <c r="F7" i="65"/>
  <c r="H6" i="65"/>
  <c r="J6" i="65" s="1"/>
  <c r="G6" i="65"/>
  <c r="F6" i="65"/>
  <c r="H5" i="65"/>
  <c r="G5" i="65"/>
  <c r="F5" i="65"/>
  <c r="H4" i="65"/>
  <c r="G4" i="65"/>
  <c r="F4" i="65"/>
  <c r="H3" i="65"/>
  <c r="G3" i="65"/>
  <c r="F3" i="65"/>
  <c r="H2" i="65"/>
  <c r="G2" i="65"/>
  <c r="F2" i="65"/>
  <c r="C21" i="57"/>
  <c r="C20" i="57"/>
  <c r="C19" i="57"/>
  <c r="C18" i="57"/>
  <c r="C17" i="57"/>
  <c r="C16" i="57"/>
  <c r="E15" i="57"/>
  <c r="C15" i="57"/>
  <c r="C14" i="57"/>
  <c r="D13" i="57"/>
  <c r="C13" i="57"/>
  <c r="F12" i="57"/>
  <c r="E12" i="57"/>
  <c r="E13" i="57" s="1"/>
  <c r="E14" i="57" s="1"/>
  <c r="D12" i="57"/>
  <c r="C12" i="57"/>
  <c r="E11" i="57"/>
  <c r="D11" i="57"/>
  <c r="F11" i="57" s="1"/>
  <c r="C11" i="57"/>
  <c r="F10" i="57"/>
  <c r="E10" i="57"/>
  <c r="G10" i="57" s="1"/>
  <c r="D10" i="57"/>
  <c r="C10" i="57"/>
  <c r="F9" i="57"/>
  <c r="E9" i="57"/>
  <c r="G9" i="57" s="1"/>
  <c r="H9" i="57" s="1"/>
  <c r="D9" i="57"/>
  <c r="C9" i="57"/>
  <c r="G8" i="57"/>
  <c r="E8" i="57"/>
  <c r="D8" i="57"/>
  <c r="F8" i="57" s="1"/>
  <c r="H8" i="57" s="1"/>
  <c r="C8" i="57"/>
  <c r="E7" i="57"/>
  <c r="D7" i="57"/>
  <c r="F7" i="57" s="1"/>
  <c r="C7" i="57"/>
  <c r="E6" i="57"/>
  <c r="D6" i="57"/>
  <c r="F6" i="57" s="1"/>
  <c r="C6" i="57"/>
  <c r="H5" i="57"/>
  <c r="G5" i="57"/>
  <c r="F5" i="57"/>
  <c r="E5" i="57"/>
  <c r="D5" i="57"/>
  <c r="C5" i="57"/>
  <c r="F4" i="57"/>
  <c r="E4" i="57"/>
  <c r="D4" i="57"/>
  <c r="C4" i="57"/>
  <c r="E3" i="57"/>
  <c r="D3" i="57"/>
  <c r="F3" i="57" s="1"/>
  <c r="C3" i="57"/>
  <c r="G2" i="57"/>
  <c r="F2" i="57"/>
  <c r="E2" i="57"/>
  <c r="D2" i="57"/>
  <c r="C2" i="57"/>
  <c r="C12" i="52"/>
  <c r="C11" i="52"/>
  <c r="C10" i="52"/>
  <c r="C9" i="52"/>
  <c r="C8" i="52"/>
  <c r="C7" i="52"/>
  <c r="C6" i="52"/>
  <c r="C5" i="52"/>
  <c r="C4" i="52"/>
  <c r="C3" i="52"/>
  <c r="C2" i="52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H979" i="3"/>
  <c r="I979" i="3" s="1"/>
  <c r="H978" i="3"/>
  <c r="I978" i="3" s="1"/>
  <c r="H977" i="3"/>
  <c r="I977" i="3" s="1"/>
  <c r="I976" i="3"/>
  <c r="H976" i="3"/>
  <c r="I975" i="3"/>
  <c r="H975" i="3"/>
  <c r="I974" i="3"/>
  <c r="H974" i="3"/>
  <c r="I973" i="3"/>
  <c r="H973" i="3"/>
  <c r="H972" i="3"/>
  <c r="I972" i="3" s="1"/>
  <c r="H971" i="3"/>
  <c r="I971" i="3" s="1"/>
  <c r="H970" i="3"/>
  <c r="I970" i="3" s="1"/>
  <c r="H969" i="3"/>
  <c r="I969" i="3" s="1"/>
  <c r="H968" i="3"/>
  <c r="I968" i="3" s="1"/>
  <c r="H967" i="3"/>
  <c r="I967" i="3" s="1"/>
  <c r="H966" i="3"/>
  <c r="I966" i="3" s="1"/>
  <c r="I965" i="3"/>
  <c r="H965" i="3"/>
  <c r="I964" i="3"/>
  <c r="H964" i="3"/>
  <c r="I963" i="3"/>
  <c r="H963" i="3"/>
  <c r="H962" i="3"/>
  <c r="I962" i="3" s="1"/>
  <c r="H961" i="3"/>
  <c r="I961" i="3" s="1"/>
  <c r="H960" i="3"/>
  <c r="I960" i="3" s="1"/>
  <c r="I959" i="3"/>
  <c r="H959" i="3"/>
  <c r="H958" i="3"/>
  <c r="I958" i="3" s="1"/>
  <c r="H957" i="3"/>
  <c r="I957" i="3" s="1"/>
  <c r="H956" i="3"/>
  <c r="I956" i="3" s="1"/>
  <c r="I955" i="3"/>
  <c r="H955" i="3"/>
  <c r="I954" i="3"/>
  <c r="H954" i="3"/>
  <c r="I953" i="3"/>
  <c r="H953" i="3"/>
  <c r="H952" i="3"/>
  <c r="I952" i="3" s="1"/>
  <c r="I951" i="3"/>
  <c r="H951" i="3"/>
  <c r="H950" i="3"/>
  <c r="I950" i="3" s="1"/>
  <c r="I949" i="3"/>
  <c r="H949" i="3"/>
  <c r="I948" i="3"/>
  <c r="H948" i="3"/>
  <c r="H947" i="3"/>
  <c r="I947" i="3" s="1"/>
  <c r="H946" i="3"/>
  <c r="I946" i="3" s="1"/>
  <c r="I945" i="3"/>
  <c r="H945" i="3"/>
  <c r="H944" i="3"/>
  <c r="I944" i="3" s="1"/>
  <c r="I943" i="3"/>
  <c r="H943" i="3"/>
  <c r="H942" i="3"/>
  <c r="I942" i="3" s="1"/>
  <c r="H941" i="3"/>
  <c r="I941" i="3" s="1"/>
  <c r="H940" i="3"/>
  <c r="I940" i="3" s="1"/>
  <c r="H939" i="3"/>
  <c r="I939" i="3" s="1"/>
  <c r="I938" i="3"/>
  <c r="H938" i="3"/>
  <c r="I937" i="3"/>
  <c r="H937" i="3"/>
  <c r="H936" i="3"/>
  <c r="I936" i="3" s="1"/>
  <c r="I935" i="3"/>
  <c r="H935" i="3"/>
  <c r="H934" i="3"/>
  <c r="I934" i="3" s="1"/>
  <c r="I933" i="3"/>
  <c r="H933" i="3"/>
  <c r="H932" i="3"/>
  <c r="I932" i="3" s="1"/>
  <c r="H931" i="3"/>
  <c r="I931" i="3" s="1"/>
  <c r="H930" i="3"/>
  <c r="I930" i="3" s="1"/>
  <c r="I929" i="3"/>
  <c r="H929" i="3"/>
  <c r="H928" i="3"/>
  <c r="I928" i="3" s="1"/>
  <c r="I927" i="3"/>
  <c r="H927" i="3"/>
  <c r="I926" i="3"/>
  <c r="H926" i="3"/>
  <c r="I925" i="3"/>
  <c r="H925" i="3"/>
  <c r="H924" i="3"/>
  <c r="I924" i="3" s="1"/>
  <c r="I923" i="3"/>
  <c r="H923" i="3"/>
  <c r="H922" i="3"/>
  <c r="I922" i="3" s="1"/>
  <c r="I921" i="3"/>
  <c r="H921" i="3"/>
  <c r="H920" i="3"/>
  <c r="I920" i="3" s="1"/>
  <c r="I919" i="3"/>
  <c r="H919" i="3"/>
  <c r="I918" i="3"/>
  <c r="H918" i="3"/>
  <c r="H917" i="3"/>
  <c r="I917" i="3" s="1"/>
  <c r="I916" i="3"/>
  <c r="H916" i="3"/>
  <c r="I915" i="3"/>
  <c r="H915" i="3"/>
  <c r="H914" i="3"/>
  <c r="I914" i="3" s="1"/>
  <c r="I913" i="3"/>
  <c r="H913" i="3"/>
  <c r="H912" i="3"/>
  <c r="I912" i="3" s="1"/>
  <c r="H911" i="3"/>
  <c r="I911" i="3" s="1"/>
  <c r="H910" i="3"/>
  <c r="I910" i="3" s="1"/>
  <c r="I909" i="3"/>
  <c r="H909" i="3"/>
  <c r="I908" i="3"/>
  <c r="H908" i="3"/>
  <c r="I907" i="3"/>
  <c r="H907" i="3"/>
  <c r="H906" i="3"/>
  <c r="I906" i="3" s="1"/>
  <c r="I905" i="3"/>
  <c r="H905" i="3"/>
  <c r="I904" i="3"/>
  <c r="H904" i="3"/>
  <c r="I903" i="3"/>
  <c r="H903" i="3"/>
  <c r="H902" i="3"/>
  <c r="I902" i="3" s="1"/>
  <c r="H901" i="3"/>
  <c r="I901" i="3" s="1"/>
  <c r="H900" i="3"/>
  <c r="I900" i="3" s="1"/>
  <c r="H899" i="3"/>
  <c r="I899" i="3" s="1"/>
  <c r="I898" i="3"/>
  <c r="H898" i="3"/>
  <c r="I897" i="3"/>
  <c r="H897" i="3"/>
  <c r="I896" i="3"/>
  <c r="H896" i="3"/>
  <c r="I895" i="3"/>
  <c r="H895" i="3"/>
  <c r="I894" i="3"/>
  <c r="H894" i="3"/>
  <c r="I893" i="3"/>
  <c r="H893" i="3"/>
  <c r="H892" i="3"/>
  <c r="I892" i="3" s="1"/>
  <c r="H891" i="3"/>
  <c r="I891" i="3" s="1"/>
  <c r="H890" i="3"/>
  <c r="I890" i="3" s="1"/>
  <c r="H889" i="3"/>
  <c r="I889" i="3" s="1"/>
  <c r="H888" i="3"/>
  <c r="I888" i="3" s="1"/>
  <c r="I887" i="3"/>
  <c r="H887" i="3"/>
  <c r="I886" i="3"/>
  <c r="H886" i="3"/>
  <c r="I885" i="3"/>
  <c r="H885" i="3"/>
  <c r="H884" i="3"/>
  <c r="I884" i="3" s="1"/>
  <c r="I883" i="3"/>
  <c r="H883" i="3"/>
  <c r="I882" i="3"/>
  <c r="H882" i="3"/>
  <c r="H881" i="3"/>
  <c r="I881" i="3" s="1"/>
  <c r="H880" i="3"/>
  <c r="I880" i="3" s="1"/>
  <c r="H879" i="3"/>
  <c r="I879" i="3" s="1"/>
  <c r="H878" i="3"/>
  <c r="I878" i="3" s="1"/>
  <c r="I877" i="3"/>
  <c r="H877" i="3"/>
  <c r="H876" i="3"/>
  <c r="I876" i="3" s="1"/>
  <c r="I875" i="3"/>
  <c r="H875" i="3"/>
  <c r="I874" i="3"/>
  <c r="H874" i="3"/>
  <c r="I873" i="3"/>
  <c r="H873" i="3"/>
  <c r="H872" i="3"/>
  <c r="I872" i="3" s="1"/>
  <c r="H871" i="3"/>
  <c r="I871" i="3" s="1"/>
  <c r="H870" i="3"/>
  <c r="I870" i="3" s="1"/>
  <c r="H869" i="3"/>
  <c r="I869" i="3" s="1"/>
  <c r="H868" i="3"/>
  <c r="I868" i="3" s="1"/>
  <c r="H867" i="3"/>
  <c r="I867" i="3" s="1"/>
  <c r="I866" i="3"/>
  <c r="H866" i="3"/>
  <c r="I865" i="3"/>
  <c r="H865" i="3"/>
  <c r="I864" i="3"/>
  <c r="H864" i="3"/>
  <c r="I863" i="3"/>
  <c r="H863" i="3"/>
  <c r="I862" i="3"/>
  <c r="H862" i="3"/>
  <c r="I861" i="3"/>
  <c r="H861" i="3"/>
  <c r="H860" i="3"/>
  <c r="I860" i="3" s="1"/>
  <c r="H859" i="3"/>
  <c r="I859" i="3" s="1"/>
  <c r="H858" i="3"/>
  <c r="I858" i="3" s="1"/>
  <c r="H857" i="3"/>
  <c r="I857" i="3" s="1"/>
  <c r="I856" i="3"/>
  <c r="H856" i="3"/>
  <c r="I855" i="3"/>
  <c r="H855" i="3"/>
  <c r="H854" i="3"/>
  <c r="I854" i="3" s="1"/>
  <c r="I853" i="3"/>
  <c r="H853" i="3"/>
  <c r="H852" i="3"/>
  <c r="I852" i="3" s="1"/>
  <c r="H851" i="3"/>
  <c r="I851" i="3" s="1"/>
  <c r="H850" i="3"/>
  <c r="I850" i="3" s="1"/>
  <c r="H849" i="3"/>
  <c r="I849" i="3" s="1"/>
  <c r="H848" i="3"/>
  <c r="I848" i="3" s="1"/>
  <c r="H847" i="3"/>
  <c r="I847" i="3" s="1"/>
  <c r="H846" i="3"/>
  <c r="I846" i="3" s="1"/>
  <c r="I845" i="3"/>
  <c r="H845" i="3"/>
  <c r="I844" i="3"/>
  <c r="H844" i="3"/>
  <c r="I843" i="3"/>
  <c r="H843" i="3"/>
  <c r="H842" i="3"/>
  <c r="I842" i="3" s="1"/>
  <c r="I841" i="3"/>
  <c r="H841" i="3"/>
  <c r="H840" i="3"/>
  <c r="I840" i="3" s="1"/>
  <c r="H839" i="3"/>
  <c r="I839" i="3" s="1"/>
  <c r="H838" i="3"/>
  <c r="I838" i="3" s="1"/>
  <c r="H837" i="3"/>
  <c r="I837" i="3" s="1"/>
  <c r="H836" i="3"/>
  <c r="I836" i="3" s="1"/>
  <c r="I835" i="3"/>
  <c r="H835" i="3"/>
  <c r="H834" i="3"/>
  <c r="I834" i="3" s="1"/>
  <c r="I833" i="3"/>
  <c r="H833" i="3"/>
  <c r="I832" i="3"/>
  <c r="H832" i="3"/>
  <c r="H831" i="3"/>
  <c r="I831" i="3" s="1"/>
  <c r="H830" i="3"/>
  <c r="I830" i="3" s="1"/>
  <c r="I829" i="3"/>
  <c r="H829" i="3"/>
  <c r="H828" i="3"/>
  <c r="I828" i="3" s="1"/>
  <c r="H827" i="3"/>
  <c r="I827" i="3" s="1"/>
  <c r="H826" i="3"/>
  <c r="I826" i="3" s="1"/>
  <c r="I825" i="3"/>
  <c r="H825" i="3"/>
  <c r="I824" i="3"/>
  <c r="H824" i="3"/>
  <c r="I823" i="3"/>
  <c r="H823" i="3"/>
  <c r="I822" i="3"/>
  <c r="H822" i="3"/>
  <c r="H821" i="3"/>
  <c r="I821" i="3" s="1"/>
  <c r="H820" i="3"/>
  <c r="I820" i="3" s="1"/>
  <c r="H819" i="3"/>
  <c r="I819" i="3" s="1"/>
  <c r="H818" i="3"/>
  <c r="I818" i="3" s="1"/>
  <c r="H817" i="3"/>
  <c r="I817" i="3" s="1"/>
  <c r="H816" i="3"/>
  <c r="I816" i="3" s="1"/>
  <c r="I815" i="3"/>
  <c r="H815" i="3"/>
  <c r="I814" i="3"/>
  <c r="H814" i="3"/>
  <c r="I813" i="3"/>
  <c r="H813" i="3"/>
  <c r="H812" i="3"/>
  <c r="I812" i="3" s="1"/>
  <c r="I811" i="3"/>
  <c r="H811" i="3"/>
  <c r="H810" i="3"/>
  <c r="I810" i="3" s="1"/>
  <c r="I809" i="3"/>
  <c r="H809" i="3"/>
  <c r="I808" i="3"/>
  <c r="H808" i="3"/>
  <c r="H807" i="3"/>
  <c r="I807" i="3" s="1"/>
  <c r="H806" i="3"/>
  <c r="I806" i="3" s="1"/>
  <c r="I805" i="3"/>
  <c r="H805" i="3"/>
  <c r="H804" i="3"/>
  <c r="I804" i="3" s="1"/>
  <c r="I803" i="3"/>
  <c r="H803" i="3"/>
  <c r="I802" i="3"/>
  <c r="H802" i="3"/>
  <c r="I801" i="3"/>
  <c r="H801" i="3"/>
  <c r="H800" i="3"/>
  <c r="I800" i="3" s="1"/>
  <c r="H799" i="3"/>
  <c r="I799" i="3" s="1"/>
  <c r="H798" i="3"/>
  <c r="I798" i="3" s="1"/>
  <c r="H797" i="3"/>
  <c r="I797" i="3" s="1"/>
  <c r="H796" i="3"/>
  <c r="I796" i="3" s="1"/>
  <c r="I795" i="3"/>
  <c r="H795" i="3"/>
  <c r="I794" i="3"/>
  <c r="H794" i="3"/>
  <c r="I793" i="3"/>
  <c r="H793" i="3"/>
  <c r="H792" i="3"/>
  <c r="I792" i="3" s="1"/>
  <c r="H791" i="3"/>
  <c r="I791" i="3" s="1"/>
  <c r="H790" i="3"/>
  <c r="I790" i="3" s="1"/>
  <c r="H789" i="3"/>
  <c r="I789" i="3" s="1"/>
  <c r="I788" i="3"/>
  <c r="H788" i="3"/>
  <c r="I787" i="3"/>
  <c r="H787" i="3"/>
  <c r="H786" i="3"/>
  <c r="I786" i="3" s="1"/>
  <c r="I785" i="3"/>
  <c r="H785" i="3"/>
  <c r="H784" i="3"/>
  <c r="I784" i="3" s="1"/>
  <c r="I783" i="3"/>
  <c r="H783" i="3"/>
  <c r="I782" i="3"/>
  <c r="H782" i="3"/>
  <c r="I781" i="3"/>
  <c r="H781" i="3"/>
  <c r="H780" i="3"/>
  <c r="I780" i="3" s="1"/>
  <c r="I779" i="3"/>
  <c r="H779" i="3"/>
  <c r="H778" i="3"/>
  <c r="I778" i="3" s="1"/>
  <c r="H777" i="3"/>
  <c r="I777" i="3" s="1"/>
  <c r="H776" i="3"/>
  <c r="I776" i="3" s="1"/>
  <c r="I775" i="3"/>
  <c r="H775" i="3"/>
  <c r="H774" i="3"/>
  <c r="I774" i="3" s="1"/>
  <c r="I773" i="3"/>
  <c r="H773" i="3"/>
  <c r="I772" i="3"/>
  <c r="H772" i="3"/>
  <c r="H771" i="3"/>
  <c r="I771" i="3" s="1"/>
  <c r="H770" i="3"/>
  <c r="I770" i="3" s="1"/>
  <c r="I769" i="3"/>
  <c r="H769" i="3"/>
  <c r="H768" i="3"/>
  <c r="I768" i="3" s="1"/>
  <c r="I767" i="3"/>
  <c r="H767" i="3"/>
  <c r="I766" i="3"/>
  <c r="H766" i="3"/>
  <c r="I765" i="3"/>
  <c r="H765" i="3"/>
  <c r="H764" i="3"/>
  <c r="I764" i="3" s="1"/>
  <c r="I763" i="3"/>
  <c r="H763" i="3"/>
  <c r="H762" i="3"/>
  <c r="I762" i="3" s="1"/>
  <c r="I761" i="3"/>
  <c r="H761" i="3"/>
  <c r="H760" i="3"/>
  <c r="I760" i="3" s="1"/>
  <c r="H759" i="3"/>
  <c r="I759" i="3" s="1"/>
  <c r="I758" i="3"/>
  <c r="H758" i="3"/>
  <c r="H757" i="3"/>
  <c r="I757" i="3" s="1"/>
  <c r="H756" i="3"/>
  <c r="I756" i="3" s="1"/>
  <c r="I755" i="3"/>
  <c r="H755" i="3"/>
  <c r="H754" i="3"/>
  <c r="I754" i="3" s="1"/>
  <c r="I753" i="3"/>
  <c r="H753" i="3"/>
  <c r="H752" i="3"/>
  <c r="I752" i="3" s="1"/>
  <c r="I751" i="3"/>
  <c r="H751" i="3"/>
  <c r="H750" i="3"/>
  <c r="I750" i="3" s="1"/>
  <c r="I749" i="3"/>
  <c r="H749" i="3"/>
  <c r="I748" i="3"/>
  <c r="H748" i="3"/>
  <c r="H747" i="3"/>
  <c r="I747" i="3" s="1"/>
  <c r="I746" i="3"/>
  <c r="H746" i="3"/>
  <c r="I745" i="3"/>
  <c r="H745" i="3"/>
  <c r="H744" i="3"/>
  <c r="I744" i="3" s="1"/>
  <c r="I743" i="3"/>
  <c r="H743" i="3"/>
  <c r="H742" i="3"/>
  <c r="I742" i="3" s="1"/>
  <c r="I741" i="3"/>
  <c r="H741" i="3"/>
  <c r="H740" i="3"/>
  <c r="I740" i="3" s="1"/>
  <c r="H739" i="3"/>
  <c r="I739" i="3" s="1"/>
  <c r="H738" i="3"/>
  <c r="I738" i="3" s="1"/>
  <c r="I737" i="3"/>
  <c r="H737" i="3"/>
  <c r="H736" i="3"/>
  <c r="I736" i="3" s="1"/>
  <c r="I735" i="3"/>
  <c r="H735" i="3"/>
  <c r="H734" i="3"/>
  <c r="I734" i="3" s="1"/>
  <c r="I733" i="3"/>
  <c r="H733" i="3"/>
  <c r="H732" i="3"/>
  <c r="I732" i="3" s="1"/>
  <c r="I731" i="3"/>
  <c r="H731" i="3"/>
  <c r="H730" i="3"/>
  <c r="I730" i="3" s="1"/>
  <c r="I729" i="3"/>
  <c r="H729" i="3"/>
  <c r="I728" i="3"/>
  <c r="H728" i="3"/>
  <c r="I727" i="3"/>
  <c r="H727" i="3"/>
  <c r="H726" i="3"/>
  <c r="I726" i="3" s="1"/>
  <c r="I725" i="3"/>
  <c r="H725" i="3"/>
  <c r="I724" i="3"/>
  <c r="H724" i="3"/>
  <c r="I723" i="3"/>
  <c r="H723" i="3"/>
  <c r="H722" i="3"/>
  <c r="I722" i="3" s="1"/>
  <c r="H721" i="3"/>
  <c r="I721" i="3" s="1"/>
  <c r="H720" i="3"/>
  <c r="I720" i="3" s="1"/>
  <c r="I719" i="3"/>
  <c r="H719" i="3"/>
  <c r="H718" i="3"/>
  <c r="I718" i="3" s="1"/>
  <c r="H717" i="3"/>
  <c r="I717" i="3" s="1"/>
  <c r="I716" i="3"/>
  <c r="H716" i="3"/>
  <c r="I715" i="3"/>
  <c r="H715" i="3"/>
  <c r="H714" i="3"/>
  <c r="I714" i="3" s="1"/>
  <c r="I713" i="3"/>
  <c r="H713" i="3"/>
  <c r="H712" i="3"/>
  <c r="I712" i="3" s="1"/>
  <c r="H711" i="3"/>
  <c r="I711" i="3" s="1"/>
  <c r="H710" i="3"/>
  <c r="I710" i="3" s="1"/>
  <c r="H709" i="3"/>
  <c r="I709" i="3" s="1"/>
  <c r="I708" i="3"/>
  <c r="H708" i="3"/>
  <c r="I707" i="3"/>
  <c r="H707" i="3"/>
  <c r="I706" i="3"/>
  <c r="H706" i="3"/>
  <c r="I705" i="3"/>
  <c r="H705" i="3"/>
  <c r="I704" i="3"/>
  <c r="H704" i="3"/>
  <c r="I703" i="3"/>
  <c r="H703" i="3"/>
  <c r="H702" i="3"/>
  <c r="I702" i="3" s="1"/>
  <c r="H701" i="3"/>
  <c r="I701" i="3" s="1"/>
  <c r="H700" i="3"/>
  <c r="I700" i="3" s="1"/>
  <c r="I699" i="3"/>
  <c r="H699" i="3"/>
  <c r="I698" i="3"/>
  <c r="H698" i="3"/>
  <c r="H697" i="3"/>
  <c r="I697" i="3" s="1"/>
  <c r="H696" i="3"/>
  <c r="I696" i="3" s="1"/>
  <c r="I695" i="3"/>
  <c r="H695" i="3"/>
  <c r="H694" i="3"/>
  <c r="I694" i="3" s="1"/>
  <c r="I693" i="3"/>
  <c r="H693" i="3"/>
  <c r="H692" i="3"/>
  <c r="I692" i="3" s="1"/>
  <c r="H691" i="3"/>
  <c r="I691" i="3" s="1"/>
  <c r="H690" i="3"/>
  <c r="I690" i="3" s="1"/>
  <c r="I689" i="3"/>
  <c r="H689" i="3"/>
  <c r="H688" i="3"/>
  <c r="I688" i="3" s="1"/>
  <c r="I687" i="3"/>
  <c r="H687" i="3"/>
  <c r="I686" i="3"/>
  <c r="H686" i="3"/>
  <c r="I685" i="3"/>
  <c r="H685" i="3"/>
  <c r="H684" i="3"/>
  <c r="I684" i="3" s="1"/>
  <c r="I683" i="3"/>
  <c r="H683" i="3"/>
  <c r="I682" i="3"/>
  <c r="H682" i="3"/>
  <c r="H681" i="3"/>
  <c r="I681" i="3" s="1"/>
  <c r="H680" i="3"/>
  <c r="I680" i="3" s="1"/>
  <c r="H679" i="3"/>
  <c r="I679" i="3" s="1"/>
  <c r="H678" i="3"/>
  <c r="I678" i="3" s="1"/>
  <c r="I677" i="3"/>
  <c r="H677" i="3"/>
  <c r="H676" i="3"/>
  <c r="I676" i="3" s="1"/>
  <c r="I675" i="3"/>
  <c r="H675" i="3"/>
  <c r="I674" i="3"/>
  <c r="H674" i="3"/>
  <c r="I673" i="3"/>
  <c r="H673" i="3"/>
  <c r="H672" i="3"/>
  <c r="I672" i="3" s="1"/>
  <c r="H671" i="3"/>
  <c r="I671" i="3" s="1"/>
  <c r="H670" i="3"/>
  <c r="I670" i="3" s="1"/>
  <c r="H669" i="3"/>
  <c r="I669" i="3" s="1"/>
  <c r="H668" i="3"/>
  <c r="I668" i="3" s="1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H660" i="3"/>
  <c r="I660" i="3" s="1"/>
  <c r="H659" i="3"/>
  <c r="I659" i="3" s="1"/>
  <c r="H658" i="3"/>
  <c r="I658" i="3" s="1"/>
  <c r="H657" i="3"/>
  <c r="I657" i="3" s="1"/>
  <c r="I656" i="3"/>
  <c r="H656" i="3"/>
  <c r="I655" i="3"/>
  <c r="H655" i="3"/>
  <c r="H654" i="3"/>
  <c r="I654" i="3" s="1"/>
  <c r="I653" i="3"/>
  <c r="H653" i="3"/>
  <c r="H652" i="3"/>
  <c r="I652" i="3" s="1"/>
  <c r="H651" i="3"/>
  <c r="I651" i="3" s="1"/>
  <c r="H650" i="3"/>
  <c r="I650" i="3" s="1"/>
  <c r="H649" i="3"/>
  <c r="I649" i="3" s="1"/>
  <c r="H648" i="3"/>
  <c r="I648" i="3" s="1"/>
  <c r="I647" i="3"/>
  <c r="H647" i="3"/>
  <c r="H646" i="3"/>
  <c r="I646" i="3" s="1"/>
  <c r="I645" i="3"/>
  <c r="H645" i="3"/>
  <c r="I644" i="3"/>
  <c r="H644" i="3"/>
  <c r="I643" i="3"/>
  <c r="H643" i="3"/>
  <c r="H642" i="3"/>
  <c r="I642" i="3" s="1"/>
  <c r="I641" i="3"/>
  <c r="H641" i="3"/>
  <c r="H640" i="3"/>
  <c r="I640" i="3" s="1"/>
  <c r="H639" i="3"/>
  <c r="I639" i="3" s="1"/>
  <c r="H638" i="3"/>
  <c r="I638" i="3" s="1"/>
  <c r="H637" i="3"/>
  <c r="I637" i="3" s="1"/>
  <c r="H636" i="3"/>
  <c r="I636" i="3" s="1"/>
  <c r="I635" i="3"/>
  <c r="H635" i="3"/>
  <c r="H634" i="3"/>
  <c r="I634" i="3" s="1"/>
  <c r="I633" i="3"/>
  <c r="H633" i="3"/>
  <c r="I632" i="3"/>
  <c r="H632" i="3"/>
  <c r="H631" i="3"/>
  <c r="I631" i="3" s="1"/>
  <c r="H630" i="3"/>
  <c r="I630" i="3" s="1"/>
  <c r="I629" i="3"/>
  <c r="H629" i="3"/>
  <c r="H628" i="3"/>
  <c r="I628" i="3" s="1"/>
  <c r="H627" i="3"/>
  <c r="I627" i="3" s="1"/>
  <c r="H626" i="3"/>
  <c r="I626" i="3" s="1"/>
  <c r="I625" i="3"/>
  <c r="H625" i="3"/>
  <c r="I624" i="3"/>
  <c r="H624" i="3"/>
  <c r="I623" i="3"/>
  <c r="H623" i="3"/>
  <c r="I622" i="3"/>
  <c r="H622" i="3"/>
  <c r="H621" i="3"/>
  <c r="I621" i="3" s="1"/>
  <c r="H620" i="3"/>
  <c r="I620" i="3" s="1"/>
  <c r="H619" i="3"/>
  <c r="I619" i="3" s="1"/>
  <c r="H618" i="3"/>
  <c r="I618" i="3" s="1"/>
  <c r="H617" i="3"/>
  <c r="I617" i="3" s="1"/>
  <c r="H616" i="3"/>
  <c r="I616" i="3" s="1"/>
  <c r="I615" i="3"/>
  <c r="H615" i="3"/>
  <c r="I614" i="3"/>
  <c r="H614" i="3"/>
  <c r="I613" i="3"/>
  <c r="H613" i="3"/>
  <c r="H612" i="3"/>
  <c r="I612" i="3" s="1"/>
  <c r="I611" i="3"/>
  <c r="H611" i="3"/>
  <c r="H610" i="3"/>
  <c r="I610" i="3" s="1"/>
  <c r="I609" i="3"/>
  <c r="H609" i="3"/>
  <c r="I608" i="3"/>
  <c r="H608" i="3"/>
  <c r="H607" i="3"/>
  <c r="I607" i="3" s="1"/>
  <c r="H606" i="3"/>
  <c r="I606" i="3" s="1"/>
  <c r="I605" i="3"/>
  <c r="H605" i="3"/>
  <c r="H604" i="3"/>
  <c r="I604" i="3" s="1"/>
  <c r="I603" i="3"/>
  <c r="H603" i="3"/>
  <c r="I602" i="3"/>
  <c r="H602" i="3"/>
  <c r="I601" i="3"/>
  <c r="H601" i="3"/>
  <c r="H600" i="3"/>
  <c r="I600" i="3" s="1"/>
  <c r="H599" i="3"/>
  <c r="I599" i="3" s="1"/>
  <c r="H598" i="3"/>
  <c r="I598" i="3" s="1"/>
  <c r="H597" i="3"/>
  <c r="I597" i="3" s="1"/>
  <c r="H596" i="3"/>
  <c r="I596" i="3" s="1"/>
  <c r="I595" i="3"/>
  <c r="H595" i="3"/>
  <c r="H594" i="3"/>
  <c r="I594" i="3" s="1"/>
  <c r="I593" i="3"/>
  <c r="H593" i="3"/>
  <c r="H592" i="3"/>
  <c r="I592" i="3" s="1"/>
  <c r="H591" i="3"/>
  <c r="I591" i="3" s="1"/>
  <c r="H590" i="3"/>
  <c r="I590" i="3" s="1"/>
  <c r="H589" i="3"/>
  <c r="I589" i="3" s="1"/>
  <c r="I588" i="3"/>
  <c r="H588" i="3"/>
  <c r="I587" i="3"/>
  <c r="H587" i="3"/>
  <c r="H586" i="3"/>
  <c r="I586" i="3" s="1"/>
  <c r="I585" i="3"/>
  <c r="H585" i="3"/>
  <c r="H584" i="3"/>
  <c r="I584" i="3" s="1"/>
  <c r="I583" i="3"/>
  <c r="H583" i="3"/>
  <c r="I582" i="3"/>
  <c r="H582" i="3"/>
  <c r="I581" i="3"/>
  <c r="H581" i="3"/>
  <c r="H580" i="3"/>
  <c r="I580" i="3" s="1"/>
  <c r="I579" i="3"/>
  <c r="H579" i="3"/>
  <c r="H578" i="3"/>
  <c r="I578" i="3" s="1"/>
  <c r="H577" i="3"/>
  <c r="I577" i="3" s="1"/>
  <c r="H576" i="3"/>
  <c r="I576" i="3" s="1"/>
  <c r="I575" i="3"/>
  <c r="H575" i="3"/>
  <c r="H574" i="3"/>
  <c r="I574" i="3" s="1"/>
  <c r="I573" i="3"/>
  <c r="H573" i="3"/>
  <c r="I572" i="3"/>
  <c r="H572" i="3"/>
  <c r="H571" i="3"/>
  <c r="I571" i="3" s="1"/>
  <c r="H570" i="3"/>
  <c r="I570" i="3" s="1"/>
  <c r="I569" i="3"/>
  <c r="H569" i="3"/>
  <c r="H568" i="3"/>
  <c r="I568" i="3" s="1"/>
  <c r="I567" i="3"/>
  <c r="H567" i="3"/>
  <c r="I566" i="3"/>
  <c r="H566" i="3"/>
  <c r="I565" i="3"/>
  <c r="H565" i="3"/>
  <c r="H564" i="3"/>
  <c r="I564" i="3" s="1"/>
  <c r="I563" i="3"/>
  <c r="H563" i="3"/>
  <c r="I562" i="3"/>
  <c r="H562" i="3"/>
  <c r="I561" i="3"/>
  <c r="H561" i="3"/>
  <c r="H560" i="3"/>
  <c r="I560" i="3" s="1"/>
  <c r="H559" i="3"/>
  <c r="I559" i="3" s="1"/>
  <c r="I558" i="3"/>
  <c r="H558" i="3"/>
  <c r="H557" i="3"/>
  <c r="I557" i="3" s="1"/>
  <c r="H556" i="3"/>
  <c r="I556" i="3" s="1"/>
  <c r="I555" i="3"/>
  <c r="H555" i="3"/>
  <c r="H554" i="3"/>
  <c r="I554" i="3" s="1"/>
  <c r="I553" i="3"/>
  <c r="H553" i="3"/>
  <c r="H552" i="3"/>
  <c r="I552" i="3" s="1"/>
  <c r="I551" i="3"/>
  <c r="H551" i="3"/>
  <c r="H550" i="3"/>
  <c r="I550" i="3" s="1"/>
  <c r="I549" i="3"/>
  <c r="H549" i="3"/>
  <c r="I548" i="3"/>
  <c r="H548" i="3"/>
  <c r="H547" i="3"/>
  <c r="I547" i="3" s="1"/>
  <c r="I546" i="3"/>
  <c r="H546" i="3"/>
  <c r="I545" i="3"/>
  <c r="H545" i="3"/>
  <c r="H544" i="3"/>
  <c r="I544" i="3" s="1"/>
  <c r="I543" i="3"/>
  <c r="H543" i="3"/>
  <c r="H542" i="3"/>
  <c r="I542" i="3" s="1"/>
  <c r="H541" i="3"/>
  <c r="I541" i="3" s="1"/>
  <c r="H540" i="3"/>
  <c r="I540" i="3" s="1"/>
  <c r="H539" i="3"/>
  <c r="I539" i="3" s="1"/>
  <c r="H538" i="3"/>
  <c r="I538" i="3" s="1"/>
  <c r="I537" i="3"/>
  <c r="H537" i="3"/>
  <c r="H536" i="3"/>
  <c r="I536" i="3" s="1"/>
  <c r="I535" i="3"/>
  <c r="H535" i="3"/>
  <c r="H534" i="3"/>
  <c r="I534" i="3" s="1"/>
  <c r="I533" i="3"/>
  <c r="H533" i="3"/>
  <c r="H532" i="3"/>
  <c r="I532" i="3" s="1"/>
  <c r="H531" i="3"/>
  <c r="I531" i="3" s="1"/>
  <c r="H530" i="3"/>
  <c r="I530" i="3" s="1"/>
  <c r="I529" i="3"/>
  <c r="H529" i="3"/>
  <c r="I528" i="3"/>
  <c r="H528" i="3"/>
  <c r="I527" i="3"/>
  <c r="H527" i="3"/>
  <c r="H526" i="3"/>
  <c r="I526" i="3" s="1"/>
  <c r="I525" i="3"/>
  <c r="H525" i="3"/>
  <c r="I524" i="3"/>
  <c r="H524" i="3"/>
  <c r="I523" i="3"/>
  <c r="H523" i="3"/>
  <c r="H522" i="3"/>
  <c r="I522" i="3" s="1"/>
  <c r="H521" i="3"/>
  <c r="I521" i="3" s="1"/>
  <c r="H520" i="3"/>
  <c r="I520" i="3" s="1"/>
  <c r="I519" i="3"/>
  <c r="H519" i="3"/>
  <c r="H518" i="3"/>
  <c r="I518" i="3" s="1"/>
  <c r="H517" i="3"/>
  <c r="I517" i="3" s="1"/>
  <c r="I516" i="3"/>
  <c r="H516" i="3"/>
  <c r="I515" i="3"/>
  <c r="H515" i="3"/>
  <c r="H514" i="3"/>
  <c r="I514" i="3" s="1"/>
  <c r="I513" i="3"/>
  <c r="H513" i="3"/>
  <c r="H512" i="3"/>
  <c r="I512" i="3" s="1"/>
  <c r="H511" i="3"/>
  <c r="I511" i="3" s="1"/>
  <c r="H510" i="3"/>
  <c r="I510" i="3" s="1"/>
  <c r="H509" i="3"/>
  <c r="I509" i="3" s="1"/>
  <c r="I508" i="3"/>
  <c r="H508" i="3"/>
  <c r="I507" i="3"/>
  <c r="H507" i="3"/>
  <c r="I506" i="3"/>
  <c r="H506" i="3"/>
  <c r="I505" i="3"/>
  <c r="H505" i="3"/>
  <c r="I504" i="3"/>
  <c r="H504" i="3"/>
  <c r="I503" i="3"/>
  <c r="H503" i="3"/>
  <c r="H502" i="3"/>
  <c r="I502" i="3" s="1"/>
  <c r="H501" i="3"/>
  <c r="I501" i="3" s="1"/>
  <c r="H500" i="3"/>
  <c r="I500" i="3" s="1"/>
  <c r="H499" i="3"/>
  <c r="I499" i="3" s="1"/>
  <c r="I498" i="3"/>
  <c r="H498" i="3"/>
  <c r="H497" i="3"/>
  <c r="I497" i="3" s="1"/>
  <c r="H496" i="3"/>
  <c r="I496" i="3" s="1"/>
  <c r="I495" i="3"/>
  <c r="H495" i="3"/>
  <c r="H494" i="3"/>
  <c r="I494" i="3" s="1"/>
  <c r="I493" i="3"/>
  <c r="H493" i="3"/>
  <c r="H492" i="3"/>
  <c r="I492" i="3" s="1"/>
  <c r="H491" i="3"/>
  <c r="I491" i="3" s="1"/>
  <c r="H490" i="3"/>
  <c r="I490" i="3" s="1"/>
  <c r="H489" i="3"/>
  <c r="I489" i="3" s="1"/>
  <c r="H488" i="3"/>
  <c r="I488" i="3" s="1"/>
  <c r="I487" i="3"/>
  <c r="H487" i="3"/>
  <c r="I486" i="3"/>
  <c r="H486" i="3"/>
  <c r="I485" i="3"/>
  <c r="H485" i="3"/>
  <c r="H484" i="3"/>
  <c r="I484" i="3" s="1"/>
  <c r="I483" i="3"/>
  <c r="H483" i="3"/>
  <c r="I482" i="3"/>
  <c r="H482" i="3"/>
  <c r="H481" i="3"/>
  <c r="I481" i="3" s="1"/>
  <c r="H480" i="3"/>
  <c r="I480" i="3" s="1"/>
  <c r="H479" i="3"/>
  <c r="I479" i="3" s="1"/>
  <c r="H478" i="3"/>
  <c r="I478" i="3" s="1"/>
  <c r="I477" i="3"/>
  <c r="H477" i="3"/>
  <c r="H476" i="3"/>
  <c r="I476" i="3" s="1"/>
  <c r="I475" i="3"/>
  <c r="H475" i="3"/>
  <c r="I474" i="3"/>
  <c r="H474" i="3"/>
  <c r="I473" i="3"/>
  <c r="H473" i="3"/>
  <c r="H472" i="3"/>
  <c r="I472" i="3" s="1"/>
  <c r="H471" i="3"/>
  <c r="I471" i="3" s="1"/>
  <c r="H470" i="3"/>
  <c r="I470" i="3" s="1"/>
  <c r="H469" i="3"/>
  <c r="I469" i="3" s="1"/>
  <c r="H468" i="3"/>
  <c r="I468" i="3" s="1"/>
  <c r="H467" i="3"/>
  <c r="I467" i="3" s="1"/>
  <c r="I466" i="3"/>
  <c r="H466" i="3"/>
  <c r="I465" i="3"/>
  <c r="H465" i="3"/>
  <c r="I464" i="3"/>
  <c r="H464" i="3"/>
  <c r="I463" i="3"/>
  <c r="H463" i="3"/>
  <c r="I462" i="3"/>
  <c r="H462" i="3"/>
  <c r="I461" i="3"/>
  <c r="H461" i="3"/>
  <c r="H460" i="3"/>
  <c r="I460" i="3" s="1"/>
  <c r="H459" i="3"/>
  <c r="I459" i="3" s="1"/>
  <c r="H458" i="3"/>
  <c r="I458" i="3" s="1"/>
  <c r="H457" i="3"/>
  <c r="I457" i="3" s="1"/>
  <c r="I456" i="3"/>
  <c r="H456" i="3"/>
  <c r="I455" i="3"/>
  <c r="H455" i="3"/>
  <c r="H454" i="3"/>
  <c r="I454" i="3" s="1"/>
  <c r="I453" i="3"/>
  <c r="H453" i="3"/>
  <c r="H452" i="3"/>
  <c r="I452" i="3" s="1"/>
  <c r="H451" i="3"/>
  <c r="I451" i="3" s="1"/>
  <c r="H450" i="3"/>
  <c r="I450" i="3" s="1"/>
  <c r="H449" i="3"/>
  <c r="I449" i="3" s="1"/>
  <c r="H448" i="3"/>
  <c r="I448" i="3" s="1"/>
  <c r="H447" i="3"/>
  <c r="I447" i="3" s="1"/>
  <c r="I446" i="3"/>
  <c r="H446" i="3"/>
  <c r="I445" i="3"/>
  <c r="H445" i="3"/>
  <c r="I444" i="3"/>
  <c r="H444" i="3"/>
  <c r="I443" i="3"/>
  <c r="H443" i="3"/>
  <c r="H442" i="3"/>
  <c r="I442" i="3" s="1"/>
  <c r="I441" i="3"/>
  <c r="H441" i="3"/>
  <c r="H440" i="3"/>
  <c r="I440" i="3" s="1"/>
  <c r="H439" i="3"/>
  <c r="I439" i="3" s="1"/>
  <c r="H438" i="3"/>
  <c r="I438" i="3" s="1"/>
  <c r="H437" i="3"/>
  <c r="I437" i="3" s="1"/>
  <c r="H436" i="3"/>
  <c r="I436" i="3" s="1"/>
  <c r="I435" i="3"/>
  <c r="H435" i="3"/>
  <c r="H434" i="3"/>
  <c r="I434" i="3" s="1"/>
  <c r="I433" i="3"/>
  <c r="H433" i="3"/>
  <c r="I432" i="3"/>
  <c r="H432" i="3"/>
  <c r="H431" i="3"/>
  <c r="I431" i="3" s="1"/>
  <c r="H430" i="3"/>
  <c r="I430" i="3" s="1"/>
  <c r="I429" i="3"/>
  <c r="H429" i="3"/>
  <c r="H428" i="3"/>
  <c r="I428" i="3" s="1"/>
  <c r="H427" i="3"/>
  <c r="I427" i="3" s="1"/>
  <c r="H426" i="3"/>
  <c r="I426" i="3" s="1"/>
  <c r="I425" i="3"/>
  <c r="H425" i="3"/>
  <c r="I424" i="3"/>
  <c r="H424" i="3"/>
  <c r="I423" i="3"/>
  <c r="H423" i="3"/>
  <c r="I422" i="3"/>
  <c r="H422" i="3"/>
  <c r="H421" i="3"/>
  <c r="I421" i="3" s="1"/>
  <c r="H420" i="3"/>
  <c r="I420" i="3" s="1"/>
  <c r="H419" i="3"/>
  <c r="I419" i="3" s="1"/>
  <c r="H418" i="3"/>
  <c r="I418" i="3" s="1"/>
  <c r="H417" i="3"/>
  <c r="I417" i="3" s="1"/>
  <c r="H416" i="3"/>
  <c r="I416" i="3" s="1"/>
  <c r="I415" i="3"/>
  <c r="H415" i="3"/>
  <c r="I414" i="3"/>
  <c r="H414" i="3"/>
  <c r="I413" i="3"/>
  <c r="H413" i="3"/>
  <c r="H412" i="3"/>
  <c r="I412" i="3" s="1"/>
  <c r="I411" i="3"/>
  <c r="H411" i="3"/>
  <c r="H410" i="3"/>
  <c r="I410" i="3" s="1"/>
  <c r="I409" i="3"/>
  <c r="H409" i="3"/>
  <c r="I408" i="3"/>
  <c r="H408" i="3"/>
  <c r="H407" i="3"/>
  <c r="I407" i="3" s="1"/>
  <c r="H406" i="3"/>
  <c r="I406" i="3" s="1"/>
  <c r="I405" i="3"/>
  <c r="H405" i="3"/>
  <c r="H404" i="3"/>
  <c r="I404" i="3" s="1"/>
  <c r="I403" i="3"/>
  <c r="H403" i="3"/>
  <c r="I402" i="3"/>
  <c r="H402" i="3"/>
  <c r="I401" i="3"/>
  <c r="H401" i="3"/>
  <c r="H400" i="3"/>
  <c r="I400" i="3" s="1"/>
  <c r="H399" i="3"/>
  <c r="I399" i="3" s="1"/>
  <c r="H398" i="3"/>
  <c r="I398" i="3" s="1"/>
  <c r="H397" i="3"/>
  <c r="I397" i="3" s="1"/>
  <c r="H396" i="3"/>
  <c r="I396" i="3" s="1"/>
  <c r="I395" i="3"/>
  <c r="H395" i="3"/>
  <c r="I394" i="3"/>
  <c r="H394" i="3"/>
  <c r="I393" i="3"/>
  <c r="H393" i="3"/>
  <c r="H392" i="3"/>
  <c r="I392" i="3" s="1"/>
  <c r="H391" i="3"/>
  <c r="I391" i="3" s="1"/>
  <c r="H390" i="3"/>
  <c r="I390" i="3" s="1"/>
  <c r="H389" i="3"/>
  <c r="I389" i="3" s="1"/>
  <c r="I388" i="3"/>
  <c r="H388" i="3"/>
  <c r="I387" i="3"/>
  <c r="H387" i="3"/>
  <c r="H386" i="3"/>
  <c r="I386" i="3" s="1"/>
  <c r="I385" i="3"/>
  <c r="H385" i="3"/>
  <c r="H384" i="3"/>
  <c r="I384" i="3" s="1"/>
  <c r="I383" i="3"/>
  <c r="H383" i="3"/>
  <c r="I382" i="3"/>
  <c r="H382" i="3"/>
  <c r="I381" i="3"/>
  <c r="H381" i="3"/>
  <c r="H380" i="3"/>
  <c r="I380" i="3" s="1"/>
  <c r="I379" i="3"/>
  <c r="H379" i="3"/>
  <c r="H378" i="3"/>
  <c r="I378" i="3" s="1"/>
  <c r="H377" i="3"/>
  <c r="I377" i="3" s="1"/>
  <c r="H376" i="3"/>
  <c r="I376" i="3" s="1"/>
  <c r="I375" i="3"/>
  <c r="H375" i="3"/>
  <c r="H374" i="3"/>
  <c r="I374" i="3" s="1"/>
  <c r="I373" i="3"/>
  <c r="H373" i="3"/>
  <c r="I372" i="3"/>
  <c r="H372" i="3"/>
  <c r="H371" i="3"/>
  <c r="I371" i="3" s="1"/>
  <c r="H370" i="3"/>
  <c r="I370" i="3" s="1"/>
  <c r="I369" i="3"/>
  <c r="H369" i="3"/>
  <c r="H368" i="3"/>
  <c r="I368" i="3" s="1"/>
  <c r="H367" i="3"/>
  <c r="I367" i="3" s="1"/>
  <c r="H366" i="3"/>
  <c r="I366" i="3" s="1"/>
  <c r="I365" i="3"/>
  <c r="H365" i="3"/>
  <c r="H364" i="3"/>
  <c r="I364" i="3" s="1"/>
  <c r="I363" i="3"/>
  <c r="H363" i="3"/>
  <c r="I362" i="3"/>
  <c r="H362" i="3"/>
  <c r="H361" i="3"/>
  <c r="I361" i="3" s="1"/>
  <c r="H360" i="3"/>
  <c r="I360" i="3" s="1"/>
  <c r="I359" i="3"/>
  <c r="H359" i="3"/>
  <c r="H358" i="3"/>
  <c r="I358" i="3" s="1"/>
  <c r="H357" i="3"/>
  <c r="I357" i="3" s="1"/>
  <c r="H356" i="3"/>
  <c r="I356" i="3" s="1"/>
  <c r="I355" i="3"/>
  <c r="H355" i="3"/>
  <c r="H354" i="3"/>
  <c r="I354" i="3" s="1"/>
  <c r="I353" i="3"/>
  <c r="H353" i="3"/>
  <c r="I352" i="3"/>
  <c r="H352" i="3"/>
  <c r="H351" i="3"/>
  <c r="I351" i="3" s="1"/>
  <c r="H350" i="3"/>
  <c r="I350" i="3" s="1"/>
  <c r="I349" i="3"/>
  <c r="H349" i="3"/>
  <c r="H348" i="3"/>
  <c r="I348" i="3" s="1"/>
  <c r="H347" i="3"/>
  <c r="I347" i="3" s="1"/>
  <c r="H346" i="3"/>
  <c r="I346" i="3" s="1"/>
  <c r="I345" i="3"/>
  <c r="H345" i="3"/>
  <c r="H344" i="3"/>
  <c r="I344" i="3" s="1"/>
  <c r="I343" i="3"/>
  <c r="H343" i="3"/>
  <c r="I342" i="3"/>
  <c r="H342" i="3"/>
  <c r="H341" i="3"/>
  <c r="I341" i="3" s="1"/>
  <c r="H340" i="3"/>
  <c r="I340" i="3" s="1"/>
  <c r="I339" i="3"/>
  <c r="H339" i="3"/>
  <c r="H338" i="3"/>
  <c r="I338" i="3" s="1"/>
  <c r="H337" i="3"/>
  <c r="I337" i="3" s="1"/>
  <c r="H336" i="3"/>
  <c r="I336" i="3" s="1"/>
  <c r="I335" i="3"/>
  <c r="H335" i="3"/>
  <c r="H334" i="3"/>
  <c r="I334" i="3" s="1"/>
  <c r="I333" i="3"/>
  <c r="H333" i="3"/>
  <c r="I332" i="3"/>
  <c r="H332" i="3"/>
  <c r="H331" i="3"/>
  <c r="I331" i="3" s="1"/>
  <c r="H330" i="3"/>
  <c r="I330" i="3" s="1"/>
  <c r="I329" i="3"/>
  <c r="H329" i="3"/>
  <c r="H328" i="3"/>
  <c r="I328" i="3" s="1"/>
  <c r="H327" i="3"/>
  <c r="I327" i="3" s="1"/>
  <c r="H326" i="3"/>
  <c r="I326" i="3" s="1"/>
  <c r="I325" i="3"/>
  <c r="H325" i="3"/>
  <c r="H324" i="3"/>
  <c r="I324" i="3" s="1"/>
  <c r="I323" i="3"/>
  <c r="H323" i="3"/>
  <c r="I322" i="3"/>
  <c r="H322" i="3"/>
  <c r="H321" i="3"/>
  <c r="I321" i="3" s="1"/>
  <c r="H320" i="3"/>
  <c r="I320" i="3" s="1"/>
  <c r="I319" i="3"/>
  <c r="H319" i="3"/>
  <c r="H318" i="3"/>
  <c r="I318" i="3" s="1"/>
  <c r="H317" i="3"/>
  <c r="I317" i="3" s="1"/>
  <c r="H316" i="3"/>
  <c r="I316" i="3" s="1"/>
  <c r="I315" i="3"/>
  <c r="H315" i="3"/>
  <c r="H314" i="3"/>
  <c r="I314" i="3" s="1"/>
  <c r="I313" i="3"/>
  <c r="H313" i="3"/>
  <c r="I312" i="3"/>
  <c r="H312" i="3"/>
  <c r="H311" i="3"/>
  <c r="I311" i="3" s="1"/>
  <c r="H310" i="3"/>
  <c r="I310" i="3" s="1"/>
  <c r="I309" i="3"/>
  <c r="H309" i="3"/>
  <c r="H308" i="3"/>
  <c r="I308" i="3" s="1"/>
  <c r="H307" i="3"/>
  <c r="I307" i="3" s="1"/>
  <c r="H306" i="3"/>
  <c r="I306" i="3" s="1"/>
  <c r="I305" i="3"/>
  <c r="H305" i="3"/>
  <c r="H304" i="3"/>
  <c r="I304" i="3" s="1"/>
  <c r="I303" i="3"/>
  <c r="H303" i="3"/>
  <c r="I302" i="3"/>
  <c r="H302" i="3"/>
  <c r="H301" i="3"/>
  <c r="I301" i="3" s="1"/>
  <c r="H300" i="3"/>
  <c r="I300" i="3" s="1"/>
  <c r="I299" i="3"/>
  <c r="H299" i="3"/>
  <c r="H298" i="3"/>
  <c r="I298" i="3" s="1"/>
  <c r="H297" i="3"/>
  <c r="I297" i="3" s="1"/>
  <c r="H296" i="3"/>
  <c r="I296" i="3" s="1"/>
  <c r="I295" i="3"/>
  <c r="H295" i="3"/>
  <c r="H294" i="3"/>
  <c r="I294" i="3" s="1"/>
  <c r="I293" i="3"/>
  <c r="H293" i="3"/>
  <c r="I292" i="3"/>
  <c r="H292" i="3"/>
  <c r="H291" i="3"/>
  <c r="I291" i="3" s="1"/>
  <c r="H290" i="3"/>
  <c r="I290" i="3" s="1"/>
  <c r="I289" i="3"/>
  <c r="H289" i="3"/>
  <c r="H288" i="3"/>
  <c r="I288" i="3" s="1"/>
  <c r="H287" i="3"/>
  <c r="I287" i="3" s="1"/>
  <c r="H286" i="3"/>
  <c r="I286" i="3" s="1"/>
  <c r="I285" i="3"/>
  <c r="H285" i="3"/>
  <c r="H284" i="3"/>
  <c r="I284" i="3" s="1"/>
  <c r="I283" i="3"/>
  <c r="H283" i="3"/>
  <c r="I282" i="3"/>
  <c r="H282" i="3"/>
  <c r="H281" i="3"/>
  <c r="I281" i="3" s="1"/>
  <c r="H280" i="3"/>
  <c r="I280" i="3" s="1"/>
  <c r="I279" i="3"/>
  <c r="H279" i="3"/>
  <c r="H278" i="3"/>
  <c r="I278" i="3" s="1"/>
  <c r="H277" i="3"/>
  <c r="I277" i="3" s="1"/>
  <c r="H276" i="3"/>
  <c r="I276" i="3" s="1"/>
  <c r="I275" i="3"/>
  <c r="H275" i="3"/>
  <c r="H274" i="3"/>
  <c r="I274" i="3" s="1"/>
  <c r="I273" i="3"/>
  <c r="H273" i="3"/>
  <c r="I272" i="3"/>
  <c r="H272" i="3"/>
  <c r="H271" i="3"/>
  <c r="I271" i="3" s="1"/>
  <c r="H270" i="3"/>
  <c r="I270" i="3" s="1"/>
  <c r="I269" i="3"/>
  <c r="H269" i="3"/>
  <c r="H268" i="3"/>
  <c r="I268" i="3" s="1"/>
  <c r="H267" i="3"/>
  <c r="I267" i="3" s="1"/>
  <c r="H266" i="3"/>
  <c r="I266" i="3" s="1"/>
  <c r="I265" i="3"/>
  <c r="H265" i="3"/>
  <c r="H264" i="3"/>
  <c r="I264" i="3" s="1"/>
  <c r="I263" i="3"/>
  <c r="H263" i="3"/>
  <c r="I262" i="3"/>
  <c r="H262" i="3"/>
  <c r="H261" i="3"/>
  <c r="I261" i="3" s="1"/>
  <c r="H260" i="3"/>
  <c r="I260" i="3" s="1"/>
  <c r="I259" i="3"/>
  <c r="H259" i="3"/>
  <c r="H258" i="3"/>
  <c r="I258" i="3" s="1"/>
  <c r="H257" i="3"/>
  <c r="I257" i="3" s="1"/>
  <c r="H256" i="3"/>
  <c r="I256" i="3" s="1"/>
  <c r="I255" i="3"/>
  <c r="H255" i="3"/>
  <c r="H254" i="3"/>
  <c r="I254" i="3" s="1"/>
  <c r="I253" i="3"/>
  <c r="H253" i="3"/>
  <c r="I252" i="3"/>
  <c r="H252" i="3"/>
  <c r="H251" i="3"/>
  <c r="I251" i="3" s="1"/>
  <c r="H250" i="3"/>
  <c r="I250" i="3" s="1"/>
  <c r="I249" i="3"/>
  <c r="H249" i="3"/>
  <c r="H248" i="3"/>
  <c r="I248" i="3" s="1"/>
  <c r="H247" i="3"/>
  <c r="I247" i="3" s="1"/>
  <c r="H246" i="3"/>
  <c r="I246" i="3" s="1"/>
  <c r="I245" i="3"/>
  <c r="H245" i="3"/>
  <c r="H244" i="3"/>
  <c r="I244" i="3" s="1"/>
  <c r="H243" i="3"/>
  <c r="I243" i="3" s="1"/>
  <c r="I242" i="3"/>
  <c r="H242" i="3"/>
  <c r="H241" i="3"/>
  <c r="I241" i="3" s="1"/>
  <c r="H240" i="3"/>
  <c r="I240" i="3" s="1"/>
  <c r="I239" i="3"/>
  <c r="H239" i="3"/>
  <c r="H238" i="3"/>
  <c r="I238" i="3" s="1"/>
  <c r="H237" i="3"/>
  <c r="I237" i="3" s="1"/>
  <c r="H236" i="3"/>
  <c r="I236" i="3" s="1"/>
  <c r="I235" i="3"/>
  <c r="H235" i="3"/>
  <c r="H234" i="3"/>
  <c r="I234" i="3" s="1"/>
  <c r="H233" i="3"/>
  <c r="I233" i="3" s="1"/>
  <c r="I232" i="3"/>
  <c r="H232" i="3"/>
  <c r="H231" i="3"/>
  <c r="I231" i="3" s="1"/>
  <c r="H230" i="3"/>
  <c r="I230" i="3" s="1"/>
  <c r="I229" i="3"/>
  <c r="H229" i="3"/>
  <c r="H228" i="3"/>
  <c r="I228" i="3" s="1"/>
  <c r="H227" i="3"/>
  <c r="I227" i="3" s="1"/>
  <c r="H226" i="3"/>
  <c r="I226" i="3" s="1"/>
  <c r="I225" i="3"/>
  <c r="H225" i="3"/>
  <c r="H224" i="3"/>
  <c r="I224" i="3" s="1"/>
  <c r="H223" i="3"/>
  <c r="I223" i="3" s="1"/>
  <c r="I222" i="3"/>
  <c r="H222" i="3"/>
  <c r="H221" i="3"/>
  <c r="I221" i="3" s="1"/>
  <c r="H220" i="3"/>
  <c r="I220" i="3" s="1"/>
  <c r="I219" i="3"/>
  <c r="H219" i="3"/>
  <c r="H218" i="3"/>
  <c r="I218" i="3" s="1"/>
  <c r="H217" i="3"/>
  <c r="I217" i="3" s="1"/>
  <c r="H216" i="3"/>
  <c r="I216" i="3" s="1"/>
  <c r="I215" i="3"/>
  <c r="H215" i="3"/>
  <c r="H214" i="3"/>
  <c r="I214" i="3" s="1"/>
  <c r="H213" i="3"/>
  <c r="I213" i="3" s="1"/>
  <c r="I212" i="3"/>
  <c r="H212" i="3"/>
  <c r="H211" i="3"/>
  <c r="I211" i="3" s="1"/>
  <c r="H210" i="3"/>
  <c r="I210" i="3" s="1"/>
  <c r="I209" i="3"/>
  <c r="H209" i="3"/>
  <c r="H208" i="3"/>
  <c r="I208" i="3" s="1"/>
  <c r="H207" i="3"/>
  <c r="I207" i="3" s="1"/>
  <c r="H206" i="3"/>
  <c r="I206" i="3" s="1"/>
  <c r="I205" i="3"/>
  <c r="H205" i="3"/>
  <c r="H204" i="3"/>
  <c r="I204" i="3" s="1"/>
  <c r="H203" i="3"/>
  <c r="I203" i="3" s="1"/>
  <c r="I202" i="3"/>
  <c r="H202" i="3"/>
  <c r="H201" i="3"/>
  <c r="I201" i="3" s="1"/>
  <c r="H200" i="3"/>
  <c r="I200" i="3" s="1"/>
  <c r="I199" i="3"/>
  <c r="H199" i="3"/>
  <c r="H198" i="3"/>
  <c r="I198" i="3" s="1"/>
  <c r="H197" i="3"/>
  <c r="I197" i="3" s="1"/>
  <c r="H196" i="3"/>
  <c r="I196" i="3" s="1"/>
  <c r="I195" i="3"/>
  <c r="H195" i="3"/>
  <c r="H194" i="3"/>
  <c r="I194" i="3" s="1"/>
  <c r="I193" i="3"/>
  <c r="H193" i="3"/>
  <c r="I192" i="3"/>
  <c r="H192" i="3"/>
  <c r="H191" i="3"/>
  <c r="I191" i="3" s="1"/>
  <c r="H190" i="3"/>
  <c r="I190" i="3" s="1"/>
  <c r="I189" i="3"/>
  <c r="H189" i="3"/>
  <c r="H188" i="3"/>
  <c r="I188" i="3" s="1"/>
  <c r="H187" i="3"/>
  <c r="I187" i="3" s="1"/>
  <c r="H186" i="3"/>
  <c r="I186" i="3" s="1"/>
  <c r="I185" i="3"/>
  <c r="H185" i="3"/>
  <c r="H184" i="3"/>
  <c r="I184" i="3" s="1"/>
  <c r="I183" i="3"/>
  <c r="H183" i="3"/>
  <c r="I182" i="3"/>
  <c r="H182" i="3"/>
  <c r="H181" i="3"/>
  <c r="I181" i="3" s="1"/>
  <c r="H180" i="3"/>
  <c r="I180" i="3" s="1"/>
  <c r="I179" i="3"/>
  <c r="H179" i="3"/>
  <c r="H178" i="3"/>
  <c r="I178" i="3" s="1"/>
  <c r="H177" i="3"/>
  <c r="I177" i="3" s="1"/>
  <c r="H176" i="3"/>
  <c r="I176" i="3" s="1"/>
  <c r="I175" i="3"/>
  <c r="H175" i="3"/>
  <c r="H174" i="3"/>
  <c r="I174" i="3" s="1"/>
  <c r="H173" i="3"/>
  <c r="I173" i="3" s="1"/>
  <c r="I172" i="3"/>
  <c r="H172" i="3"/>
  <c r="H171" i="3"/>
  <c r="I171" i="3" s="1"/>
  <c r="H170" i="3"/>
  <c r="I170" i="3" s="1"/>
  <c r="I169" i="3"/>
  <c r="H169" i="3"/>
  <c r="H168" i="3"/>
  <c r="I168" i="3" s="1"/>
  <c r="H167" i="3"/>
  <c r="I167" i="3" s="1"/>
  <c r="H166" i="3"/>
  <c r="I166" i="3" s="1"/>
  <c r="I165" i="3"/>
  <c r="H165" i="3"/>
  <c r="H164" i="3"/>
  <c r="I164" i="3" s="1"/>
  <c r="H163" i="3"/>
  <c r="I163" i="3" s="1"/>
  <c r="I162" i="3"/>
  <c r="H162" i="3"/>
  <c r="H161" i="3"/>
  <c r="I161" i="3" s="1"/>
  <c r="H160" i="3"/>
  <c r="I160" i="3" s="1"/>
  <c r="I159" i="3"/>
  <c r="H159" i="3"/>
  <c r="H158" i="3"/>
  <c r="I158" i="3" s="1"/>
  <c r="H157" i="3"/>
  <c r="I157" i="3" s="1"/>
  <c r="H156" i="3"/>
  <c r="I156" i="3" s="1"/>
  <c r="I155" i="3"/>
  <c r="H155" i="3"/>
  <c r="H154" i="3"/>
  <c r="I154" i="3" s="1"/>
  <c r="I153" i="3"/>
  <c r="H153" i="3"/>
  <c r="I152" i="3"/>
  <c r="H152" i="3"/>
  <c r="H151" i="3"/>
  <c r="I151" i="3" s="1"/>
  <c r="H150" i="3"/>
  <c r="I150" i="3" s="1"/>
  <c r="I149" i="3"/>
  <c r="H149" i="3"/>
  <c r="H148" i="3"/>
  <c r="I148" i="3" s="1"/>
  <c r="H147" i="3"/>
  <c r="I147" i="3" s="1"/>
  <c r="H146" i="3"/>
  <c r="I146" i="3" s="1"/>
  <c r="I145" i="3"/>
  <c r="H145" i="3"/>
  <c r="H144" i="3"/>
  <c r="I144" i="3" s="1"/>
  <c r="H143" i="3"/>
  <c r="I143" i="3" s="1"/>
  <c r="I142" i="3"/>
  <c r="H142" i="3"/>
  <c r="H141" i="3"/>
  <c r="I141" i="3" s="1"/>
  <c r="H140" i="3"/>
  <c r="I140" i="3" s="1"/>
  <c r="I139" i="3"/>
  <c r="H139" i="3"/>
  <c r="H138" i="3"/>
  <c r="I138" i="3" s="1"/>
  <c r="H137" i="3"/>
  <c r="I137" i="3" s="1"/>
  <c r="H136" i="3"/>
  <c r="I136" i="3" s="1"/>
  <c r="I135" i="3"/>
  <c r="H135" i="3"/>
  <c r="H134" i="3"/>
  <c r="I134" i="3" s="1"/>
  <c r="H133" i="3"/>
  <c r="I133" i="3" s="1"/>
  <c r="I132" i="3"/>
  <c r="H132" i="3"/>
  <c r="H131" i="3"/>
  <c r="I131" i="3" s="1"/>
  <c r="H130" i="3"/>
  <c r="I130" i="3" s="1"/>
  <c r="I129" i="3"/>
  <c r="H129" i="3"/>
  <c r="H128" i="3"/>
  <c r="I128" i="3" s="1"/>
  <c r="H127" i="3"/>
  <c r="I127" i="3" s="1"/>
  <c r="H126" i="3"/>
  <c r="I126" i="3" s="1"/>
  <c r="I125" i="3"/>
  <c r="H125" i="3"/>
  <c r="H124" i="3"/>
  <c r="I124" i="3" s="1"/>
  <c r="H123" i="3"/>
  <c r="I123" i="3" s="1"/>
  <c r="I122" i="3"/>
  <c r="H122" i="3"/>
  <c r="H121" i="3"/>
  <c r="I121" i="3" s="1"/>
  <c r="H120" i="3"/>
  <c r="I120" i="3" s="1"/>
  <c r="I119" i="3"/>
  <c r="H119" i="3"/>
  <c r="H118" i="3"/>
  <c r="I118" i="3" s="1"/>
  <c r="H117" i="3"/>
  <c r="I117" i="3" s="1"/>
  <c r="H116" i="3"/>
  <c r="I116" i="3" s="1"/>
  <c r="I115" i="3"/>
  <c r="H115" i="3"/>
  <c r="H114" i="3"/>
  <c r="I114" i="3" s="1"/>
  <c r="H113" i="3"/>
  <c r="I113" i="3" s="1"/>
  <c r="I112" i="3"/>
  <c r="H112" i="3"/>
  <c r="H111" i="3"/>
  <c r="I111" i="3" s="1"/>
  <c r="H110" i="3"/>
  <c r="I110" i="3" s="1"/>
  <c r="I109" i="3"/>
  <c r="H109" i="3"/>
  <c r="H108" i="3"/>
  <c r="I108" i="3" s="1"/>
  <c r="H107" i="3"/>
  <c r="I107" i="3" s="1"/>
  <c r="H106" i="3"/>
  <c r="I106" i="3" s="1"/>
  <c r="I105" i="3"/>
  <c r="H105" i="3"/>
  <c r="H104" i="3"/>
  <c r="I104" i="3" s="1"/>
  <c r="H103" i="3"/>
  <c r="I103" i="3" s="1"/>
  <c r="I102" i="3"/>
  <c r="H102" i="3"/>
  <c r="H101" i="3"/>
  <c r="I101" i="3" s="1"/>
  <c r="H100" i="3"/>
  <c r="I100" i="3" s="1"/>
  <c r="I99" i="3"/>
  <c r="H99" i="3"/>
  <c r="H98" i="3"/>
  <c r="I98" i="3" s="1"/>
  <c r="H97" i="3"/>
  <c r="I97" i="3" s="1"/>
  <c r="H96" i="3"/>
  <c r="I96" i="3" s="1"/>
  <c r="I95" i="3"/>
  <c r="H95" i="3"/>
  <c r="H94" i="3"/>
  <c r="I94" i="3" s="1"/>
  <c r="I93" i="3"/>
  <c r="H93" i="3"/>
  <c r="I92" i="3"/>
  <c r="H92" i="3"/>
  <c r="H91" i="3"/>
  <c r="I91" i="3" s="1"/>
  <c r="H90" i="3"/>
  <c r="I90" i="3" s="1"/>
  <c r="I89" i="3"/>
  <c r="H89" i="3"/>
  <c r="H88" i="3"/>
  <c r="I88" i="3" s="1"/>
  <c r="H87" i="3"/>
  <c r="I87" i="3" s="1"/>
  <c r="H86" i="3"/>
  <c r="I86" i="3" s="1"/>
  <c r="I85" i="3"/>
  <c r="H85" i="3"/>
  <c r="H84" i="3"/>
  <c r="I84" i="3" s="1"/>
  <c r="I83" i="3"/>
  <c r="H83" i="3"/>
  <c r="I82" i="3"/>
  <c r="H82" i="3"/>
  <c r="H81" i="3"/>
  <c r="I81" i="3" s="1"/>
  <c r="H80" i="3"/>
  <c r="I80" i="3" s="1"/>
  <c r="I79" i="3"/>
  <c r="H79" i="3"/>
  <c r="H78" i="3"/>
  <c r="I78" i="3" s="1"/>
  <c r="H77" i="3"/>
  <c r="I77" i="3" s="1"/>
  <c r="H76" i="3"/>
  <c r="I76" i="3" s="1"/>
  <c r="I75" i="3"/>
  <c r="H75" i="3"/>
  <c r="H74" i="3"/>
  <c r="I74" i="3" s="1"/>
  <c r="H73" i="3"/>
  <c r="I73" i="3" s="1"/>
  <c r="I72" i="3"/>
  <c r="H72" i="3"/>
  <c r="H71" i="3"/>
  <c r="I71" i="3" s="1"/>
  <c r="H70" i="3"/>
  <c r="I70" i="3" s="1"/>
  <c r="I69" i="3"/>
  <c r="H69" i="3"/>
  <c r="H68" i="3"/>
  <c r="I68" i="3" s="1"/>
  <c r="H67" i="3"/>
  <c r="I67" i="3" s="1"/>
  <c r="H66" i="3"/>
  <c r="I66" i="3" s="1"/>
  <c r="I65" i="3"/>
  <c r="H65" i="3"/>
  <c r="H64" i="3"/>
  <c r="I64" i="3" s="1"/>
  <c r="H63" i="3"/>
  <c r="I63" i="3" s="1"/>
  <c r="I62" i="3"/>
  <c r="H62" i="3"/>
  <c r="H61" i="3"/>
  <c r="I61" i="3" s="1"/>
  <c r="H60" i="3"/>
  <c r="I60" i="3" s="1"/>
  <c r="I59" i="3"/>
  <c r="H59" i="3"/>
  <c r="H58" i="3"/>
  <c r="I58" i="3" s="1"/>
  <c r="H57" i="3"/>
  <c r="I57" i="3" s="1"/>
  <c r="H56" i="3"/>
  <c r="I56" i="3" s="1"/>
  <c r="I55" i="3"/>
  <c r="H55" i="3"/>
  <c r="H54" i="3"/>
  <c r="I54" i="3" s="1"/>
  <c r="I53" i="3"/>
  <c r="H53" i="3"/>
  <c r="I52" i="3"/>
  <c r="H52" i="3"/>
  <c r="H51" i="3"/>
  <c r="I51" i="3" s="1"/>
  <c r="H50" i="3"/>
  <c r="I50" i="3" s="1"/>
  <c r="I49" i="3"/>
  <c r="H49" i="3"/>
  <c r="H48" i="3"/>
  <c r="I48" i="3" s="1"/>
  <c r="H47" i="3"/>
  <c r="I47" i="3" s="1"/>
  <c r="H46" i="3"/>
  <c r="I46" i="3" s="1"/>
  <c r="I45" i="3"/>
  <c r="H45" i="3"/>
  <c r="H44" i="3"/>
  <c r="I44" i="3" s="1"/>
  <c r="H43" i="3"/>
  <c r="I43" i="3" s="1"/>
  <c r="I42" i="3"/>
  <c r="H42" i="3"/>
  <c r="H41" i="3"/>
  <c r="I41" i="3" s="1"/>
  <c r="H40" i="3"/>
  <c r="I40" i="3" s="1"/>
  <c r="I39" i="3"/>
  <c r="H39" i="3"/>
  <c r="H38" i="3"/>
  <c r="I38" i="3" s="1"/>
  <c r="H37" i="3"/>
  <c r="I37" i="3" s="1"/>
  <c r="H36" i="3"/>
  <c r="I36" i="3" s="1"/>
  <c r="I35" i="3"/>
  <c r="H35" i="3"/>
  <c r="H34" i="3"/>
  <c r="I34" i="3" s="1"/>
  <c r="H33" i="3"/>
  <c r="I33" i="3" s="1"/>
  <c r="I32" i="3"/>
  <c r="H32" i="3"/>
  <c r="H31" i="3"/>
  <c r="I31" i="3" s="1"/>
  <c r="H30" i="3"/>
  <c r="I30" i="3" s="1"/>
  <c r="I29" i="3"/>
  <c r="H29" i="3"/>
  <c r="H28" i="3"/>
  <c r="I28" i="3" s="1"/>
  <c r="H27" i="3"/>
  <c r="I27" i="3" s="1"/>
  <c r="H26" i="3"/>
  <c r="I26" i="3" s="1"/>
  <c r="I25" i="3"/>
  <c r="H25" i="3"/>
  <c r="H24" i="3"/>
  <c r="I24" i="3" s="1"/>
  <c r="H23" i="3"/>
  <c r="I23" i="3" s="1"/>
  <c r="I22" i="3"/>
  <c r="H22" i="3"/>
  <c r="H21" i="3"/>
  <c r="I21" i="3" s="1"/>
  <c r="H20" i="3"/>
  <c r="I20" i="3" s="1"/>
  <c r="I19" i="3"/>
  <c r="H19" i="3"/>
  <c r="H18" i="3"/>
  <c r="I18" i="3" s="1"/>
  <c r="H17" i="3"/>
  <c r="I17" i="3" s="1"/>
  <c r="H16" i="3"/>
  <c r="I16" i="3" s="1"/>
  <c r="I15" i="3"/>
  <c r="H15" i="3"/>
  <c r="H14" i="3"/>
  <c r="I14" i="3" s="1"/>
  <c r="H13" i="3"/>
  <c r="I13" i="3" s="1"/>
  <c r="I12" i="3"/>
  <c r="H12" i="3"/>
  <c r="H11" i="3"/>
  <c r="I11" i="3" s="1"/>
  <c r="H10" i="3"/>
  <c r="I10" i="3" s="1"/>
  <c r="I9" i="3"/>
  <c r="H9" i="3"/>
  <c r="H8" i="3"/>
  <c r="I8" i="3" s="1"/>
  <c r="H7" i="3"/>
  <c r="I7" i="3" s="1"/>
  <c r="H6" i="3"/>
  <c r="I6" i="3" s="1"/>
  <c r="I5" i="3"/>
  <c r="H5" i="3"/>
  <c r="I76" i="65" l="1"/>
  <c r="J70" i="65"/>
  <c r="I60" i="65"/>
  <c r="I18" i="65"/>
  <c r="J58" i="65"/>
  <c r="I46" i="65"/>
  <c r="I14" i="65"/>
  <c r="I72" i="65"/>
  <c r="I2" i="65"/>
  <c r="J2" i="65" s="1"/>
  <c r="I52" i="65"/>
  <c r="I6" i="65"/>
  <c r="I54" i="65"/>
  <c r="I48" i="65"/>
  <c r="I56" i="65"/>
  <c r="I68" i="65"/>
  <c r="I26" i="65"/>
  <c r="I44" i="65"/>
  <c r="J44" i="65" s="1"/>
  <c r="H2" i="57"/>
  <c r="H4" i="57"/>
  <c r="J66" i="65"/>
  <c r="I66" i="65"/>
  <c r="H3" i="57"/>
  <c r="J10" i="65"/>
  <c r="I10" i="65"/>
  <c r="I38" i="65"/>
  <c r="H6" i="57"/>
  <c r="J15" i="65"/>
  <c r="I15" i="65"/>
  <c r="H7" i="57"/>
  <c r="H12" i="57"/>
  <c r="I3" i="65"/>
  <c r="J3" i="65" s="1"/>
  <c r="G3" i="57"/>
  <c r="G7" i="57"/>
  <c r="J11" i="65"/>
  <c r="I11" i="65"/>
  <c r="J34" i="65"/>
  <c r="I78" i="65"/>
  <c r="I62" i="65"/>
  <c r="J62" i="65" s="1"/>
  <c r="G6" i="57"/>
  <c r="I22" i="65"/>
  <c r="J22" i="65" s="1"/>
  <c r="E16" i="57"/>
  <c r="I50" i="65"/>
  <c r="G11" i="57"/>
  <c r="H11" i="57" s="1"/>
  <c r="H10" i="57"/>
  <c r="G4" i="57"/>
  <c r="G12" i="57"/>
  <c r="J7" i="65"/>
  <c r="I7" i="65"/>
  <c r="I30" i="65"/>
  <c r="I74" i="65"/>
  <c r="I64" i="65"/>
  <c r="J64" i="65" s="1"/>
  <c r="I42" i="65"/>
  <c r="J42" i="65" s="1"/>
  <c r="D14" i="57"/>
  <c r="F13" i="57"/>
  <c r="I19" i="65"/>
  <c r="I23" i="65"/>
  <c r="J23" i="65" s="1"/>
  <c r="I27" i="65"/>
  <c r="I31" i="65"/>
  <c r="I35" i="65"/>
  <c r="I39" i="65"/>
  <c r="I43" i="65"/>
  <c r="J43" i="65" s="1"/>
  <c r="I47" i="65"/>
  <c r="I51" i="65"/>
  <c r="I55" i="65"/>
  <c r="I59" i="65"/>
  <c r="I63" i="65"/>
  <c r="J63" i="65" s="1"/>
  <c r="I67" i="65"/>
  <c r="I71" i="65"/>
  <c r="I75" i="65"/>
  <c r="I79" i="65"/>
  <c r="I4" i="65"/>
  <c r="J4" i="65" s="1"/>
  <c r="I8" i="65"/>
  <c r="I12" i="65"/>
  <c r="I16" i="65"/>
  <c r="I20" i="65"/>
  <c r="I24" i="65"/>
  <c r="J24" i="65" s="1"/>
  <c r="I28" i="65"/>
  <c r="I32" i="65"/>
  <c r="I36" i="65"/>
  <c r="I40" i="65"/>
  <c r="I80" i="65"/>
  <c r="I5" i="65"/>
  <c r="J5" i="65" s="1"/>
  <c r="I9" i="65"/>
  <c r="I13" i="65"/>
  <c r="I17" i="65"/>
  <c r="I21" i="65"/>
  <c r="I25" i="65"/>
  <c r="J25" i="65" s="1"/>
  <c r="I29" i="65"/>
  <c r="I33" i="65"/>
  <c r="I37" i="65"/>
  <c r="I41" i="65"/>
  <c r="I45" i="65"/>
  <c r="J45" i="65" s="1"/>
  <c r="I49" i="65"/>
  <c r="I53" i="65"/>
  <c r="I57" i="65"/>
  <c r="I61" i="65"/>
  <c r="I65" i="65"/>
  <c r="J65" i="65" s="1"/>
  <c r="I69" i="65"/>
  <c r="I73" i="65"/>
  <c r="I77" i="65"/>
  <c r="I81" i="65"/>
  <c r="E17" i="57" l="1"/>
  <c r="D15" i="57"/>
  <c r="F14" i="57"/>
  <c r="G13" i="57"/>
  <c r="H13" i="57" s="1"/>
  <c r="F15" i="57" l="1"/>
  <c r="D16" i="57"/>
  <c r="G14" i="57"/>
  <c r="H14" i="57" s="1"/>
  <c r="E18" i="57"/>
  <c r="D17" i="57" l="1"/>
  <c r="F16" i="57"/>
  <c r="H15" i="57"/>
  <c r="G15" i="57"/>
  <c r="E19" i="57"/>
  <c r="F17" i="57" l="1"/>
  <c r="D18" i="57"/>
  <c r="H16" i="57"/>
  <c r="G16" i="57"/>
  <c r="E20" i="57"/>
  <c r="E21" i="57" l="1"/>
  <c r="F18" i="57"/>
  <c r="D19" i="57"/>
  <c r="G17" i="57"/>
  <c r="H17" i="57" s="1"/>
  <c r="D20" i="57" l="1"/>
  <c r="F19" i="57"/>
  <c r="G18" i="57"/>
  <c r="H18" i="57" s="1"/>
  <c r="G19" i="57" l="1"/>
  <c r="H19" i="57" s="1"/>
  <c r="D21" i="57"/>
  <c r="F21" i="57" s="1"/>
  <c r="F20" i="57"/>
  <c r="G20" i="57" l="1"/>
  <c r="H20" i="57" s="1"/>
  <c r="G21" i="57"/>
  <c r="H21" i="57" s="1"/>
</calcChain>
</file>

<file path=xl/sharedStrings.xml><?xml version="1.0" encoding="utf-8"?>
<sst xmlns="http://schemas.openxmlformats.org/spreadsheetml/2006/main" count="13535" uniqueCount="1443">
  <si>
    <t>Plantilla base · Dinámica RI, equivalencias y salones</t>
  </si>
  <si>
    <t>Llena las hojas en este archivo y después se integran al simulador HTML. Los nombres de hojas y columnas deben conservarse.</t>
  </si>
  <si>
    <t>Hoja</t>
  </si>
  <si>
    <t>Para qué sirve</t>
  </si>
  <si>
    <t>Obligatoria</t>
  </si>
  <si>
    <t>base_ni_ri_2030_2040</t>
  </si>
  <si>
    <t>Trayectoria base editable de NI, RI y MT por año, periodo, campus, nivel y modalidad.</t>
  </si>
  <si>
    <t>Sí</t>
  </si>
  <si>
    <t>equivalencias_promedio</t>
  </si>
  <si>
    <t>Promedio histórico de alumnos que cuentan como NI, pero entran académicamente a S2, S3, S4, etc.</t>
  </si>
  <si>
    <t>tasas_avance</t>
  </si>
  <si>
    <t>Tasas por campus y nivel para mover alumnos entre semestres: S1→S2, S8→Egreso, S8→Rezago, etc.</t>
  </si>
  <si>
    <t>presencialidad_semestre</t>
  </si>
  <si>
    <t>% de presencialidad o uso de salones por semestre académico.</t>
  </si>
  <si>
    <t>distribucion_ri_semestre</t>
  </si>
  <si>
    <t>Distribución opcional de RI total entre semestres. Si no existe, se puede estimar con las tasas.</t>
  </si>
  <si>
    <t>Opcional</t>
  </si>
  <si>
    <t>catalogos</t>
  </si>
  <si>
    <t>Listas auxiliares para validación: periodos, niveles, modalidades y estados.</t>
  </si>
  <si>
    <t>No editar si no es necesario</t>
  </si>
  <si>
    <t>Concepto</t>
  </si>
  <si>
    <t>Definición</t>
  </si>
  <si>
    <t>NI total</t>
  </si>
  <si>
    <t>Alumno que cuenta como nuevo ingreso para captación. Puede entrar a S1 o por equivalencia a un semestre posterior.</t>
  </si>
  <si>
    <t>RI total</t>
  </si>
  <si>
    <t>Alumno de reingreso reportado en la base. En el cálculo interno se distribuye por semestre.</t>
  </si>
  <si>
    <t>Equivalencias</t>
  </si>
  <si>
    <t>No se suman adicional a la MT. Solo reubican parte de los NI al semestre académico correcto.</t>
  </si>
  <si>
    <t>Rezago</t>
  </si>
  <si>
    <t>Alumno que llegó al último semestre, pero no egresó en el corte y se mantiene activo por materias/trámites pendientes.</t>
  </si>
  <si>
    <t>MT</t>
  </si>
  <si>
    <t>Matrícula total = NI total + RI total.</t>
  </si>
  <si>
    <t>DEFAULT</t>
  </si>
  <si>
    <t>Si una tasa o configuración aplica para todos los campus, puedes usar campus = DEFAULT. Una fila específica por campus debe tener prioridad en el simulador.</t>
  </si>
  <si>
    <t>Catálogos para validación</t>
  </si>
  <si>
    <t>Puedes agregar campus o modalidades si lo necesitas. No cambies los nombres principales de nivel/periodo/estado.</t>
  </si>
  <si>
    <t>campus</t>
  </si>
  <si>
    <t>nivel</t>
  </si>
  <si>
    <t>modalidad</t>
  </si>
  <si>
    <t>periodo</t>
  </si>
  <si>
    <t>semestres_prepa</t>
  </si>
  <si>
    <t>semestres_profesional</t>
  </si>
  <si>
    <t>estados_destino</t>
  </si>
  <si>
    <t>metodo_equivalencia</t>
  </si>
  <si>
    <t>usa_salon</t>
  </si>
  <si>
    <t>Preparatoria</t>
  </si>
  <si>
    <t>Presencial</t>
  </si>
  <si>
    <t>AD</t>
  </si>
  <si>
    <t>S1</t>
  </si>
  <si>
    <t>fijo</t>
  </si>
  <si>
    <t>Institucional</t>
  </si>
  <si>
    <t>Profesional</t>
  </si>
  <si>
    <t>Híbrido</t>
  </si>
  <si>
    <t>EM</t>
  </si>
  <si>
    <t>S2</t>
  </si>
  <si>
    <t>pct_sobre_ni</t>
  </si>
  <si>
    <t>Aguascalientes</t>
  </si>
  <si>
    <t>S3</t>
  </si>
  <si>
    <t>Cancún</t>
  </si>
  <si>
    <t>S4</t>
  </si>
  <si>
    <t>Chihuahua</t>
  </si>
  <si>
    <t>S5</t>
  </si>
  <si>
    <t>Ciudad Juárez</t>
  </si>
  <si>
    <t>S6</t>
  </si>
  <si>
    <t>Cuautitlán Izcalli</t>
  </si>
  <si>
    <t>S7</t>
  </si>
  <si>
    <t>Cuernavaca</t>
  </si>
  <si>
    <t>S8</t>
  </si>
  <si>
    <t>Culiacán</t>
  </si>
  <si>
    <t>Cumbres</t>
  </si>
  <si>
    <t>Egreso</t>
  </si>
  <si>
    <t>Durango</t>
  </si>
  <si>
    <t>Baja</t>
  </si>
  <si>
    <t>Ferrería</t>
  </si>
  <si>
    <t>Guadalajara</t>
  </si>
  <si>
    <t>Guadalupe</t>
  </si>
  <si>
    <t>Hermosillo</t>
  </si>
  <si>
    <t>Laguna</t>
  </si>
  <si>
    <t>Las Torres</t>
  </si>
  <si>
    <t>Los Mochis</t>
  </si>
  <si>
    <t>Mazatlán</t>
  </si>
  <si>
    <t>Mérida</t>
  </si>
  <si>
    <t>Nuevo Laredo</t>
  </si>
  <si>
    <t>Obregón</t>
  </si>
  <si>
    <t>Puebla</t>
  </si>
  <si>
    <t>Querétaro</t>
  </si>
  <si>
    <t>Reynosa</t>
  </si>
  <si>
    <t>San Luis Potosí</t>
  </si>
  <si>
    <t>San Nicolás</t>
  </si>
  <si>
    <t>Toluca</t>
  </si>
  <si>
    <t>Veracruz</t>
  </si>
  <si>
    <t>Villahermosa</t>
  </si>
  <si>
    <t>Zapopan</t>
  </si>
  <si>
    <t>Zacatecas</t>
  </si>
  <si>
    <t>Tampico</t>
  </si>
  <si>
    <t>Morelia</t>
  </si>
  <si>
    <t>Base NI / RI / MT 2030–2040</t>
  </si>
  <si>
    <t>Carga aquí la trayectoria base anual o por periodo. Esta base no es meta: es el punto de partida editable del simulador.</t>
  </si>
  <si>
    <t>anio</t>
  </si>
  <si>
    <t>ni_total</t>
  </si>
  <si>
    <t>ri_total</t>
  </si>
  <si>
    <t>mt_total</t>
  </si>
  <si>
    <t>validacion_mt</t>
  </si>
  <si>
    <t>comentario</t>
  </si>
  <si>
    <t>Ejemplo: sustituir con dato base</t>
  </si>
  <si>
    <t>Posgrado</t>
  </si>
  <si>
    <t>Ejecutivo</t>
  </si>
  <si>
    <t>Equivalencias promedio histórico</t>
  </si>
  <si>
    <t>Alumnos que cuentan como NI, pero académicamente ingresan a un semestre distinto a S1. No se suman adicional a MT; solo reubican NI.</t>
  </si>
  <si>
    <t>semestre_ingreso</t>
  </si>
  <si>
    <t>metodo</t>
  </si>
  <si>
    <t>Ejemplo, cambia a promedio histórico</t>
  </si>
  <si>
    <t>Ejemplo con porcentaje sobre NI</t>
  </si>
  <si>
    <t>Tasas de avance / permanencia por campus</t>
  </si>
  <si>
    <t>Usa campus DEFAULT para tasa general. Si un campus tiene una tasa distinta, agrega una fila específica del campus.</t>
  </si>
  <si>
    <t>periodo_origen</t>
  </si>
  <si>
    <t>estado_origen</t>
  </si>
  <si>
    <t>estado_destino</t>
  </si>
  <si>
    <t>tasa</t>
  </si>
  <si>
    <t>Ajustar con histórico</t>
  </si>
  <si>
    <t>% presencialidad por semestre</t>
  </si>
  <si>
    <t>Esta sería la parte editable del simulador para decidir qué semestres usan salones y con qué intensidad.</t>
  </si>
  <si>
    <t>semestre</t>
  </si>
  <si>
    <t>pct_presencialidad</t>
  </si>
  <si>
    <t>Distribución de RI por semestre</t>
  </si>
  <si>
    <t>Hoja opcional. Sirve para repartir el RI total base entre semestres antes de calcular salones. Los porcentajes por campus/nivel/periodo deben sumar 100%.</t>
  </si>
  <si>
    <t>pct_ri</t>
  </si>
  <si>
    <t>Ejemplo, ajustar con histórico</t>
  </si>
  <si>
    <t>Validaciones rápidas</t>
  </si>
  <si>
    <t>Estas fórmulas ayudan a revisar si algunas hojas tienen inconsistencias básicas.</t>
  </si>
  <si>
    <t>Validación</t>
  </si>
  <si>
    <t>Resultado esperado</t>
  </si>
  <si>
    <t>Qué revisar</t>
  </si>
  <si>
    <t>MT = NI + RI en base_ni_ri_2030_2040</t>
  </si>
  <si>
    <t>validacion_mt debe decir OK</t>
  </si>
  <si>
    <t>Si aparece Revisar MT, corrige mt_total o deja que sea NI + RI.</t>
  </si>
  <si>
    <t>Distribución RI por semestre</t>
  </si>
  <si>
    <t>pct_ri debe sumar 100% por campus/nivel/periodo</t>
  </si>
  <si>
    <t>Revisar manualmente o con tabla dinámica si cargas muchos campus.</t>
  </si>
  <si>
    <t>Tasas desde un mismo estado</t>
  </si>
  <si>
    <t>Suma de destinos por origen debería ser &lt;= 100%</t>
  </si>
  <si>
    <t>Ejemplo: S8→Egreso + S8→Rezago.</t>
  </si>
  <si>
    <t>Equivalencias promedio</t>
  </si>
  <si>
    <t>No deben ser mayores al NI total del periodo</t>
  </si>
  <si>
    <t>Si usas fijo y el NI proyectado baja, revisar el promedio.</t>
  </si>
  <si>
    <t>Módulo multicampus / flex / presencial</t>
  </si>
  <si>
    <t>Nota v43</t>
  </si>
  <si>
    <t>La clasificación se hace por grupo académico estimado. En S6-S7 primero divide por la cantidad de rutas de enfoque de la hoja rutas_por_programa.</t>
  </si>
  <si>
    <t>Ruta redondeada</t>
  </si>
  <si>
    <t>Ejemplo: 21 alumnos / 6 rutas = 4 por ruta.</t>
  </si>
  <si>
    <t>parametro</t>
  </si>
  <si>
    <t>valor</t>
  </si>
  <si>
    <t>descripcion</t>
  </si>
  <si>
    <t>Clasificación</t>
  </si>
  <si>
    <t>Con 4 alumnos cae como Multicampus, no Mixto.</t>
  </si>
  <si>
    <t>min_multicampus</t>
  </si>
  <si>
    <t>Menor a este valor se clasifica como Flex.</t>
  </si>
  <si>
    <t>Presenciales</t>
  </si>
  <si>
    <t>Se reportan total, mañana y tarde según configuración de Salones.</t>
  </si>
  <si>
    <t>max_multicampus</t>
  </si>
  <si>
    <t>De min_multicampus a este valor se clasifica como Multicampus.</t>
  </si>
  <si>
    <t>Parámetros sugeridos</t>
  </si>
  <si>
    <t>ruta_semestre_min=6, ruta_semestre_max=7</t>
  </si>
  <si>
    <t>capacidad_salon_flex</t>
  </si>
  <si>
    <t>Capacidad en alumnos del espacio/salón flex.</t>
  </si>
  <si>
    <t>capacidad_salon_multicampus</t>
  </si>
  <si>
    <t>Capacidad en alumnos del espacio/salón multicampus.</t>
  </si>
  <si>
    <t>Nota v44</t>
  </si>
  <si>
    <t>capacidad_salon_normal</t>
  </si>
  <si>
    <t>Capacidad en alumnos del salón presencial normal.</t>
  </si>
  <si>
    <t>Salones presenciales</t>
  </si>
  <si>
    <t>Se calculan agregando alumnos y dividiendo entre 25.</t>
  </si>
  <si>
    <t>semestre_min</t>
  </si>
  <si>
    <t>Primer semestre a revisar.</t>
  </si>
  <si>
    <t>Antes</t>
  </si>
  <si>
    <t>Se sumaban salones por grupo y eso podía inflar mañana/tarde.</t>
  </si>
  <si>
    <t>semestre_max</t>
  </si>
  <si>
    <t>Último semestre a revisar.</t>
  </si>
  <si>
    <t>Comparación</t>
  </si>
  <si>
    <t>Pres. mañana debe ser comparable con la lógica de Salones.</t>
  </si>
  <si>
    <t>ruta_semestre_min</t>
  </si>
  <si>
    <t>Desde este semestre se divide entre rutas de enfoque.</t>
  </si>
  <si>
    <t>ruta_semestre_max</t>
  </si>
  <si>
    <t>Hasta este semestre se divide entre rutas de enfoque.</t>
  </si>
  <si>
    <t>Nota v45</t>
  </si>
  <si>
    <t>umbral_salones_normales</t>
  </si>
  <si>
    <t>Salones presenciales mínimos para sugerir bloque/edificio.</t>
  </si>
  <si>
    <t>Se reparte desde NI Profesional del año.</t>
  </si>
  <si>
    <t>S2-S8</t>
  </si>
  <si>
    <t>Se reparten desde RI Profesional usando la distribución de semestre normalizada.</t>
  </si>
  <si>
    <t>La pestaña Multicampus muestra NI S1 y RI S2-S8 para verificar cuadratura.</t>
  </si>
  <si>
    <t>Ejemplo</t>
  </si>
  <si>
    <t>Si Campus dice NI Prof 2030 = 191, S1 debe sumar aprox. 191.</t>
  </si>
  <si>
    <t>Nota v46</t>
  </si>
  <si>
    <t>Base 2030-2040</t>
  </si>
  <si>
    <t>El HTML respeta exactamente NI, RI y MT de la hoja base.</t>
  </si>
  <si>
    <t>Se reparte con NI Profesional.</t>
  </si>
  <si>
    <t>Se reparte con RI Profesional y debe cuadrar al total RI.</t>
  </si>
  <si>
    <t>Cuenta como RI en validación, pero NO genera Flex/Multicampus/Presencial.</t>
  </si>
  <si>
    <t>Evaluación de espacios</t>
  </si>
  <si>
    <t>Solo S1-S7.</t>
  </si>
  <si>
    <t>% programa</t>
  </si>
  <si>
    <t>Se normaliza a 100% para repartir todos los NI/RI entre los programas cargados.</t>
  </si>
  <si>
    <t>Nota v47</t>
  </si>
  <si>
    <t>Ya no aparece en el desglose por programa ni genera espacios.</t>
  </si>
  <si>
    <t>Tabla de programas</t>
  </si>
  <si>
    <t>Ya no muestra etiquetas NI/RI dentro de las celdas.</t>
  </si>
  <si>
    <t>Cuadre Salones</t>
  </si>
  <si>
    <t>Pres. mañana en Multicampus usa el mismo cálculo de la pestaña Salones.</t>
  </si>
  <si>
    <t>Carrera nueva</t>
  </si>
  <si>
    <t>Se puede simular desde el HTML. Se suma a NI, RI y MT de Profesional.</t>
  </si>
  <si>
    <t>RI carrera nueva</t>
  </si>
  <si>
    <t>Se estima con el RI/NI del campus en cada año.</t>
  </si>
  <si>
    <t>Rutas carrera nueva</t>
  </si>
  <si>
    <t>Se capturan en el simulador para S6 y S7.</t>
  </si>
  <si>
    <t>Prioridad</t>
  </si>
  <si>
    <t>Los espacios multicampus/flex son complemento; salones presenciales mañana cuadra con Salones.</t>
  </si>
  <si>
    <t>Nota v48</t>
  </si>
  <si>
    <t>Tasas 2030-2040</t>
  </si>
  <si>
    <t>Vuelven a mostrarse. Si no se editan, se respeta la base del Excel.</t>
  </si>
  <si>
    <t>Si se editan</t>
  </si>
  <si>
    <t>Recalcula desde el año previo usando la tasa capturada.</t>
  </si>
  <si>
    <t>Validación removida</t>
  </si>
  <si>
    <t>Se quitó la tabla de validación de Multicampus.</t>
  </si>
  <si>
    <t>RI S2-S8</t>
  </si>
  <si>
    <t>El reparto base se fuerza a cuadrar con RI Profesional.</t>
  </si>
  <si>
    <t>No aparece en desglose de programas ni genera espacios.</t>
  </si>
  <si>
    <t>Salones</t>
  </si>
  <si>
    <t>Profesional en Salones y Multicampus excluye S8 y usa el mismo total.</t>
  </si>
  <si>
    <t>Por semestre</t>
  </si>
  <si>
    <t>Los salones mañana/tarde se asignan por peso para que sumen exactamente el total anual.</t>
  </si>
  <si>
    <t>Nota v49</t>
  </si>
  <si>
    <t>Fix Multicampus</t>
  </si>
  <si>
    <t>Se reconstruyó la lógica final sin recursión; vuelve a cargar años y tablas.</t>
  </si>
  <si>
    <t>Se muestran. Si no se tocan, respeta la base del Excel.</t>
  </si>
  <si>
    <t>Recalcula desde el año previo con la tasa capturada.</t>
  </si>
  <si>
    <t>Se fuerza a cuadrar con RI Profesional del Campus.</t>
  </si>
  <si>
    <t>No aparece en desglose ni genera espacios.</t>
  </si>
  <si>
    <t>Pres. mañana en Multicampus usa el mismo total de la pestaña Salones.</t>
  </si>
  <si>
    <t>Se eliminó la tabla de validación para evitar confusión por redondeos.</t>
  </si>
  <si>
    <t>Base de troncalidad por programa y certificado</t>
  </si>
  <si>
    <t>Programa</t>
  </si>
  <si>
    <t>Certificado</t>
  </si>
  <si>
    <t>Tipo de certificado</t>
  </si>
  <si>
    <t>Secuencia</t>
  </si>
  <si>
    <t>Numero de Semestre</t>
  </si>
  <si>
    <t>Observaciones</t>
  </si>
  <si>
    <t>Licenciatura en Administración de Empresas</t>
  </si>
  <si>
    <t>Transformación digital</t>
  </si>
  <si>
    <t>Troncal</t>
  </si>
  <si>
    <t>Reemplazar ejemplos por datos reales. La llave principal será Programa + Certificado + Numero de Semestre.</t>
  </si>
  <si>
    <t>Fundamentos de programación</t>
  </si>
  <si>
    <t>Estrategia y ventaja competitiva</t>
  </si>
  <si>
    <t>Certificado de Lengua Extranjera 1</t>
  </si>
  <si>
    <t>Emprendimiento</t>
  </si>
  <si>
    <t>Big Data Analytics</t>
  </si>
  <si>
    <t>Administración de operaciones</t>
  </si>
  <si>
    <t>Certificado de Lengua Extranjera 2</t>
  </si>
  <si>
    <t>Mercadotecnia estratégica</t>
  </si>
  <si>
    <t>Derecho corporativo</t>
  </si>
  <si>
    <t>Administración del talento humano</t>
  </si>
  <si>
    <t>Certificado de Lengua Extranjera 3</t>
  </si>
  <si>
    <t>Mercadotecnia digital</t>
  </si>
  <si>
    <t>Bienestar y significado en el trabajo</t>
  </si>
  <si>
    <t>Análisis de estados financieros</t>
  </si>
  <si>
    <t>Certificado de Lengua Extranjera 4</t>
  </si>
  <si>
    <t>Consultoría administrativa</t>
  </si>
  <si>
    <t>Compras y desarrollo de proveedores</t>
  </si>
  <si>
    <t>Administración de proyectos</t>
  </si>
  <si>
    <t>Certificado de Lengua Extranjera 5</t>
  </si>
  <si>
    <t>Optativa 1</t>
  </si>
  <si>
    <t>Optativa 2</t>
  </si>
  <si>
    <t>Optativa 3</t>
  </si>
  <si>
    <t>Certificado de Lengua Extranjera 6</t>
  </si>
  <si>
    <t>Optativa 4</t>
  </si>
  <si>
    <t>Optativa 5</t>
  </si>
  <si>
    <t>Optativa 6</t>
  </si>
  <si>
    <t>Certificado de Lengua Extranjera 7</t>
  </si>
  <si>
    <t>Licenciatura en Comercio y Negocios Internacionales</t>
  </si>
  <si>
    <t>Geografía política</t>
  </si>
  <si>
    <t>Estrategias para el comercio global</t>
  </si>
  <si>
    <t>Economía política internacional</t>
  </si>
  <si>
    <t>Sistemas e infraestructura logística</t>
  </si>
  <si>
    <t>Gestión de transportes</t>
  </si>
  <si>
    <t>Administración de la cadena de suministros</t>
  </si>
  <si>
    <t>Tratados internacionales y comercio exterior</t>
  </si>
  <si>
    <t>Documentación y trámites aduanales</t>
  </si>
  <si>
    <t>Optariva 1</t>
  </si>
  <si>
    <t>Optariva 2</t>
  </si>
  <si>
    <t>Optariva 3</t>
  </si>
  <si>
    <t>Optariva 4</t>
  </si>
  <si>
    <t>Optariva 5</t>
  </si>
  <si>
    <t>Optariva 6</t>
  </si>
  <si>
    <t>Licenciatura en Contabilidad y Estrategia Financiera</t>
  </si>
  <si>
    <t>Legislación fiscal</t>
  </si>
  <si>
    <t>Finanzas corporativas</t>
  </si>
  <si>
    <t>Contabilidad financiera y costos</t>
  </si>
  <si>
    <t>Mercado de Deuda y Capitales</t>
  </si>
  <si>
    <t>Finanzas internacionales</t>
  </si>
  <si>
    <t>Finanzas Conductuales</t>
  </si>
  <si>
    <t>Auditoría financiera</t>
  </si>
  <si>
    <t>Administración de riesgos y derivados</t>
  </si>
  <si>
    <t>Licenciatura en Creación y Desarrollo de Empresas</t>
  </si>
  <si>
    <t>Modelos de negocios</t>
  </si>
  <si>
    <t>Innovación y disrupción</t>
  </si>
  <si>
    <t>Creatividad estratégica</t>
  </si>
  <si>
    <t>Innovación efectiva y oportunidades de negocio</t>
  </si>
  <si>
    <t>Emprendimiento social</t>
  </si>
  <si>
    <t>Diseño de productos</t>
  </si>
  <si>
    <t>Marco legal del emprendimiento</t>
  </si>
  <si>
    <t>Inversión y viabilidad de proyectos</t>
  </si>
  <si>
    <t>Licenciatura en Derecho</t>
  </si>
  <si>
    <t>Teoría del derecho penal y delitos</t>
  </si>
  <si>
    <t>Introducción al estudio del derecho</t>
  </si>
  <si>
    <t>Bienes, derechos reales y sucesiones</t>
  </si>
  <si>
    <t>Derecho familiar y su proceso</t>
  </si>
  <si>
    <t>Derecho de las obligaciones</t>
  </si>
  <si>
    <t>Derecho constitucional y jurisprudencial</t>
  </si>
  <si>
    <t>Derecho procesal penal</t>
  </si>
  <si>
    <t>Derecho mercantil y títulos de crédito</t>
  </si>
  <si>
    <t>Derecho internacional público y privado</t>
  </si>
  <si>
    <t>Derecho laboral y su proceso</t>
  </si>
  <si>
    <t>Derecho administrativo y políticas públicas</t>
  </si>
  <si>
    <t>Contratos y derecho procesal civil</t>
  </si>
  <si>
    <t>Juicio de amparo y argumentación</t>
  </si>
  <si>
    <t>Derecho fiscal y su proceso</t>
  </si>
  <si>
    <t>Contratos y derecho procesal mercantil</t>
  </si>
  <si>
    <t>Licenciatura en Diseño Gráfico y Animación</t>
  </si>
  <si>
    <t>Introducción a la animación</t>
  </si>
  <si>
    <t>Fundamentos de diseño gráfico</t>
  </si>
  <si>
    <t>Producción audiovisual</t>
  </si>
  <si>
    <t>Pre-producción para la animación</t>
  </si>
  <si>
    <t>Fundamentos de dibujo y representación</t>
  </si>
  <si>
    <t>Ilustración digital</t>
  </si>
  <si>
    <t>Desarrollo de aplicaciones móviles</t>
  </si>
  <si>
    <t>Animación 2D</t>
  </si>
  <si>
    <t>UX/UI</t>
  </si>
  <si>
    <t>Modelación y animación 3D</t>
  </si>
  <si>
    <t>Diseño para medios digitales</t>
  </si>
  <si>
    <t>Identidad corporativa</t>
  </si>
  <si>
    <t>Efectos visuales</t>
  </si>
  <si>
    <t>Licenciatura en Gastronomía Internacional</t>
  </si>
  <si>
    <t>Gestión de alimentos y bebidas</t>
  </si>
  <si>
    <t>Fundamentos culinarios</t>
  </si>
  <si>
    <t>Sanidad e higiene de los alimentos</t>
  </si>
  <si>
    <t>Cocina fría</t>
  </si>
  <si>
    <t>Servicio y experiencias</t>
  </si>
  <si>
    <t>Panadería, repostería y confitería</t>
  </si>
  <si>
    <t>Ciencia y servicio de alimentos</t>
  </si>
  <si>
    <t>Tecnología de los alimentos</t>
  </si>
  <si>
    <t>Planeación de menús y banquetes</t>
  </si>
  <si>
    <t>Enología y vitivinicultura</t>
  </si>
  <si>
    <t>Patromonio gastronómico de México</t>
  </si>
  <si>
    <t>Diseño de operaciones culinarias</t>
  </si>
  <si>
    <t>Catering y relaciones públicas</t>
  </si>
  <si>
    <t>Licenciatura en Ingeniería en Desarrollo de Software</t>
  </si>
  <si>
    <t>Probabilidad y estadística para ciencia de datos</t>
  </si>
  <si>
    <t>Computación en la nube</t>
  </si>
  <si>
    <t>Sistemas operativos</t>
  </si>
  <si>
    <t>Programación orientada a objetos</t>
  </si>
  <si>
    <t>Ciencia de datos</t>
  </si>
  <si>
    <t>Metodologías ágiles</t>
  </si>
  <si>
    <t>Estructuras de datos</t>
  </si>
  <si>
    <t>Bases de datos</t>
  </si>
  <si>
    <t xml:space="preserve">Gestión de Redes </t>
  </si>
  <si>
    <t>Fundamentos de DevOps</t>
  </si>
  <si>
    <t>Desarrollo full stack</t>
  </si>
  <si>
    <t>Ingeniería de software</t>
  </si>
  <si>
    <t>Ciberseguridad</t>
  </si>
  <si>
    <t>Licenciatura en Ingeniería en Logística y Cadena de Suministro</t>
  </si>
  <si>
    <t>Economía</t>
  </si>
  <si>
    <t>Ciencias de la ingeniería</t>
  </si>
  <si>
    <t>Fundamentos de logística y cadena de suministros</t>
  </si>
  <si>
    <t>Transporte y distribución</t>
  </si>
  <si>
    <t>Gestión de inventarios</t>
  </si>
  <si>
    <t>Cadena de valor adaptativa y logística</t>
  </si>
  <si>
    <t>Tecnologías de información logística</t>
  </si>
  <si>
    <t>Gestión de proyectos logísticos</t>
  </si>
  <si>
    <t>Optimización de la cadena de valor</t>
  </si>
  <si>
    <t>Gestión de riesgos y contingencias</t>
  </si>
  <si>
    <t>Empaque y clasificación de materiales</t>
  </si>
  <si>
    <t>Licenciatura en Ingeniería Industrial</t>
  </si>
  <si>
    <t>Dibujo computarizado</t>
  </si>
  <si>
    <t>Procesos de manufactura</t>
  </si>
  <si>
    <t>Ingeniería de precisión</t>
  </si>
  <si>
    <t>Diseño del trabajo y entornos industriales</t>
  </si>
  <si>
    <t>Herramientas para la medición y mejora de la producción</t>
  </si>
  <si>
    <t>Gestión de operaciones y producción</t>
  </si>
  <si>
    <t>Excelencia operacional y sustentabilidad</t>
  </si>
  <si>
    <t>Simulación de eventos discretos</t>
  </si>
  <si>
    <t>Gestión de la calidad</t>
  </si>
  <si>
    <t>Evaluación de Proyectos</t>
  </si>
  <si>
    <t>Licenciatura en Ingeniería Mecatrónica</t>
  </si>
  <si>
    <t>Mecánica de materiales</t>
  </si>
  <si>
    <t>Matemáticas avanzadas</t>
  </si>
  <si>
    <t>Circuitos eléctricos y electrónicos</t>
  </si>
  <si>
    <t>Ingeniería de control</t>
  </si>
  <si>
    <t>Diseño mecatrónico</t>
  </si>
  <si>
    <t>Automatización industrial</t>
  </si>
  <si>
    <t>Robótica industrial</t>
  </si>
  <si>
    <t>Diseño de redes industriales</t>
  </si>
  <si>
    <t>Control digital</t>
  </si>
  <si>
    <t xml:space="preserve">Optativa 1 </t>
  </si>
  <si>
    <t>Licenciatura en Mercadotecnia</t>
  </si>
  <si>
    <t>Mercados y consumidores</t>
  </si>
  <si>
    <t>La oferta de valor - productos y servicios</t>
  </si>
  <si>
    <t>Fundamentos de investigación de mercados</t>
  </si>
  <si>
    <t>Distribución de la oferta de valor</t>
  </si>
  <si>
    <t>Administración de precios</t>
  </si>
  <si>
    <t>Administración de marcas</t>
  </si>
  <si>
    <t>Estrategias de redes sociales</t>
  </si>
  <si>
    <t>Creación de contenidos y Storytelling</t>
  </si>
  <si>
    <t>Comunicación de la oferta de valor</t>
  </si>
  <si>
    <t>Portafolio actual de programas por campus</t>
  </si>
  <si>
    <t>Campus</t>
  </si>
  <si>
    <t>Nivel</t>
  </si>
  <si>
    <t>Modalidad</t>
  </si>
  <si>
    <t>Activo</t>
  </si>
  <si>
    <t>SI</t>
  </si>
  <si>
    <t>Capturar un renglón por campus-programa activo.</t>
  </si>
  <si>
    <t>Licenciatura en Nutrición</t>
  </si>
  <si>
    <t>Licenciatura en Psicología</t>
  </si>
  <si>
    <t>Licenciatura en Enfermería</t>
  </si>
  <si>
    <t>Rutas enfoque y reutilización de certificados</t>
  </si>
  <si>
    <t>Nota v42</t>
  </si>
  <si>
    <t>La división S6-S7 usa primero rutas_por_programa.</t>
  </si>
  <si>
    <t>Esta hoja queda como respaldo/detalle de certificados.</t>
  </si>
  <si>
    <t>Ruta</t>
  </si>
  <si>
    <t>Numero de certificado</t>
  </si>
  <si>
    <t>Reutilizacion de certificados</t>
  </si>
  <si>
    <t>Si rutas_por_programa dice 4 rutas:</t>
  </si>
  <si>
    <t>se divide entre 4 aunque aquí no estén todas las rutas detalladas.</t>
  </si>
  <si>
    <t>Estrategia Publicitaria</t>
  </si>
  <si>
    <t xml:space="preserve">Diseño de productos </t>
  </si>
  <si>
    <t>Reutilización = número de rutas/programas donde se repite el certificado.</t>
  </si>
  <si>
    <t>Troncalidad:</t>
  </si>
  <si>
    <t>Maps bimestral sigue ayudando a agrupar certificados compartidos.</t>
  </si>
  <si>
    <t>Sociología del consumo</t>
  </si>
  <si>
    <t>Publicidad</t>
  </si>
  <si>
    <t>Comercio detallista</t>
  </si>
  <si>
    <t>Estrategías de Mercadotecnia en Buscadores y Comercio Electrónico</t>
  </si>
  <si>
    <t>Analítica digital</t>
  </si>
  <si>
    <t>Serch engine optimization (SEO)</t>
  </si>
  <si>
    <t>Serch engine marketin (SEM)</t>
  </si>
  <si>
    <t>Marketing automation</t>
  </si>
  <si>
    <t>Growth hacking</t>
  </si>
  <si>
    <t>Comercio electrónico</t>
  </si>
  <si>
    <t>Gestión de ventas estratégicas</t>
  </si>
  <si>
    <t>Servicios y experiencia al cliente</t>
  </si>
  <si>
    <t>Administración y promoción de ventas</t>
  </si>
  <si>
    <t>Negocioción y comunicación comercial</t>
  </si>
  <si>
    <t>Habilidades para la venta</t>
  </si>
  <si>
    <t>Administración de equipos de venta</t>
  </si>
  <si>
    <t>Administración de cuentas claves</t>
  </si>
  <si>
    <t>Inteligencia de mercados</t>
  </si>
  <si>
    <t>Visualización de datos y storytelling</t>
  </si>
  <si>
    <t>Métodos de investigación cuantitativa</t>
  </si>
  <si>
    <t>Métodos de investigación cualitativa</t>
  </si>
  <si>
    <t>estadística multivariante</t>
  </si>
  <si>
    <t>Estadística descriptiva e inferencial</t>
  </si>
  <si>
    <t>Analítica aplicada de marketing</t>
  </si>
  <si>
    <t>Automatización Industrial</t>
  </si>
  <si>
    <t>Sistemas de visión y procesamiento de imágenes</t>
  </si>
  <si>
    <t>Simulación de procesos y gemelos digitales</t>
  </si>
  <si>
    <t>Robótica móvil</t>
  </si>
  <si>
    <t>Robótica Avanzada</t>
  </si>
  <si>
    <t>Programación de PLC</t>
  </si>
  <si>
    <t>Internet Industrial de las cosas y sistemas embenidos</t>
  </si>
  <si>
    <t>Diseño de Procesos sostenibles de manufactura</t>
  </si>
  <si>
    <t>Diseño de productos eco innovadores</t>
  </si>
  <si>
    <t>Tecnología de baterías y almacenamiento</t>
  </si>
  <si>
    <t>Procesos de manufactura y gestión de residuos</t>
  </si>
  <si>
    <t>Materiales sostenibles</t>
  </si>
  <si>
    <t>Automatización verde en la manufactura</t>
  </si>
  <si>
    <t>Análisis y evaluación de ciclo de vida y ecoeficiencia</t>
  </si>
  <si>
    <t>Inteligencia Artificial</t>
  </si>
  <si>
    <t>Algoritmos de aprendizaje automatico</t>
  </si>
  <si>
    <t>Inteligencia artificial</t>
  </si>
  <si>
    <t>Sistemas de visión artificial</t>
  </si>
  <si>
    <t>Predicción de fallas para mantenimientos</t>
  </si>
  <si>
    <t>Optimización de trayectorias de robots</t>
  </si>
  <si>
    <t>Ciencia de Datos</t>
  </si>
  <si>
    <t>Mecatrónica Avanzada</t>
  </si>
  <si>
    <t>Fundamentos de gestión de proyectos</t>
  </si>
  <si>
    <t>Sistemas hidráulicos y neumáticos</t>
  </si>
  <si>
    <t>Integración de sistemas mecatrónicos</t>
  </si>
  <si>
    <t>Implementación y otimización en manufactura</t>
  </si>
  <si>
    <t>Fudamentos de planificación y diseño</t>
  </si>
  <si>
    <t>Diseño de celdas de manufactura</t>
  </si>
  <si>
    <t>Semiconducotes y Micro Manufactura</t>
  </si>
  <si>
    <t>Teoría de dispositivos semiconducotres</t>
  </si>
  <si>
    <t>Manufactura de empaquetado de semiconducotores</t>
  </si>
  <si>
    <t>Introducción al empaquetado de semiconductores</t>
  </si>
  <si>
    <t>Fundamentos de ciencia e ingeniería de los materiales</t>
  </si>
  <si>
    <t>Empaquetado de semiconductores avanzado</t>
  </si>
  <si>
    <t>Análisis de Elemento finito</t>
  </si>
  <si>
    <t>Sistemas de Control</t>
  </si>
  <si>
    <t>Automatización y control de procesos de fabricación</t>
  </si>
  <si>
    <t>Sistemas de control no lineales</t>
  </si>
  <si>
    <t>Sistemas de Control embebido</t>
  </si>
  <si>
    <t>Simulación y diseño de sistemas de control</t>
  </si>
  <si>
    <t>Control de redes y comunicación máquina a máquina</t>
  </si>
  <si>
    <t>Control Avanzado</t>
  </si>
  <si>
    <t>Tecnologías de Baterías</t>
  </si>
  <si>
    <t>Seguridad y manejo de baterías</t>
  </si>
  <si>
    <t>Evaluación, manufactura y. empaquetado de baterías</t>
  </si>
  <si>
    <t>Baterías primarias y secundarias</t>
  </si>
  <si>
    <t>Baterias en vehículos eléctricos</t>
  </si>
  <si>
    <t>Baterías basadas en zinc y níquel</t>
  </si>
  <si>
    <t>Baterías basadas en litio</t>
  </si>
  <si>
    <t>Vehículos autónomos</t>
  </si>
  <si>
    <t>Sistemas de seguridad activa y pasiva</t>
  </si>
  <si>
    <t>Sistemas de control y navegación</t>
  </si>
  <si>
    <t>Potencia automotriz</t>
  </si>
  <si>
    <t>Integración de tecnologías de vehículos conectados</t>
  </si>
  <si>
    <t>Diseño de sistemas de Seguridad de vehículos autónomos</t>
  </si>
  <si>
    <t>Actuadores y sistemas de dirección</t>
  </si>
  <si>
    <t>Análisis de Datos y Digitalización</t>
  </si>
  <si>
    <t>Modelado y simulación en la gestión de Riesgos</t>
  </si>
  <si>
    <t>Herramientas tecnológicas para análisis de datos II</t>
  </si>
  <si>
    <t>Herramientas tecnológicas para análisis de datos I</t>
  </si>
  <si>
    <t>Estrategia y toma de decisiones basada en datos</t>
  </si>
  <si>
    <t>Diseño mecánico</t>
  </si>
  <si>
    <t>Calidad Automotriz</t>
  </si>
  <si>
    <t>Liderazgo Estratégico</t>
  </si>
  <si>
    <t>Normatividad automotriz</t>
  </si>
  <si>
    <t>Gestión y control de documentos</t>
  </si>
  <si>
    <t>Core Tools II</t>
  </si>
  <si>
    <t>Core Tools I</t>
  </si>
  <si>
    <t>Auditoría y revisión de sistemas de calidad</t>
  </si>
  <si>
    <t>Equipos de Alto Rendimiento</t>
  </si>
  <si>
    <t>Fundamentos de seguridad industrial</t>
  </si>
  <si>
    <t>Administración del cambio</t>
  </si>
  <si>
    <t>Gestión de documentos claves para producción</t>
  </si>
  <si>
    <t>Cultura organizacional</t>
  </si>
  <si>
    <t>Control Integral de piso de producción</t>
  </si>
  <si>
    <t>Gestión de Proyectos Green Belt</t>
  </si>
  <si>
    <t>Proyectos de mejora continua</t>
  </si>
  <si>
    <t>Métodos y herramientas avanzadas Green Belt</t>
  </si>
  <si>
    <t>Lean Six Sigma y metodología DMAIC</t>
  </si>
  <si>
    <t>Herramientas y software para la gestión de proyectos</t>
  </si>
  <si>
    <t>Gestión de Riesgos en Mercados Internacionales</t>
  </si>
  <si>
    <t>Riesgos financieros y comerciales en logística</t>
  </si>
  <si>
    <t>Importación y Exportación</t>
  </si>
  <si>
    <t>Riesgos sociales, ambientales y éticos</t>
  </si>
  <si>
    <t>Riesgos logísticos y modelos avanzados</t>
  </si>
  <si>
    <t>Gestión avanzada de importación y exportación</t>
  </si>
  <si>
    <t>Gestión aduanera y procedimientos de importación / Exportación</t>
  </si>
  <si>
    <t>Innovación y Logística Inteligente</t>
  </si>
  <si>
    <t>Sistemas de trazabilidad y RFID en logística</t>
  </si>
  <si>
    <t>Internet de las cosas (IOT) en logística</t>
  </si>
  <si>
    <t>Planeación de Materias y gestión de Almacenes</t>
  </si>
  <si>
    <t>Planeación de inventarios</t>
  </si>
  <si>
    <t>fundamentos de la planeación maestra y administración</t>
  </si>
  <si>
    <t>gestión del almacén y seguridad</t>
  </si>
  <si>
    <t>Diseño y optimización de almacenes</t>
  </si>
  <si>
    <t>Análisis de Datos</t>
  </si>
  <si>
    <t>Algoritmos de aprendizaje automatizado</t>
  </si>
  <si>
    <t>Visualización de datos masivos</t>
  </si>
  <si>
    <t>Sistemas y tecnologías de administración del conocimiento</t>
  </si>
  <si>
    <t>Gestión de tecnologías de información</t>
  </si>
  <si>
    <t>Análisis de datos con PowerBi</t>
  </si>
  <si>
    <t>Analítica de big data</t>
  </si>
  <si>
    <t>Diseño y arquitectura de software</t>
  </si>
  <si>
    <t>Tópico selecto de tecnología de información</t>
  </si>
  <si>
    <t>Herramientas de tecnologías de información</t>
  </si>
  <si>
    <t>Tecnología de información de vanguardia</t>
  </si>
  <si>
    <t>Inteligencia de amenazas cibernéticas</t>
  </si>
  <si>
    <t>Getión de tecnologías de información</t>
  </si>
  <si>
    <t>Diseño y Programación de videojuegos</t>
  </si>
  <si>
    <t>Programación de videojuegos</t>
  </si>
  <si>
    <t>Producción y composición digital</t>
  </si>
  <si>
    <t>Gestión y automatización de pruebas de software</t>
  </si>
  <si>
    <t>Diseño y animación del videojuegos</t>
  </si>
  <si>
    <t>Aplicaciones interactivas</t>
  </si>
  <si>
    <t>Diseño y arquitecturas de software</t>
  </si>
  <si>
    <t>Tendencias tecnológicas</t>
  </si>
  <si>
    <t>Fundamentos de computación cuántica</t>
  </si>
  <si>
    <t>Metodología DevOps</t>
  </si>
  <si>
    <t>Programación con código bajo</t>
  </si>
  <si>
    <t>Especialización en DevOps</t>
  </si>
  <si>
    <t>Procesamiento de datos a gran escala BD</t>
  </si>
  <si>
    <t>Programación en Scala para la ciencia de datos</t>
  </si>
  <si>
    <t>Procesamiento en tiempo real de datos distribuidos</t>
  </si>
  <si>
    <t>Fundamentos de Big Data</t>
  </si>
  <si>
    <t>Aplicaciones de procesamientos por lotes de datos distribuidos</t>
  </si>
  <si>
    <t>Administración de Big Data en servidores distribuidos</t>
  </si>
  <si>
    <t>Gastronomia Internacional</t>
  </si>
  <si>
    <t>Innovación y creatividad culinaria Internacional III</t>
  </si>
  <si>
    <t>Innovación y creatividad culinaria Internacional II</t>
  </si>
  <si>
    <t>Innovación y creatividad culinaria Internacional I</t>
  </si>
  <si>
    <t>Cultura grastronómica Internacional III</t>
  </si>
  <si>
    <t>Cultura grastronómica Internacional II</t>
  </si>
  <si>
    <t>Cultura grastronómica Internacional I</t>
  </si>
  <si>
    <t>Gastronomía Latinoamericana</t>
  </si>
  <si>
    <t>Innovación y creatividad culinaria Latinoamericana III</t>
  </si>
  <si>
    <t>Innovación y creatividad culinaria Latinoamericana II</t>
  </si>
  <si>
    <t>Innovación y creatividad culinaria Latinoamericana I</t>
  </si>
  <si>
    <t>Cultura grastronómica latinoamericana III</t>
  </si>
  <si>
    <t>Cultura grastronómica latinoamericana II</t>
  </si>
  <si>
    <t>Cultura grastronómica latinoamericana I</t>
  </si>
  <si>
    <t>Gastronomía Regional Mexicana</t>
  </si>
  <si>
    <t>Ventas directas</t>
  </si>
  <si>
    <t>Gastronomía Regional Mexicana III</t>
  </si>
  <si>
    <t>Gastronomía Regional Mexicana II</t>
  </si>
  <si>
    <t>Mercadotecnia estratégica administración de operaciones</t>
  </si>
  <si>
    <t>Gastronomía Regional Mexicana I</t>
  </si>
  <si>
    <t>Animación</t>
  </si>
  <si>
    <t>Cultura visual</t>
  </si>
  <si>
    <t>Renderización e iluminación</t>
  </si>
  <si>
    <t>Diseño sonoro</t>
  </si>
  <si>
    <t>Diseño de videojuegos</t>
  </si>
  <si>
    <t>Diseño Gráfico</t>
  </si>
  <si>
    <t>Semiótica para el diseño gráfico</t>
  </si>
  <si>
    <t>Producción editorial</t>
  </si>
  <si>
    <t>Fotografía digital</t>
  </si>
  <si>
    <t>Empaque y embalaje</t>
  </si>
  <si>
    <t>Criminología</t>
  </si>
  <si>
    <t>Lectura y redacción jurídica</t>
  </si>
  <si>
    <t>Victimología</t>
  </si>
  <si>
    <t>Perfiles criminales</t>
  </si>
  <si>
    <t>Medicina Forense</t>
  </si>
  <si>
    <t>Derechos Humanos</t>
  </si>
  <si>
    <t>Responsabilidad social empresarial y derechos humanos</t>
  </si>
  <si>
    <t>igualdad de género y no discriminación</t>
  </si>
  <si>
    <t>Derechos fundamentales y sus procesos</t>
  </si>
  <si>
    <t>Derechos civiles y políticos</t>
  </si>
  <si>
    <t>Legal Tech</t>
  </si>
  <si>
    <t>Fundamentos de la programación</t>
  </si>
  <si>
    <t>Legal tech y Reg Tech</t>
  </si>
  <si>
    <t>Innovación y transformación digital de la abogacía</t>
  </si>
  <si>
    <t>Gestión de la abogacía</t>
  </si>
  <si>
    <t>Derecho cibernético e informático</t>
  </si>
  <si>
    <t>Sistema Penal Acusatorio</t>
  </si>
  <si>
    <t>Teoría del delito en el sistema penal acusatorio</t>
  </si>
  <si>
    <t>MASC en el sistema acusatorio</t>
  </si>
  <si>
    <t>Delitos especiales</t>
  </si>
  <si>
    <t>Ciencias forenses en el sistema penal acusatorio</t>
  </si>
  <si>
    <t>Estrategia para nuevas empresas</t>
  </si>
  <si>
    <t>Administración de inventarios</t>
  </si>
  <si>
    <t>Propiedad intelectual y patentes</t>
  </si>
  <si>
    <t>Franquicias para emprendedores</t>
  </si>
  <si>
    <t>Emprendimiento digital</t>
  </si>
  <si>
    <t>Administración de PYMES y empresas familiares</t>
  </si>
  <si>
    <t>Estrategias de mercadotecnia</t>
  </si>
  <si>
    <t>Mercadotecniadigital</t>
  </si>
  <si>
    <t>Estrategia de redes sociales</t>
  </si>
  <si>
    <t>Optativa 7</t>
  </si>
  <si>
    <t>Contabilidad y Derecho</t>
  </si>
  <si>
    <t>Modelación financiera</t>
  </si>
  <si>
    <t>Gestión de activos</t>
  </si>
  <si>
    <t>Derecho Laboral</t>
  </si>
  <si>
    <t>Contabilidad de sociedades mercantiles</t>
  </si>
  <si>
    <t>Contabilidad administrativa</t>
  </si>
  <si>
    <t>Inversiones</t>
  </si>
  <si>
    <t>Inversiones alternativas y ETFS</t>
  </si>
  <si>
    <t>Inversión y viabildiad de proyectos</t>
  </si>
  <si>
    <t>Criptofinanzas</t>
  </si>
  <si>
    <t>Analítica financiera</t>
  </si>
  <si>
    <t>Admnistración de fondos de inversión</t>
  </si>
  <si>
    <t>Administración de portafolios de inversión</t>
  </si>
  <si>
    <t>Logistica y cadena de suministro</t>
  </si>
  <si>
    <t>Planeación de la cadena de suministro</t>
  </si>
  <si>
    <t>Merceología</t>
  </si>
  <si>
    <t>Gestión de centros de distribución, bodegas y almacenes</t>
  </si>
  <si>
    <t>Empaque, embalaje y etiquetado</t>
  </si>
  <si>
    <t>Negocios Internacionales</t>
  </si>
  <si>
    <t>Negocios en Asia y Europa</t>
  </si>
  <si>
    <t>Negocios en América</t>
  </si>
  <si>
    <t>Contratos internacionales</t>
  </si>
  <si>
    <t>Análisis de mercados internacionales</t>
  </si>
  <si>
    <t>Gestión del capital humano</t>
  </si>
  <si>
    <t>Relaciones laborales, seguridad e higiene</t>
  </si>
  <si>
    <t>Desarrollo roganizacional</t>
  </si>
  <si>
    <t>Atracción del capital humano</t>
  </si>
  <si>
    <t>Aprendizaje organizacional</t>
  </si>
  <si>
    <t>Administración de las compensaciones</t>
  </si>
  <si>
    <t>Liderazgo e Innovación</t>
  </si>
  <si>
    <t>Innovación efectiva</t>
  </si>
  <si>
    <t>Habilidades directivas</t>
  </si>
  <si>
    <t>Ética Empresarial</t>
  </si>
  <si>
    <t>Creatividad y disrupciíon</t>
  </si>
  <si>
    <t>Turismo</t>
  </si>
  <si>
    <t>Turimos cultural en México</t>
  </si>
  <si>
    <t>Operaciones hoteleras</t>
  </si>
  <si>
    <t>Operaciones básicas de la industria turística</t>
  </si>
  <si>
    <t>Gestión de alimentos y Bebidas</t>
  </si>
  <si>
    <t>Aportación de NI por programa para repartir MT Profesional</t>
  </si>
  <si>
    <t>Nota v40</t>
  </si>
  <si>
    <t>Con solo 2026 basta.</t>
  </si>
  <si>
    <t>El simulador usa NI_programa / NI_total_campus por programa.</t>
  </si>
  <si>
    <t>Periodo</t>
  </si>
  <si>
    <t>Anio</t>
  </si>
  <si>
    <t>NI_programa</t>
  </si>
  <si>
    <t>NI_total_campus</t>
  </si>
  <si>
    <t>pct_aportacion</t>
  </si>
  <si>
    <t>Si llenas pct_aportacion, se usa directo.</t>
  </si>
  <si>
    <t>Si no, divide NI_programa entre NI_total_campus.</t>
  </si>
  <si>
    <t>Puedes llenar NI_programa y NI_total_campus o directamente pct_aportacion.</t>
  </si>
  <si>
    <t>Evita duplicar programa-campus-año.</t>
  </si>
  <si>
    <t>Si se duplica, puede inflar la mezcla porcentual.</t>
  </si>
  <si>
    <t>Licenciatura en Ingeniería en Logística y Cadena de</t>
  </si>
  <si>
    <t>Licenciatura en Ingeniería en Mecatrónica</t>
  </si>
  <si>
    <t>Lic. en Ingeniería en Logística y Cadena de suministro</t>
  </si>
  <si>
    <t>Cantidad de rutas de enfoque por programa</t>
  </si>
  <si>
    <t>Llena esta hoja. Se usa para dividir los alumnos de S6 y S7 entre rutas de enfoque.</t>
  </si>
  <si>
    <t>S6-S7 se divide entre esta cantidad de rutas.</t>
  </si>
  <si>
    <t>Se usa redondeo hacia arriba: 21/6 = 4.</t>
  </si>
  <si>
    <t>Cantidad de rutas de enfoque</t>
  </si>
  <si>
    <t>Notas</t>
  </si>
  <si>
    <t>Clasificación:</t>
  </si>
  <si>
    <t>&lt;4 Flex | 4 a 11 Multicampus | 12+ Presencial</t>
  </si>
  <si>
    <t>Borra o reemplaza este ejemplo</t>
  </si>
  <si>
    <t>Presenciales:</t>
  </si>
  <si>
    <t>Se desglosan en mañana/tarde con la configuración de Salones.</t>
  </si>
  <si>
    <t>Ingeniero en Tecnología y trasnformación Digital</t>
  </si>
  <si>
    <t>Licenciatura en Administración y Desarrollo de talento</t>
  </si>
  <si>
    <t>Licenciatura en Educación</t>
  </si>
  <si>
    <t>Carreras nuevas 2027 por campus</t>
  </si>
  <si>
    <t>Llena una fila por campus-carrera nueva. Estas carreras empiezan en 2027: no aparecen en 2026. El NI propuesto se captura en la columna NI 2027; el simulador lo usa para repartir el NI total del campus en Multicampus, no para sumarlo doble a la pestaña Campus.</t>
  </si>
  <si>
    <t>Año inicio</t>
  </si>
  <si>
    <t>NI 2027</t>
  </si>
  <si>
    <t>Cd. Juarez</t>
  </si>
  <si>
    <t>Borra esta fila y captura las carreras reales.</t>
  </si>
  <si>
    <t>La columna NI 2027 es la aportación esperada del programa.</t>
  </si>
  <si>
    <t xml:space="preserve">Laguna </t>
  </si>
  <si>
    <t>SLP</t>
  </si>
  <si>
    <t>Lic. en Inteligencia de Decisiones para Negocios</t>
  </si>
  <si>
    <t>Arquitectura</t>
  </si>
  <si>
    <t>Ing. en IA</t>
  </si>
  <si>
    <t>Lic. En Comunicación y Estrategia Digital</t>
  </si>
  <si>
    <t xml:space="preserve">Ciudad Juarez </t>
  </si>
  <si>
    <t>Año</t>
  </si>
  <si>
    <t>NI Real</t>
  </si>
  <si>
    <t>RI Real</t>
  </si>
  <si>
    <t>MT Real</t>
  </si>
  <si>
    <t>opciones_validas</t>
  </si>
  <si>
    <t>como_lo_usara_el_simulador</t>
  </si>
  <si>
    <t>notas</t>
  </si>
  <si>
    <t>meta_mt_total_2036</t>
  </si>
  <si>
    <t>Número</t>
  </si>
  <si>
    <t>Meta total de MT Posgrado + Ejecutivo en agosto 2036.</t>
  </si>
  <si>
    <t>Ejemplo: 43000.</t>
  </si>
  <si>
    <t>anio_meta</t>
  </si>
  <si>
    <t>2036</t>
  </si>
  <si>
    <t>Año de referencia para resolver la meta.</t>
  </si>
  <si>
    <t>Mantener 2036.</t>
  </si>
  <si>
    <t>anio_final_simulacion</t>
  </si>
  <si>
    <t>2045</t>
  </si>
  <si>
    <t>La simulación continúa hasta este año.</t>
  </si>
  <si>
    <t>Aunque la meta principal sea 2036.</t>
  </si>
  <si>
    <t>anio_base_ni_anual</t>
  </si>
  <si>
    <t>2029</t>
  </si>
  <si>
    <t>Año académico base para tomar el NI anual y crecer hacia adelante.</t>
  </si>
  <si>
    <t>Debe coincidir con el último año base confiable.</t>
  </si>
  <si>
    <t>anio_inicio_asincrono</t>
  </si>
  <si>
    <t>2026-2045</t>
  </si>
  <si>
    <t>Antes de este año, NI Asíncrono = 0.</t>
  </si>
  <si>
    <t>Si empieza en 2028, captura 2028.</t>
  </si>
  <si>
    <t>anio_deja_captar_sincrono</t>
  </si>
  <si>
    <t>Nunca, 2030-2045</t>
  </si>
  <si>
    <t>Desde ese año, NI Síncrono = 0; el RI Síncrono sigue avanzando por matriz.</t>
  </si>
  <si>
    <t>Default v104: 2029. Puedes cambiarlo en el simulador a Nunca si Síncrono seguirá captando.</t>
  </si>
  <si>
    <t>reparto_meta_2036_interno</t>
  </si>
  <si>
    <t>58% Posgrado / 42% Ejecutivo</t>
  </si>
  <si>
    <t>Informativo</t>
  </si>
  <si>
    <t>La v104 lo usa internamente; ya no se captura como control.</t>
  </si>
  <si>
    <t>Se elimina del UI para evitar confusión.</t>
  </si>
  <si>
    <t>modo_asincrono_interno</t>
  </si>
  <si>
    <t>Resolver meta</t>
  </si>
  <si>
    <t>La v104 siempre resuelve cuánto debe aportar Asíncrono para llegar a la meta 2036.</t>
  </si>
  <si>
    <t>Se elimina del UI.</t>
  </si>
  <si>
    <t>crecimiento_anual_ni_sincrono_posgrado</t>
  </si>
  <si>
    <t>Porcentaje</t>
  </si>
  <si>
    <t>Crecimiento anual del NI Síncrono de Posgrado si sigue captando.</t>
  </si>
  <si>
    <t>Si deja de captar, prevalece anio_deja_captar_sincrono.</t>
  </si>
  <si>
    <t>crecimiento_anual_ni_sincrono_ejecutivo</t>
  </si>
  <si>
    <t>Crecimiento anual del NI Síncrono de Ejecutivo si sigue captando.</t>
  </si>
  <si>
    <t>crecimiento_anual_ni_asincrono_posgrado_manual</t>
  </si>
  <si>
    <t>Solo se usa si modo_asincrono_2036 = Crecimiento manual.</t>
  </si>
  <si>
    <t>Si modo es Resolver meta, puedes dejarlo vacío.</t>
  </si>
  <si>
    <t>crecimiento_anual_ni_asincrono_ejecutivo_manual</t>
  </si>
  <si>
    <t>usar_stock_ri_agosto_2029</t>
  </si>
  <si>
    <t>Sí, No</t>
  </si>
  <si>
    <t>Sí: usa stock_ri_agosto_2029 para arrancar la matriz. No: usa MT/RI agregado y estima distribución.</t>
  </si>
  <si>
    <t>Ideal: Sí si tienes stock por bimestre académico.</t>
  </si>
  <si>
    <t>tipo</t>
  </si>
  <si>
    <t>anio_inicio_reparto_ni_sinc_asinc</t>
  </si>
  <si>
    <t>Control</t>
  </si>
  <si>
    <t>Año académico desde el que el NI total se reparte entre Síncrono y Asíncrono.</t>
  </si>
  <si>
    <t>Default 2029.</t>
  </si>
  <si>
    <t>pct_ni_sincrono_posgrado</t>
  </si>
  <si>
    <t>0%</t>
  </si>
  <si>
    <t>Porcentaje del NI anual total de Posgrado que seguirá entrando como Síncrono.</t>
  </si>
  <si>
    <t>0% = deja de captar Síncrono; Asíncrono recibe 100%.</t>
  </si>
  <si>
    <t>pct_ni_sincrono_ejecutivo</t>
  </si>
  <si>
    <t>Porcentaje del NI anual total de Ejecutivo que seguirá entrando como Síncrono.</t>
  </si>
  <si>
    <t>crecimiento_anual_ni_total_posgrado</t>
  </si>
  <si>
    <t>3%</t>
  </si>
  <si>
    <t>Crecimiento anual del NI total de Posgrado antes de repartir entre modalidades.</t>
  </si>
  <si>
    <t>Default v114: 3% anual desde la base de cada periodo 2029.</t>
  </si>
  <si>
    <t>crecimiento_anual_ni_total_ejecutivo</t>
  </si>
  <si>
    <t>Crecimiento anual del NI total de Ejecutivo antes de repartir entre modalidades.</t>
  </si>
  <si>
    <t>ri_tetra_inicial_posgrado</t>
  </si>
  <si>
    <t>RI histórico de programas tetra Posgrado que todavía cuenta como Síncrono.</t>
  </si>
  <si>
    <t>Se agota con egresos_anuales_tetra_posgrado.</t>
  </si>
  <si>
    <t>egreso_anual_tetra_posgrado</t>
  </si>
  <si>
    <t>Salida anual del RI tetra histórico de Posgrado.</t>
  </si>
  <si>
    <t>Default 5,000.</t>
  </si>
  <si>
    <t>ri_tetra_inicial_ejecutivo</t>
  </si>
  <si>
    <t>RI histórico de programas tetra Ejecutivo que todavía cuenta como Síncrono.</t>
  </si>
  <si>
    <t>Se agota con egresos_anuales_tetra_ejecutivo.</t>
  </si>
  <si>
    <t>egreso_anual_tetra_ejecutivo</t>
  </si>
  <si>
    <t>Salida anual del RI tetra histórico de Ejecutivo.</t>
  </si>
  <si>
    <t>Default 1,200.</t>
  </si>
  <si>
    <t>anio_meta_pos_ejec</t>
  </si>
  <si>
    <t>Año en que se quiere llegar a la meta MT.</t>
  </si>
  <si>
    <t>Editable en el simulador.</t>
  </si>
  <si>
    <t>meta_mt_total</t>
  </si>
  <si>
    <t>Meta MT total Posgrado + Ejecutivo.</t>
  </si>
  <si>
    <t>Default 43,000.</t>
  </si>
  <si>
    <t>modo_crecimiento_pos_ejec</t>
  </si>
  <si>
    <t>Resolver meta, Manual por bloques</t>
  </si>
  <si>
    <t>Define si el simulador calcula el crecimiento requerido o usa bloques manuales por nivel.</t>
  </si>
  <si>
    <t>Default v125: Resolver meta.</t>
  </si>
  <si>
    <t>anio_pasar_mt_sincrono_a_asincrono</t>
  </si>
  <si>
    <t>Nunca</t>
  </si>
  <si>
    <t>Nunca, 2027-2045</t>
  </si>
  <si>
    <t>Año en que se reclasifica la MT Síncrona viva como Asíncrona.</t>
  </si>
  <si>
    <t>No cambia la MT total; cambia la modalidad.</t>
  </si>
  <si>
    <t>pmp_mt_pos_ejec</t>
  </si>
  <si>
    <t>Hoja editable</t>
  </si>
  <si>
    <t>Insumo</t>
  </si>
  <si>
    <t>Captura MT PMP oficial hasta 2029.</t>
  </si>
  <si>
    <t>El simulador usa esa MT hasta 2029; desde Enero 2030 proyecta con crecimientos.</t>
  </si>
  <si>
    <t>inicio_crecimiento_proyectado</t>
  </si>
  <si>
    <t>Enero 2030</t>
  </si>
  <si>
    <t>Regla</t>
  </si>
  <si>
    <t>Inicio de crecimiento manual o resuelto.</t>
  </si>
  <si>
    <t>Las capturas PMP cubren hasta 2029.</t>
  </si>
  <si>
    <t>anio_academico</t>
  </si>
  <si>
    <t>anio_calendario</t>
  </si>
  <si>
    <t>NI</t>
  </si>
  <si>
    <t>Agosto</t>
  </si>
  <si>
    <t>Síncrono</t>
  </si>
  <si>
    <t>Octubre</t>
  </si>
  <si>
    <t>Enero</t>
  </si>
  <si>
    <t>Marzo</t>
  </si>
  <si>
    <t>Junio</t>
  </si>
  <si>
    <t>Asíncrono</t>
  </si>
  <si>
    <t>crecimiento_ni_anual</t>
  </si>
  <si>
    <t>captacion_activa</t>
  </si>
  <si>
    <t>modo_uso</t>
  </si>
  <si>
    <t>Se usa si Síncrono sigue captando. Si anio_deja_captar_sincrono aplica, NI Síncrono será 0 desde ese año.</t>
  </si>
  <si>
    <t>Asíncrono manual</t>
  </si>
  <si>
    <t>Solo se usa si modo_asincrono_2036 = Crecimiento manual. Si es Resolver meta, puede quedar vacío.</t>
  </si>
  <si>
    <t>pct_reparto</t>
  </si>
  <si>
    <t>Captura porcentaje del NI anual. La suma de los 5 periodos por Nivel + Modalidad debe ser 100%.</t>
  </si>
  <si>
    <t>bimestre_origen</t>
  </si>
  <si>
    <t>bimestre_destino</t>
  </si>
  <si>
    <t>B1</t>
  </si>
  <si>
    <t>B2</t>
  </si>
  <si>
    <t>Posgrado: duración normal aprox. 10 bimestres; se dejan 15 tasas para rezago/extensión.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</si>
  <si>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</si>
  <si>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</si>
  <si>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</si>
  <si>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</si>
  <si>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</si>
  <si>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</si>
  <si>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</si>
  <si>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</si>
  <si>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</si>
  <si>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</si>
  <si>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</si>
  <si>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</si>
  <si>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</si>
  <si>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Ejecutivo: duración normal aprox. 15 bimestres; se dejan 20 tasas para rezago/extensión.</t>
  </si>
  <si>
    <t>B16</t>
  </si>
  <si>
    <t>B17</t>
  </si>
  <si>
    <t>B18</t>
  </si>
  <si>
    <t>B19</t>
  </si>
  <si>
    <t>B20</t>
  </si>
  <si>
    <t>anio_corte</t>
  </si>
  <si>
    <t>periodo_corte</t>
  </si>
  <si>
    <t>bimestre_academico</t>
  </si>
  <si>
    <t>alumnos_RI</t>
  </si>
  <si>
    <t>Stock RI vivo en agosto 2029 por edad académica. Si no tienes este desglose, llena mt_agosto_real_pos_ejec.</t>
  </si>
  <si>
    <t>Plantillas Posgrado / Ejecutivo · v2</t>
  </si>
  <si>
    <t>Objetivo</t>
  </si>
  <si>
    <t>Simular Posgrado + Ejecutivo separando Síncrono y Asíncrono, con meta total 2036 y proyección hasta 2045.</t>
  </si>
  <si>
    <t>Lógica corregida</t>
  </si>
  <si>
    <t>Primero se calcula la vida natural de Síncrono con NI, RI y egresos por matriz de cohortes. Después Asíncrono cubre la brecha necesaria para llegar a la meta total 2036.</t>
  </si>
  <si>
    <t>Qué llenar</t>
  </si>
  <si>
    <t>Obligatorio</t>
  </si>
  <si>
    <t>parametros_pos_ejec</t>
  </si>
  <si>
    <t>Meta total 2036, año inicio Asíncrono, regla para dejar o no dejar de captar Síncrono, modo de Asíncrono y crecimientos principales.</t>
  </si>
  <si>
    <t>No captures meta directa de Asíncrono; el simulador la calcula como meta total menos MT Síncrona.</t>
  </si>
  <si>
    <t>ni_bimestral_pos_ejec</t>
  </si>
  <si>
    <t>NI real/base por año académico, periodo, nivel y modalidad para 2026–2029.</t>
  </si>
  <si>
    <t>Año académico 2026 = Ago 2026 + Oct 2026 + Ene 2027 + Mar 2027 + Jun 2027.</t>
  </si>
  <si>
    <t>mt_agosto_real_pos_ejec</t>
  </si>
  <si>
    <t>MT real de agosto por nivel/modalidad para validar o arrancar el motor.</t>
  </si>
  <si>
    <t>Recomendado</t>
  </si>
  <si>
    <t>Útil si tienes MT y RI agregados pero no todo el stock RI por bimestre académico.</t>
  </si>
  <si>
    <t>stock_ri_agosto_2029</t>
  </si>
  <si>
    <t>Stock RI vivo en agosto 2029 por bimestre académico.</t>
  </si>
  <si>
    <t>Ideal</t>
  </si>
  <si>
    <t>Es la forma más precisa de arrancar la matriz desde 2029. Si no lo tienes, deja vacío y se usará el agregado.</t>
  </si>
  <si>
    <t>reparto_periodos_pos_ejec</t>
  </si>
  <si>
    <t>% de reparto del NI anual entre Agosto, Octubre, Enero, Marzo y Junio.</t>
  </si>
  <si>
    <t>Debe sumar 100% por Nivel + Modalidad.</t>
  </si>
  <si>
    <t>tasas_ri_bimestre_pos_ejec</t>
  </si>
  <si>
    <t>Tasas por avance de cohorte: B1→B2, B2→B3, etc.</t>
  </si>
  <si>
    <t>Posgrado: 15 tasas por modalidad. Ejecutivo: 20 tasas por modalidad.</t>
  </si>
  <si>
    <t>crecimiento_anual_pos_ejec</t>
  </si>
  <si>
    <t>Crecimiento anual del NI desde 2030 hasta 2045 por nivel/modalidad.</t>
  </si>
  <si>
    <t>Sí/según modo</t>
  </si>
  <si>
    <t>Para Síncrono aplica si sigue captando. Para Asíncrono aplica si modo_asincrono = Crecimiento manual; si es Resolver meta, puede quedar vacío.</t>
  </si>
  <si>
    <t>Regla de brecha 2036</t>
  </si>
  <si>
    <t>MT Asíncrono requerida 2036 = Meta total 2036 - MT Síncrona calculada 2036.</t>
  </si>
  <si>
    <t>Importante</t>
  </si>
  <si>
    <t>Si Síncrono deja de captar, su NI se vuelve 0 desde ese año, pero su RI sigue vivo hasta que la matriz lo agote.</t>
  </si>
  <si>
    <t>NI_agosto_real</t>
  </si>
  <si>
    <t>RI_agosto_real</t>
  </si>
  <si>
    <t>MT_agosto_real</t>
  </si>
  <si>
    <t>Captura el dato real de agosto si lo tienes. MT = NI agosto + RI agosto.</t>
  </si>
  <si>
    <t>tipo_programa</t>
  </si>
  <si>
    <t>Bimestral</t>
  </si>
  <si>
    <t>Ejemplo: reparte aquí los ~6100 RI tetra por bimestre académico.</t>
  </si>
  <si>
    <t>Ejemplo: reparte aquí los ~2100 RI bimestrales por bimestre académico.</t>
  </si>
  <si>
    <t>Ejemplo: reparte aquí los ~5000 RI tetra de posgrado por bimestre académico.</t>
  </si>
  <si>
    <t>Usa año académico 2028; Enero pertenece al calendario 2029.</t>
  </si>
  <si>
    <t>NI_real</t>
  </si>
  <si>
    <t>RI_real</t>
  </si>
  <si>
    <t>MT_real</t>
  </si>
  <si>
    <t>Aquí sí puedes poner enero, marzo y junio; no solo agosto.</t>
  </si>
  <si>
    <t>Año académico 2028, calendario 2029.</t>
  </si>
  <si>
    <t>Si MT_real queda vacío, el simulador usa NI_real + RI_real.</t>
  </si>
  <si>
    <t>Si deja de captar desde agosto 2029, NI_real puede quedar 0 y RI_real sigue vivo.</t>
  </si>
  <si>
    <t>Cambio</t>
  </si>
  <si>
    <t>Descripción</t>
  </si>
  <si>
    <t>stock_ri_periodo_pos_ejec</t>
  </si>
  <si>
    <t>Aquí se pone el RI vivo por periodo y bimestre académico. Esto alimenta la matriz, por eso sirve para simular desde 2026 y no solo desde agosto 2029.</t>
  </si>
  <si>
    <t>mt_periodo_real_pos_ejec</t>
  </si>
  <si>
    <t>Aquí se pueden poner NI/RI/MT reales por cualquier periodo: Agosto, Octubre, Enero, Marzo o Junio.</t>
  </si>
  <si>
    <t>Año académico</t>
  </si>
  <si>
    <t>Ejemplo: año académico 2028 = Agosto 2028 + Octubre 2028 + Enero 2029 + Marzo 2029 + Junio 2029.</t>
  </si>
  <si>
    <t>Dejar de captar Síncrono</t>
  </si>
  <si>
    <t>El año seleccionado aplica desde Agosto de ese año académico. Por ejemplo, 2029 significa desde Agosto 2029, no desde Enero 2029.</t>
  </si>
  <si>
    <t>RI Síncrono</t>
  </si>
  <si>
    <t>Aunque NI Síncrono sea 0, el RI sigue avanzando con las tasas de tasas_ri_bimestre_pos_ejec hasta agotarse.</t>
  </si>
  <si>
    <t>Tema</t>
  </si>
  <si>
    <t>Reparto NI Síncrono/Asíncrono</t>
  </si>
  <si>
    <t>Desde el año de estrategia, el simulador toma el NI anual total del nivel y lo reparte con % NI Síncrono. Asíncrono recibe el complemento.</t>
  </si>
  <si>
    <t>Se modela con % NI Síncrono = 0%. Así el NI nuevo pasa a Asíncrono, pero el RI Síncrono vivo sigue contando.</t>
  </si>
  <si>
    <t>RI tetra histórico</t>
  </si>
  <si>
    <t>Además de la matriz bimestral, el simulador suma un RI tetra histórico como run-off. Defaults: Posgrado 9,800 con salida 5,000/año; Ejecutivo 6,100 con salida 1,200/año.</t>
  </si>
  <si>
    <t>Matriz bimestral</t>
  </si>
  <si>
    <t>Los NI 2027/2028 y el stock RI por bimestre siguen avanzando con las tasas de tasas_ri_bimestre_pos_ejec.</t>
  </si>
  <si>
    <t>Meta 2036</t>
  </si>
  <si>
    <t>La meta no se asigna completa a Asíncrono. Primero cuenta la MT Síncrona calculada, incluyendo RI tetra histórico y cohortes vivas.</t>
  </si>
  <si>
    <t>Corrección NI 2029+</t>
  </si>
  <si>
    <t>Desde 2029, cada periodo usa el total original del periodo y lo reparte entre Síncrono/Asíncrono.</t>
  </si>
  <si>
    <t>Crecimiento por periodo</t>
  </si>
  <si>
    <t>Agosto 2030 se calcula desde Agosto 2029 × 1.03. No se recalcula con el porcentaje anual de distribución.</t>
  </si>
  <si>
    <t>Octubre 2029</t>
  </si>
  <si>
    <t>Si Octubre quedó menor por faltante de asíncrono/base, toma al menos el total de Agosto del mismo nivel.</t>
  </si>
  <si>
    <t>Default crecimiento</t>
  </si>
  <si>
    <t>Los controles de crecimiento anual NI total Posgrado y Ejecutivo quedan en 3%.</t>
  </si>
  <si>
    <t>MT síncrona</t>
  </si>
  <si>
    <t>0% de NI Síncrono no borra los RI vivos ni la MT tetra histórica.</t>
  </si>
  <si>
    <t>RI Síncrono no debe caer a cero</t>
  </si>
  <si>
    <t>0% o 50% de NI Síncrono solo afecta los nuevos ingresos futuros; los RI vivos siguen avanzando.</t>
  </si>
  <si>
    <t>Por qué puede verse igual</t>
  </si>
  <si>
    <t>Si el reparto es 50/50 y las tasas Síncrono/Asíncrono son iguales, el RI generado desde 2029 puede ser muy parecido en ambas modalidades.</t>
  </si>
  <si>
    <t>Qué debe ser mayor</t>
  </si>
  <si>
    <t>El RI Síncrono total debería incluir además el arrastre de cohortes pre-reparto, especialmente Ejecutivo desde 2025 y Posgrado desde 2026.</t>
  </si>
  <si>
    <t>Nuevas columnas</t>
  </si>
  <si>
    <t>Las tablas separan RI arrastre pre-reparto y RI generación reparto+ para validar la dinámica.</t>
  </si>
  <si>
    <t>MT tetra histórica</t>
  </si>
  <si>
    <t>Sigue separada de RI bimestral y aporta a MT Síncrona.</t>
  </si>
  <si>
    <t>Tablas separadas</t>
  </si>
  <si>
    <t>Se agregan tablas separadas para Síncrono y Asíncrono periodo por periodo.</t>
  </si>
  <si>
    <t>Dinámica Síncrono</t>
  </si>
  <si>
    <t>Síncrono usa stock_ri_periodo_pos_ejec, NI históricos, NI futuro repartido y tasas propias.</t>
  </si>
  <si>
    <t>Dinámica Asíncrono</t>
  </si>
  <si>
    <t>Asíncrono usa NI asíncronos históricos, NI futuro repartido y tasas propias.</t>
  </si>
  <si>
    <t>Estado B1..B20</t>
  </si>
  <si>
    <t>Se agrega vista por bimestre para revisar cómo avanza cada cohorte. B1 = NI del periodo; B2+ = RI.</t>
  </si>
  <si>
    <t>Sin arrastre visible</t>
  </si>
  <si>
    <t>Se eliminan columnas de arrastre de la vista principal; la diferencia se ve directamente por modalidad y bimestre.</t>
  </si>
  <si>
    <t>Reales</t>
  </si>
  <si>
    <t>mt_periodo_real_pos_ejec queda como validación; no sobrescribe la dinámica de cohortes.</t>
  </si>
  <si>
    <t>Meta 2029</t>
  </si>
  <si>
    <t>Se agregó meta de MT Agosto 2029 = 30,000. Si la base queda abajo, se agrega ajuste de arranque en Asíncrono Agosto 2029.</t>
  </si>
  <si>
    <t>El modo default resuelve el crecimiento anual requerido del NI total para llegar a MT Agosto 2036 = 43,000.</t>
  </si>
  <si>
    <t>Un solo crecimiento</t>
  </si>
  <si>
    <t>El crecimiento calculado aplica al NI total de ambos niveles y modalidades; luego se reparte según el % Síncrono/Asíncrono.</t>
  </si>
  <si>
    <t>50/50</t>
  </si>
  <si>
    <t>Si se captura 50% Síncrono, cada periodo proyectado se parte 50/50 entre modalidades.</t>
  </si>
  <si>
    <t>Sigue teniendo NI si el porcentaje Síncrono es mayor que 0, y sus RI avanzan con sus tasas propias.</t>
  </si>
  <si>
    <t>Recibe el complemento del reparto y genera sus propios RI con sus tasas.</t>
  </si>
  <si>
    <t>La sección Lectura 2036 muestra crecimiento requerido, ajuste 2029 y gaps.</t>
  </si>
  <si>
    <t>Corrección de pestaña</t>
  </si>
  <si>
    <t>La v118 se reconstruyó desde la v116 estable para evitar que Posgrado / Ejecutivo quede en blanco.</t>
  </si>
  <si>
    <t>Mantiene meta Agosto 2029 = 30,000 y muestra ajuste en Asíncrono si la base queda debajo.</t>
  </si>
  <si>
    <t>Puede resolver el crecimiento anual requerido para llegar a 43,000 en Agosto 2036.</t>
  </si>
  <si>
    <t>Se conservan tablas Síncrono y Asíncrono periodo por periodo, más estado B1..B20.</t>
  </si>
  <si>
    <t>Seguridad de render</t>
  </si>
  <si>
    <t>Si hubiera un error, la pestaña mostrará el mensaje técnico en vez de quedar vacía.</t>
  </si>
  <si>
    <t>Velocidad</t>
  </si>
  <si>
    <t>Se quitó la tabla de agosto año a año y B1..B20 queda desactivado por default.</t>
  </si>
  <si>
    <t>Caché</t>
  </si>
  <si>
    <t>Se corrigió el caché para que los campos calculados no obliguen a recalcular todo varias veces.</t>
  </si>
  <si>
    <t>Solver</t>
  </si>
  <si>
    <t>Se redujeron iteraciones del crecimiento requerido para acelerar el render.</t>
  </si>
  <si>
    <t>Comparativo</t>
  </si>
  <si>
    <t>Se agregó una tabla con referencia: 100% Síncrono, crecimiento anual 3%, sin ajuste/meta.</t>
  </si>
  <si>
    <t>Si Síncrono y Asíncrono tienen el mismo NI repartido y las mismas tasas, sus RI nuevos pueden converger.</t>
  </si>
  <si>
    <t>Diferencia esperada</t>
  </si>
  <si>
    <t>Síncrono debe diferir por el stock vivo previo y por la MT tetra histórica mientras sigan existiendo.</t>
  </si>
  <si>
    <t>B1..B20</t>
  </si>
  <si>
    <t>Activa la vista solo cuando quieras validar el avance de cohortes por bimestre.</t>
  </si>
  <si>
    <t>Vista ligera</t>
  </si>
  <si>
    <t>Se quitaron las tablas inferiores de detalle anual, detalle periodo, B1..B20 y validación de insumos.</t>
  </si>
  <si>
    <t>Tablas conservadas</t>
  </si>
  <si>
    <t>Se conservan Lectura 2036, Escenario 100% Síncrono, Comparativo, Síncrono periodo por periodo, Asíncrono periodo por periodo y Tasas.</t>
  </si>
  <si>
    <t>Escenario sin repartir</t>
  </si>
  <si>
    <t>Calcula 100% Síncrono con crecimiento configurable y resta su MT 2036 contra 43,000.</t>
  </si>
  <si>
    <t>Aporte Asíncrono requerido</t>
  </si>
  <si>
    <t>Es 43,000 menos la MT 2036 del escenario 100% Síncrono.</t>
  </si>
  <si>
    <t>Si Síncrono y Asíncrono reciben el mismo NI y usan las mismas tasas, pueden converger a montos parecidos.</t>
  </si>
  <si>
    <t>Diferencia contra 100% Síncrono</t>
  </si>
  <si>
    <t>El comparativo muestra 2029 y 2036 del escenario actual vs el escenario sin repartir.</t>
  </si>
  <si>
    <t>Parámetro nuevo</t>
  </si>
  <si>
    <t>crecimiento_escenario_100_sincrono, default 3%.</t>
  </si>
  <si>
    <t>Desglose 100% Síncrono</t>
  </si>
  <si>
    <t>Se agregó tabla Agosto año a año para el escenario sin repartir NI.</t>
  </si>
  <si>
    <t>Periodo por periodo 100% Síncrono</t>
  </si>
  <si>
    <t>Se agregó tabla completa por periodo para ver NI, RI y MT de Posgrado y Ejecutivo.</t>
  </si>
  <si>
    <t>Cómo llegar a 31,700</t>
  </si>
  <si>
    <t>La tabla de Agosto muestra la trayectoria hasta Agosto 2036 y el total resultante.</t>
  </si>
  <si>
    <t>En Agosto 2036 se muestra 43,000 menos la MT del escenario 100% Síncrono.</t>
  </si>
  <si>
    <t>Escenario con reparto</t>
  </si>
  <si>
    <t>Se conservan las tablas separadas Síncrono y Asíncrono del escenario con reparto.</t>
  </si>
  <si>
    <t>Exportación CSV</t>
  </si>
  <si>
    <t>El CSV incluye el escenario 100% Síncrono y el escenario con reparto.</t>
  </si>
  <si>
    <t>Reparto anual</t>
  </si>
  <si>
    <t>Se agregó control año por año de % NI Síncrono para Posgrado y Ejecutivo desde 2029 hasta 2045.</t>
  </si>
  <si>
    <t>Complemento Asíncrono</t>
  </si>
  <si>
    <t>Asíncrono se calcula como 100% menos el % Síncrono de cada año.</t>
  </si>
  <si>
    <t>Aplicación</t>
  </si>
  <si>
    <t>El porcentaje de cada año académico afecta todos sus periodos desde Agosto.</t>
  </si>
  <si>
    <t>MT Síncrona viva</t>
  </si>
  <si>
    <t>Si en 2036 pones 0% Síncrono, no entran nuevos NI Síncronos, pero siguen RI vivos de cohortes anteriores y MT tetra histórica.</t>
  </si>
  <si>
    <t>Escenario 100% Síncrono</t>
  </si>
  <si>
    <t>Se mantiene el desglose de escenario sin repartir para comparar contra el escenario con reparto anual.</t>
  </si>
  <si>
    <t>Exportación</t>
  </si>
  <si>
    <t>El CSV incluye una sección reparto_anual_ni con los porcentajes usados por año.</t>
  </si>
  <si>
    <t>Sin meta 2029</t>
  </si>
  <si>
    <t>Se quitó la meta 30,000 de 2029 y el ajuste automático asociado.</t>
  </si>
  <si>
    <t>Sin escenario 100% Síncrono</t>
  </si>
  <si>
    <t>Se quitó el escenario alterno 100% Síncrono y sus tablas.</t>
  </si>
  <si>
    <t>Distribución 2027-2035</t>
  </si>
  <si>
    <t>La distribución NI por modalidad solo se captura de 2027 a 2035; default 100% Síncrono.</t>
  </si>
  <si>
    <t>Crecimiento por nivel</t>
  </si>
  <si>
    <t>Los crecimientos manuales están en bloques Posgrado y Ejecutivo.</t>
  </si>
  <si>
    <t>El modo Resolver meta calcula el crecimiento anual requerido para llegar a la meta en el año elegido.</t>
  </si>
  <si>
    <t>Año meta</t>
  </si>
  <si>
    <t>Se agregó control para elegir el año de la meta MT.</t>
  </si>
  <si>
    <t>Transferencia S→A</t>
  </si>
  <si>
    <t>Se agregó control para reclasificar MT Síncrona viva como Asíncrona desde un año; la MT total no cambia.</t>
  </si>
  <si>
    <t>Tablas por nivel</t>
  </si>
  <si>
    <t>Las tablas inferiores ahora son Posgrado y Ejecutivo, con columnas Síncrono/Asíncrono NI, RI y MT.</t>
  </si>
  <si>
    <t>Tasas</t>
  </si>
  <si>
    <t>Las tasas se muestran en dos tablas lado a lado: Posgrado y Ejecutivo.</t>
  </si>
  <si>
    <t>anio_inicio</t>
  </si>
  <si>
    <t>anio_fin</t>
  </si>
  <si>
    <t>bloque</t>
  </si>
  <si>
    <t>crecimiento_anual</t>
  </si>
  <si>
    <t>2030–2034</t>
  </si>
  <si>
    <t>2035–2040</t>
  </si>
  <si>
    <t>2041–2043</t>
  </si>
  <si>
    <t>2044–2045</t>
  </si>
  <si>
    <t>mt_tetra_inicial</t>
  </si>
  <si>
    <t>egresos_anuales_tetra</t>
  </si>
  <si>
    <t>periodos_salida</t>
  </si>
  <si>
    <t>Agosto, Enero, Junio</t>
  </si>
  <si>
    <t>Suma a MT Síncrona mientras exista; no es RI bimestral.</t>
  </si>
  <si>
    <t>Parámetros limpios</t>
  </si>
  <si>
    <t>Se quitó meta Agosto 2029, % NI Síncrono default y escenario 100% Síncrono de la UI.</t>
  </si>
  <si>
    <t>Meta</t>
  </si>
  <si>
    <t>Ahora se captura MT objetivo y año objetivo.</t>
  </si>
  <si>
    <t>Se puede elegir el año en que la MT Síncrona viva pasa a Asíncrona. La MT total no cambia.</t>
  </si>
  <si>
    <t>Crecimiento por bloques</t>
  </si>
  <si>
    <t>Se agregó bloque por nivel: 2030–2034, 2035–2040, 2041–2043, 2044–2045.</t>
  </si>
  <si>
    <t>Distribución NI</t>
  </si>
  <si>
    <t>Solo 2027–2035. Default 100% Síncrono y 0% Asíncrono.</t>
  </si>
  <si>
    <t>Tetra histórica</t>
  </si>
  <si>
    <t>Sale de parámetros/crecimiento y queda en sección propia. Suma a MT mientras exista.</t>
  </si>
  <si>
    <t>Posgrado y Ejecutivo muestran una fila de Síncrono y otra de Asíncrono por periodo.</t>
  </si>
  <si>
    <t>Columnas de tabla</t>
  </si>
  <si>
    <t>Año calendario, año académico, periodo, modalidad, NI, RI, MT tetra, MT transferida y MT.</t>
  </si>
  <si>
    <t>Se muestran en dos bloques lado a lado: Posgrado y Ejecutivo.</t>
  </si>
  <si>
    <t>El CSV incluye configuración, crecimientos por bloque, distribución anual y desglose por nivel/periodo/modalidad.</t>
  </si>
  <si>
    <t>Cambio pequeño</t>
  </si>
  <si>
    <t>Se quitó de Parámetros y crecimiento el control Meta MT Agosto 2029 / 30,000.</t>
  </si>
  <si>
    <t>Parámetros vigentes</t>
  </si>
  <si>
    <t>Solo quedan MT objetivo, año objetivo, transferencia S→A y crecimiento por bloques.</t>
  </si>
  <si>
    <t>mt_pmp</t>
  </si>
  <si>
    <t>Total</t>
  </si>
  <si>
    <t>Captura la MT PMP de Agosto 2026 para Posgrado.</t>
  </si>
  <si>
    <t>Captura la MT PMP de Agosto 2026 para Ejecutivo.</t>
  </si>
  <si>
    <t>Captura la MT PMP de Agosto 2027 para Posgrado.</t>
  </si>
  <si>
    <t>Captura la MT PMP de Agosto 2027 para Ejecutivo.</t>
  </si>
  <si>
    <t>Nota</t>
  </si>
  <si>
    <t>El caso base lee la tabla principal A:F. Este bloque es solo referencia visual.</t>
  </si>
  <si>
    <t>Captura la MT PMP de Agosto 2028 para Posgrado.</t>
  </si>
  <si>
    <t>Captura la MT PMP de Agosto 2028 para Ejecutivo.</t>
  </si>
  <si>
    <t>Captura la MT PMP de Agosto 2029 para Posgrado.</t>
  </si>
  <si>
    <t>Captura la MT PMP de Agosto 2029 para Ejecutivo.</t>
  </si>
  <si>
    <t>Fallback: si no capturas Posgrado/Ejecutivo, el caso base usa 30,000 total en Agosto 2029.</t>
  </si>
  <si>
    <t>Captura aquí la MT PMP oficial. Se usa hasta 2029. Modalidad puede ser Total, Síncrono o Asíncrono.</t>
  </si>
  <si>
    <t>PMP/base Agosto 2027. Captura MT total o por nivel si la tienes.</t>
  </si>
  <si>
    <t>PMP/base Agosto 2028. Captura MT total o por nivel si la tienes.</t>
  </si>
  <si>
    <t>PMP/base Agosto 2029 usado por el caso base fijo.</t>
  </si>
  <si>
    <t>MT bimestral</t>
  </si>
  <si>
    <t>La tabla Comparación vs 2026 ahora muestra MT bimestral = MT total - MT tetra histórica.</t>
  </si>
  <si>
    <t>PMP MT</t>
  </si>
  <si>
    <t>Captura la MT oficial en la hoja pmp_mt_pos_ejec.</t>
  </si>
  <si>
    <t>Columnas PMP</t>
  </si>
  <si>
    <t>anio_calendario, periodo, nivel, modalidad, mt_pmp.</t>
  </si>
  <si>
    <t>Uso PMP</t>
  </si>
  <si>
    <t>Si hay valores, el simulador los usa como MT visible hasta 2029.</t>
  </si>
  <si>
    <t>Crecimiento</t>
  </si>
  <si>
    <t>El crecimiento manual o calculado empieza desde Enero 2030 por año calendario.</t>
  </si>
  <si>
    <t>Modo manual</t>
  </si>
  <si>
    <t>Debajo de Comparación vs 2026 se muestra si la meta se alcanza y en qué periodo/año.</t>
  </si>
  <si>
    <t>PMP en tablas</t>
  </si>
  <si>
    <t>Las tablas por nivel muestran columna PMP = Sí cuando esa fila usa MT capturada.</t>
  </si>
  <si>
    <t>Campo</t>
  </si>
  <si>
    <t>Valor</t>
  </si>
  <si>
    <t>Caso</t>
  </si>
  <si>
    <t>Síncrono 100% + 3% anual</t>
  </si>
  <si>
    <t>Referencia fija del simulador.</t>
  </si>
  <si>
    <t>2029 a 2045</t>
  </si>
  <si>
    <t>La tabla calculada se descarga desde el HTML.</t>
  </si>
  <si>
    <t>Crecimiento Posgrado</t>
  </si>
  <si>
    <t>Fijo para el caso base.</t>
  </si>
  <si>
    <t>Crecimiento Ejecutivo</t>
  </si>
  <si>
    <t>Distribución modalidad</t>
  </si>
  <si>
    <t>100% Síncrono / 0% Asíncrono</t>
  </si>
  <si>
    <t>No usa los controles del escenario editable.</t>
  </si>
  <si>
    <t>No reclasifica matrícula.</t>
  </si>
  <si>
    <t>Meta referencia</t>
  </si>
  <si>
    <t>43,000</t>
  </si>
  <si>
    <t>Diferencia contra esta meta.</t>
  </si>
  <si>
    <t>Tasas reales</t>
  </si>
  <si>
    <t>Edita las tasas aquí y vuelve a cargar el Excel en el HTML.</t>
  </si>
  <si>
    <t>Dónde capturar</t>
  </si>
  <si>
    <t>Qué cambiar</t>
  </si>
  <si>
    <t>Columna de tasa</t>
  </si>
  <si>
    <t>Una fila por nivel, modalidad y avance B origen → B destino.</t>
  </si>
  <si>
    <t>Posgrado o Ejecutivo</t>
  </si>
  <si>
    <t>Conserva el texto del nivel.</t>
  </si>
  <si>
    <t>Síncrono o Asíncrono</t>
  </si>
  <si>
    <t>Puedes tener tasas distintas por modalidad.</t>
  </si>
  <si>
    <t>Bimestre origen</t>
  </si>
  <si>
    <t>B1, B2, B3...</t>
  </si>
  <si>
    <t>Representa de qué bimestre avanza la cohorte.</t>
  </si>
  <si>
    <t>Tasa</t>
  </si>
  <si>
    <t>Ej. 85% o 0.85</t>
  </si>
  <si>
    <t>El simulador acepta porcentajes o decimales.</t>
  </si>
  <si>
    <t>Después de editar</t>
  </si>
  <si>
    <t>HTML</t>
  </si>
  <si>
    <t>Vuelve a cargar el Excel</t>
  </si>
  <si>
    <t>El simulador recalcula con las tasas nuevas.</t>
  </si>
  <si>
    <t>Caso base fijo</t>
  </si>
  <si>
    <t>Se agregó referencia fija: 100% Síncrono, crecimiento 3% anual, 2029-2045.</t>
  </si>
  <si>
    <t>Diferencia 43,000</t>
  </si>
  <si>
    <t>El caso base calcula diferencia anual contra 43,000.</t>
  </si>
  <si>
    <t>Exportación Excel</t>
  </si>
  <si>
    <t>El HTML tiene botón para descargar un Excel con caso base y escenario actual.</t>
  </si>
  <si>
    <t>Se capturan en tasas_ri_bimestre_pos_ejec.</t>
  </si>
  <si>
    <t>Escenario editable</t>
  </si>
  <si>
    <t>Los parámetros editables siguen funcionando aparte del caso base fijo.</t>
  </si>
  <si>
    <t>PMP hasta 2029</t>
  </si>
  <si>
    <t>La hoja pmp_mt_pos_ejec sigue siendo el lugar para capturar MT PMP oficial hasta 2029.</t>
  </si>
  <si>
    <t>Recalcular</t>
  </si>
  <si>
    <t>Después de modificar el Excel, cárgalo de nuevo en el HTML.</t>
  </si>
  <si>
    <t>Corrección error</t>
  </si>
  <si>
    <t>Se reemplazó la referencia inválida BASE_CASE_END_YEAR_V129 por lógica propia v136.</t>
  </si>
  <si>
    <t>Caso base visible</t>
  </si>
  <si>
    <t>La tabla Caso base fijo muestra 2027 a 2045.</t>
  </si>
  <si>
    <t>El caso base toma PMP/base hasta 2029; Agosto 2029 queda en 30,000 si no hay otro valor.</t>
  </si>
  <si>
    <t>Proyección</t>
  </si>
  <si>
    <t>Desde Enero 2030 usa tasas_ri_bimestre_pos_ejec y crecimiento fijo 3%.</t>
  </si>
  <si>
    <t>Excel descargable</t>
  </si>
  <si>
    <t>El botón descarga un .xlsx con Caso_base_3pct y Caso_base_Ene2030.</t>
  </si>
  <si>
    <t>Dónde editar PMP</t>
  </si>
  <si>
    <t>Hoja pmp_mt_pos_ejec, columnas A:F, campo mt_pmp.</t>
  </si>
  <si>
    <t>Dónde editar tasas</t>
  </si>
  <si>
    <t>Hoja tasas_ri_bimestre_pos_ejec, columna tasa.</t>
  </si>
  <si>
    <t>Captura aquí la MT PMP/base de agosto 2026.</t>
  </si>
  <si>
    <t>Captura aquí la MT PMP/base de agosto 2027.</t>
  </si>
  <si>
    <t>Captura aquí la MT PMP/base de agosto 2028.</t>
  </si>
  <si>
    <t>Ajuste solicitado</t>
  </si>
  <si>
    <t>El caso base lee 2026-2029 desde la hoja mt_pos_ejec.</t>
  </si>
  <si>
    <t>Agosto 2029</t>
  </si>
  <si>
    <t>Si mt_pos_ejec no trae otro valor, se usa 30,000 MT.</t>
  </si>
  <si>
    <t>Desde Enero 2030 sigue con tasas_ri_bimestre_pos_ejec y crecimiento 3%.</t>
  </si>
  <si>
    <t>Botón Excel</t>
  </si>
  <si>
    <t>Se conserva la exportación de Excel del caso base y escenario editable.</t>
  </si>
  <si>
    <t>Dónde editar MT base</t>
  </si>
  <si>
    <t>Hoja mt_pos_ejec, columna MT.</t>
  </si>
  <si>
    <t>Captura NI, RI y MT Internacional para 2026. Hasta 2036 se lee como base.</t>
  </si>
  <si>
    <t>Captura NI, RI y MT Internacional para 2027. Hasta 2036 se lee como base.</t>
  </si>
  <si>
    <t>Captura NI, RI y MT Internacional para 2028. Hasta 2036 se lee como base.</t>
  </si>
  <si>
    <t>Captura NI, RI y MT Internacional para 2029. Hasta 2036 se lee como base.</t>
  </si>
  <si>
    <t>Captura NI, RI y MT Internacional para 2030. Hasta 2036 se lee como base.</t>
  </si>
  <si>
    <t>Captura NI, RI y MT Internacional para 2031. Hasta 2036 se lee como base.</t>
  </si>
  <si>
    <t>Captura NI, RI y MT Internacional para 2032. Hasta 2036 se lee como base.</t>
  </si>
  <si>
    <t>Captura NI, RI y MT Internacional para 2033. Hasta 2036 se lee como base.</t>
  </si>
  <si>
    <t>Captura NI, RI y MT Internacional para 2034. Hasta 2036 se lee como base.</t>
  </si>
  <si>
    <t>Captura NI, RI y MT Internacional para 2035. Hasta 2036 se lee como base.</t>
  </si>
  <si>
    <t>Captura NI, RI y MT Internacional para 2036. Hasta 2036 se lee como base.</t>
  </si>
  <si>
    <t>crecimiento_NI</t>
  </si>
  <si>
    <t>crecimiento_RI</t>
  </si>
  <si>
    <t>crecimiento_MT</t>
  </si>
  <si>
    <t>Default 3%. Puedes modificarlo en Excel o en el simulador.</t>
  </si>
  <si>
    <t>Base usada</t>
  </si>
  <si>
    <t>Versión v137.</t>
  </si>
  <si>
    <t>Caso base</t>
  </si>
  <si>
    <t>La tabla lee PMP 2026-2029 desde pmp_mt_pos_ejec y proyecta desde Enero 2030 con tasas + 3%.</t>
  </si>
  <si>
    <t>Caso base visual</t>
  </si>
  <si>
    <t>Se quitó Fuente, se quitó MT base leída y se quitó el detalle desde Enero 2030.</t>
  </si>
  <si>
    <t>Dif vs 43,000</t>
  </si>
  <si>
    <t>Queda en blanco desde 2036 en adelante.</t>
  </si>
  <si>
    <t>PMP por nivel</t>
  </si>
  <si>
    <t>Captura en pmp_mt_pos_ejec la MT PMP de Agosto 2026-2029 por Posgrado y Ejecutivo.</t>
  </si>
  <si>
    <t>Desglose por nivel</t>
  </si>
  <si>
    <t>Las tablas Posgrado/Ejecutivo periodo por periodo usan pmp_mt_pos_ejec para igualar PMP hasta 2029 cuando esté capturado.</t>
  </si>
  <si>
    <t>Internacional base</t>
  </si>
  <si>
    <t>Captura NI, RI y MT hasta 2036 en internacional_base.</t>
  </si>
  <si>
    <t>Internacional crecimiento</t>
  </si>
  <si>
    <t>2037-2045 usa internacional_crecimiento con default 3% editable.</t>
  </si>
  <si>
    <t>Suma Internacional</t>
  </si>
  <si>
    <t>Checkbox en Posgrado/Ejecutivo e Internacional para incluir o excluir Internacional en MT total institución 2045.</t>
  </si>
  <si>
    <t>Descarga Excel</t>
  </si>
  <si>
    <t>El botón Descarga Excel Posgrado/Ejecutivo incluye caso base, escenario editable e Internacional.</t>
  </si>
  <si>
    <t>Tasas RI</t>
  </si>
  <si>
    <t>Se conservan en tasas_ri_bimestre_pos_ejec.</t>
  </si>
  <si>
    <t>Manual por bloques</t>
  </si>
  <si>
    <t>pct_ni_asincrono_posgrado</t>
  </si>
  <si>
    <t>pct_ni_asincrono_ejecutivo</t>
  </si>
  <si>
    <t>100%</t>
  </si>
  <si>
    <t>Base/PMP: se conserva Síncrono salvo capturas directas en NI.</t>
  </si>
  <si>
    <t>Default v150: nuevos NI proyectados hacia Asíncrono.</t>
  </si>
  <si>
    <t>RI_Agosto_necesario</t>
  </si>
  <si>
    <t>Hoja sustituida</t>
  </si>
  <si>
    <t>Usar internacional_agosto</t>
  </si>
  <si>
    <t>Motivo</t>
  </si>
  <si>
    <t>Ya no se repiten los 5 bimestres; solo se conserva Agosto.</t>
  </si>
  <si>
    <t>NI_Agosto = NI_anual / 5; RI_Agosto_necesario = MT_objetivo - NI_Agosto.</t>
  </si>
  <si>
    <t>v138 + Excel cargado por el usuario modelo_simulador(9).xlsx.</t>
  </si>
  <si>
    <t>Internacional anual</t>
  </si>
  <si>
    <t>Se toman NI y MT de internacional_base.</t>
  </si>
  <si>
    <t>RI necesario anual</t>
  </si>
  <si>
    <t>En internacional_base se calcula RI_necesario = MT - NI.</t>
  </si>
  <si>
    <t>Bimestres</t>
  </si>
  <si>
    <t>Nueva hoja internacional_bimestres: NI anual se divide entre 5 bimestres.</t>
  </si>
  <si>
    <t>RI bimestral</t>
  </si>
  <si>
    <t>RI_necesario_bimestre = MT objetivo anual - NI_bimestre.</t>
  </si>
  <si>
    <t>Descarga</t>
  </si>
  <si>
    <t>El botón del simulador exporta Internacional_anual e Internacional_bimestres.</t>
  </si>
  <si>
    <t>NI_anual</t>
  </si>
  <si>
    <t>MT_objetivo</t>
  </si>
  <si>
    <t>NI_Agosto</t>
  </si>
  <si>
    <t>MT_Agosto</t>
  </si>
  <si>
    <t>concepto</t>
  </si>
  <si>
    <t>nota</t>
  </si>
  <si>
    <t>color</t>
  </si>
  <si>
    <t>Ver tabla Caso base del simulador</t>
  </si>
  <si>
    <t>Se marca en amarillo en pantalla.</t>
  </si>
  <si>
    <t>Amarillo</t>
  </si>
  <si>
    <t>MT Total Ago</t>
  </si>
  <si>
    <t>Se calcula en el simulador / Excel descargado</t>
  </si>
  <si>
    <t>Usar para estimar gap contra 43,000.</t>
  </si>
  <si>
    <t>Asíncrono requerido para 43,000</t>
  </si>
  <si>
    <t>43,000 - MT Total Ago</t>
  </si>
  <si>
    <t>En el Excel descargado queda como columna.</t>
  </si>
  <si>
    <t>Gap vs 43,000</t>
  </si>
  <si>
    <t>En blanco</t>
  </si>
  <si>
    <t>Desde 2037 ya no se muestra ese cálculo.</t>
  </si>
  <si>
    <t>campo</t>
  </si>
  <si>
    <t>valor_default</t>
  </si>
  <si>
    <t>donde_se_edita</t>
  </si>
  <si>
    <t>tipo_proyecto</t>
  </si>
  <si>
    <t>Espacio Connect</t>
  </si>
  <si>
    <t>Nuevo tipo de proyecto de Inversión.</t>
  </si>
  <si>
    <t>Pestaña Inversión</t>
  </si>
  <si>
    <t>Aplica a Campus en línea.</t>
  </si>
  <si>
    <t>Campus en línea</t>
  </si>
  <si>
    <t>Campus impactado por defecto.</t>
  </si>
  <si>
    <t>Se usa para identificar el proyecto.</t>
  </si>
  <si>
    <t>Posgrado + Ejecutivo</t>
  </si>
  <si>
    <t>Puede ser Posgrado, Ejecutivo o Posgrado + Ejecutivo.</t>
  </si>
  <si>
    <t>Si es Posgrado + Ejecutivo, se reparte 50/50.</t>
  </si>
  <si>
    <t>Editable por año</t>
  </si>
  <si>
    <t>NI aportado por el proyecto.</t>
  </si>
  <si>
    <t>Tabla NI proyecto</t>
  </si>
  <si>
    <t>Se suma a la pestaña Posgrado/Ejecutivo.</t>
  </si>
  <si>
    <t>Internacional</t>
  </si>
  <si>
    <t>Se eliminó la repetición por 5 bimestres; solo queda Agosto.</t>
  </si>
  <si>
    <t>NI Internacional</t>
  </si>
  <si>
    <t>NI_Agosto = NI anual / 5.</t>
  </si>
  <si>
    <t>RI Internacional</t>
  </si>
  <si>
    <t>RI_Agosto_necesario = MT objetivo - NI_Agosto.</t>
  </si>
  <si>
    <t>Gap vs 43,000 se conserva hasta 2036; desde 2037 queda en blanco.</t>
  </si>
  <si>
    <t>Año 2036</t>
  </si>
  <si>
    <t>La fila 2036 queda resaltada en amarillo en la tabla del simulador y documentada en caso_base_meta_2036.</t>
  </si>
  <si>
    <t>Nuevo tipo de proyecto en Inversión, aplicado a Campus en línea.</t>
  </si>
  <si>
    <t>Posgrado/Ejecutivo</t>
  </si>
  <si>
    <t>NI de Espacio Connect se suma a la simulación de Posgrado/Ejecutivo.</t>
  </si>
  <si>
    <t>Incluye Caso_base_3pct, Internacional_Agosto y Espacio_Connect.</t>
  </si>
  <si>
    <t>No se detectaron errores de fórmula en el workbook.</t>
  </si>
  <si>
    <t>Base</t>
  </si>
  <si>
    <t>v140 con corrección menor de workbook.</t>
  </si>
  <si>
    <t>Corrección</t>
  </si>
  <si>
    <t>Se quitó una fórmula textual que Excel interpretaba como fórmula en caso_base_meta_2036.</t>
  </si>
  <si>
    <t>Se volvió a escanear el workbook sin errores de fórmula.</t>
  </si>
  <si>
    <t>Simulador</t>
  </si>
  <si>
    <t>Se conserva la lógica de Internacional Agosto y Espacio Connect.</t>
  </si>
  <si>
    <t>RI_bimestral_Agosto</t>
  </si>
  <si>
    <t>MT_tetra_historica</t>
  </si>
  <si>
    <t>gap_vs_43000</t>
  </si>
  <si>
    <t>asincrono_requerido_para_43000</t>
  </si>
  <si>
    <t>marca_2036</t>
  </si>
  <si>
    <t>Año meta 2036</t>
  </si>
  <si>
    <t>43,000 - MT Total</t>
  </si>
  <si>
    <t>Gap positivo</t>
  </si>
  <si>
    <t>Gap en blanco desde 2037</t>
  </si>
  <si>
    <t>La tabla del simulador ahora muestra Posgrado, Ejecutivo y Total como filas.</t>
  </si>
  <si>
    <t>Columnas de caso base</t>
  </si>
  <si>
    <t>Incluye NI Agosto, RI bimestral Agosto, MT tetra histórica y MT Agosto por nivel.</t>
  </si>
  <si>
    <t>Se conserva resaltado en amarillo y con gap/asíncrono requerido en la fila Total.</t>
  </si>
  <si>
    <t>2037 en adelante</t>
  </si>
  <si>
    <t>Gap vs 43,000 queda en blanco.</t>
  </si>
  <si>
    <t>Posgrado y Ejecutivo ahora muestran solo Agosto, hasta Agosto 2045.</t>
  </si>
  <si>
    <t>Cálculo interno</t>
  </si>
  <si>
    <t>Los bimestres intermedios se siguen calculando internamente.</t>
  </si>
  <si>
    <t>Exporta Caso_base_por_nivel, Posgrado_Agosto y Ejecutivo_Agosto.</t>
  </si>
  <si>
    <t>RI_bimestral</t>
  </si>
  <si>
    <t>Captura aquí el RI bimestral total. No es stock por B2/B3; es RI total del periodo.</t>
  </si>
  <si>
    <t>MT_PMP</t>
  </si>
  <si>
    <t>MT_tetra_calculada</t>
  </si>
  <si>
    <t>validacion</t>
  </si>
  <si>
    <t>Qué capturar</t>
  </si>
  <si>
    <t>Dónde capturarlo</t>
  </si>
  <si>
    <t>NI bimestral 2026-2029</t>
  </si>
  <si>
    <t>Hoja ni_bimestral_pos_ejec, columna NI.</t>
  </si>
  <si>
    <t>RI bimestral 2026-2029</t>
  </si>
  <si>
    <t>Hoja ri_bimestral_pos_ejec, columna RI_bimestral.</t>
  </si>
  <si>
    <t>MT PMP 2026-2029</t>
  </si>
  <si>
    <t>Hoja pmp_mt_pos_ejec, columna mt_pmp.</t>
  </si>
  <si>
    <t>Tetra faltante</t>
  </si>
  <si>
    <t>No la captures manualmente si no la tienes; se calcula en calculo_tetra_pmp_pos_ejec.</t>
  </si>
  <si>
    <t>Fórmula</t>
  </si>
  <si>
    <t>MT_tetra_calculada = MT_PMP - NI - RI_bimestral.</t>
  </si>
  <si>
    <t>En calculo_tetra_pmp_pos_ejec, la columna validacion debe decir OK cuando haya PMP.</t>
  </si>
  <si>
    <t>Para que cruce bien, usa el mismo anio_calendario, periodo, nivel y modalidad en las tres hojas.</t>
  </si>
  <si>
    <t>Puedes usar Síncrono / Asíncrono. Si solo tienes total por nivel, pon modalidad Total en pmp_mt_pos_ejec y dime para ajustar el simulador después.</t>
  </si>
  <si>
    <t>Modelo v142.</t>
  </si>
  <si>
    <t>Nueva hoja</t>
  </si>
  <si>
    <t>ri_bimestral_pos_ejec para capturar RI bimestral total 2026-2029.</t>
  </si>
  <si>
    <t>calculo_tetra_pmp_pos_ejec para calcular tetra faltante contra PMP.</t>
  </si>
  <si>
    <t>Cálculo</t>
  </si>
  <si>
    <t>Instrucciones</t>
  </si>
  <si>
    <t>Ver hoja INSTRUCCIONES_captura_PMP_RI.</t>
  </si>
  <si>
    <t>Uso</t>
  </si>
  <si>
    <t>Este es el Excel recomendado para que captures NI, RI bimestral y PMP.</t>
  </si>
  <si>
    <t>Corrección NI</t>
  </si>
  <si>
    <t>El simulador v145 lee NI desde ni_bimestral_pos_ejec.</t>
  </si>
  <si>
    <t>Llave de lectura</t>
  </si>
  <si>
    <t>anio_calendario + periodo + nivel + modalidad.</t>
  </si>
  <si>
    <t>Ya no se usa como llave principal para los NI del caso base 2026-2029.</t>
  </si>
  <si>
    <t>La tabla del caso base usa esos NI para 2026-2029.</t>
  </si>
  <si>
    <t>Proyección 2030+</t>
  </si>
  <si>
    <t>Desde Enero 2030 se conserva tasas + crecimiento 3%.</t>
  </si>
  <si>
    <t>Se agrega hoja NI_bimestral_fuente en la exportación del simulador.</t>
  </si>
  <si>
    <t>Cálculos</t>
  </si>
  <si>
    <t>No se cambiaron tasas, Internacional ni Espacio Connect.</t>
  </si>
  <si>
    <t>Se unificó la fórmula de MT total institucional 2045.</t>
  </si>
  <si>
    <t>La tarjeta de Campus usa la misma suma que Posgrado/Ejecutivo.</t>
  </si>
  <si>
    <t>La tarjeta MT Total institución 2045 usa la misma suma que Campus.</t>
  </si>
  <si>
    <t>Preparatoria + Profesional + Posgrado/Ejecutivo del escenario + Internacional solo si el checkbox está activo.</t>
  </si>
  <si>
    <t>Se agregó hoja Resumen_institucional en la descarga de Excel del simulador.</t>
  </si>
  <si>
    <t>Sin cambios</t>
  </si>
  <si>
    <t>No se cambiaron tasas, NI, RI, PMP, Internacional ni Espacio Connect.</t>
  </si>
  <si>
    <t>Default Posgrado/Ejecutivo</t>
  </si>
  <si>
    <t>Se cambió a Manual por bloques para no forzar 43,000.</t>
  </si>
  <si>
    <t>El default queda con el caso base/manual actual hacia 2045.</t>
  </si>
  <si>
    <t>Sigue disponible; si el usuario lo elige manualmente, entonces sí fuerza la meta.</t>
  </si>
  <si>
    <t>Posgrado y Ejecutivo muestran solo Agosto, completas hasta Agosto 2045.</t>
  </si>
  <si>
    <t>Bimestres intermedios</t>
  </si>
  <si>
    <t>Se siguen calculando internamente; solo se ocultan en la vista.</t>
  </si>
  <si>
    <t>El Excel descargado exporta Posgrado_Agosto_2045 y Ejecutivo_Agosto_2045.</t>
  </si>
  <si>
    <t>No se cambiaron NI, RI, PMP, tasas, Internacional ni Espacio Connect.</t>
  </si>
  <si>
    <t>Corrección principal</t>
  </si>
  <si>
    <t>El escenario editable ya no manda ceros a NI Asíncrono desde 2036.</t>
  </si>
  <si>
    <t>NI Asíncrono</t>
  </si>
  <si>
    <t>Desde 2030 crece desde los NI Asíncronos capturados en ni_bimestral_pos_ejec.</t>
  </si>
  <si>
    <t>NI Síncrono</t>
  </si>
  <si>
    <t>Si el reparto es 100% Asíncrono, Síncrono deja de recibir NI y sus RI bajan con tasas.</t>
  </si>
  <si>
    <t>RI por modalidad</t>
  </si>
  <si>
    <t>RI Síncrono y RI Asíncrono se calculan por cohortes separadas y tasas de cada modalidad.</t>
  </si>
  <si>
    <t>RI capturado</t>
  </si>
  <si>
    <t>Si ri_bimestral_pos_ejec tiene valores 2026-2029, se usan para ajustar el stock interno.</t>
  </si>
  <si>
    <t>Reparto default</t>
  </si>
  <si>
    <t>reparto_ni_anual_pos_ejec queda 100% Asíncrono de 2030 a 2045.</t>
  </si>
  <si>
    <t>PMP</t>
  </si>
  <si>
    <t>pmp_mt_pos_ejec se usa para cuadrar 2026-2029 con MT tetra histórica.</t>
  </si>
  <si>
    <t>Vista</t>
  </si>
  <si>
    <t>Tablas Posgrado/Ejecutivo muestran Agosto 2026-2045 con NI/RI Síncrono y Asíncrono.</t>
  </si>
  <si>
    <t>Se conserva Internacional, Espacio Connect y el botón de Excel.</t>
  </si>
  <si>
    <t>Se tomó como base la v150, no la v151.</t>
  </si>
  <si>
    <t>NI Asíncrono 2030+</t>
  </si>
  <si>
    <t>Crece desde su propia base asíncrona por periodo, por ejemplo de ~245 a ~267 si la tasa así lo da.</t>
  </si>
  <si>
    <t>No cambio a total</t>
  </si>
  <si>
    <t>No se pasa el NI total síncrono completo a Asíncrono.</t>
  </si>
  <si>
    <t>5 periodos internos</t>
  </si>
  <si>
    <t>Agosto, Octubre, Enero, Marzo y Junio alimentan los RI aunque la vista muestre solo Agosto.</t>
  </si>
  <si>
    <t>RI</t>
  </si>
  <si>
    <t>El RI se calcula por cohortes internas y tasas por modalidad.</t>
  </si>
  <si>
    <t>Histórico previo</t>
  </si>
  <si>
    <t>Los NIs anteriores a 2026 se procesan como historia interna cuando existen para alimentar RI futuro.</t>
  </si>
  <si>
    <t>Las tablas de nivel agregan NI anual de 5 periodos para validar que sí entran los periodos internos.</t>
  </si>
  <si>
    <t>La descarga del simulador agrega Detalle_periodos_interno con todos los periodos calculados.</t>
  </si>
  <si>
    <t>No se cambiaron PMP, tasas, Internacional, Espacio Connect ni el botón de Excel.</t>
  </si>
  <si>
    <t>...</t>
  </si>
  <si>
    <t>Mayo</t>
  </si>
  <si>
    <t>Septiembre</t>
  </si>
  <si>
    <t>Sincrono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</si>
</sst>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b/>
      <sz val="15"/>
      <color rgb="FFFFFFFF"/>
      <name val="Carlito"/>
    </font>
    <font>
      <i/>
      <sz val="11"/>
      <color rgb="FF111827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312E81"/>
      <name val="Carlito"/>
    </font>
    <font>
      <b/>
      <sz val="11"/>
      <name val="Carlito"/>
    </font>
    <font>
      <b/>
      <sz val="14"/>
      <name val="Carlito"/>
    </font>
  </fonts>
  <fills count="57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FFFDF2"/>
      </patternFill>
    </fill>
    <fill>
      <patternFill patternType="solid">
        <fgColor rgb="FF4F46E5"/>
      </patternFill>
    </fill>
    <fill>
      <patternFill patternType="solid">
        <fgColor rgb="FFEDE9FE"/>
      </patternFill>
    </fill>
    <fill>
      <patternFill patternType="solid">
        <fgColor rgb="FFFDE68A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FDE68A"/>
      </patternFill>
    </fill>
    <fill>
      <patternFill patternType="solid">
        <fgColor rgb="FFEDE9FE"/>
      </patternFill>
    </fill>
    <fill>
      <patternFill patternType="solid">
        <fgColor rgb="FF7C3AED"/>
      </patternFill>
    </fill>
    <fill>
      <patternFill patternType="solid">
        <fgColor rgb="FF263238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3B0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3B0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7" xfId="0" applyNumberFormat="1" applyBorder="1" applyAlignment="1">
      <alignment vertical="center" wrapText="1"/>
    </xf>
    <xf numFmtId="9" fontId="0" fillId="0" borderId="0" xfId="0" applyNumberFormat="1"/>
    <xf numFmtId="1" fontId="0" fillId="4" borderId="8" xfId="0" applyNumberForma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6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1" fontId="0" fillId="0" borderId="0" xfId="0" applyNumberFormat="1"/>
    <xf numFmtId="0" fontId="5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wrapText="1"/>
    </xf>
    <xf numFmtId="10" fontId="0" fillId="0" borderId="0" xfId="0" applyNumberFormat="1"/>
    <xf numFmtId="0" fontId="6" fillId="11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6" fillId="14" borderId="0" xfId="0" applyFont="1" applyFill="1" applyAlignment="1">
      <alignment wrapText="1"/>
    </xf>
    <xf numFmtId="0" fontId="6" fillId="15" borderId="0" xfId="0" applyFont="1" applyFill="1" applyAlignment="1">
      <alignment wrapText="1"/>
    </xf>
    <xf numFmtId="0" fontId="6" fillId="16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3" fillId="19" borderId="0" xfId="0" applyFont="1" applyFill="1" applyAlignment="1">
      <alignment wrapText="1"/>
    </xf>
    <xf numFmtId="164" fontId="0" fillId="0" borderId="0" xfId="0" applyNumberFormat="1"/>
    <xf numFmtId="0" fontId="3" fillId="20" borderId="0" xfId="0" applyFont="1" applyFill="1" applyAlignment="1">
      <alignment horizontal="center" vertical="center"/>
    </xf>
    <xf numFmtId="1" fontId="3" fillId="20" borderId="0" xfId="0" applyNumberFormat="1" applyFont="1" applyFill="1" applyAlignment="1">
      <alignment horizontal="center" vertical="center"/>
    </xf>
    <xf numFmtId="3" fontId="3" fillId="20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0" fontId="3" fillId="23" borderId="0" xfId="0" applyFont="1" applyFill="1" applyAlignment="1">
      <alignment horizontal="center" vertical="top" wrapText="1"/>
    </xf>
    <xf numFmtId="0" fontId="3" fillId="24" borderId="0" xfId="0" applyFont="1" applyFill="1" applyAlignment="1">
      <alignment horizontal="center" vertical="center" wrapText="1"/>
    </xf>
    <xf numFmtId="0" fontId="4" fillId="25" borderId="0" xfId="0" applyFont="1" applyFill="1" applyAlignment="1">
      <alignment horizontal="center" vertical="center" wrapText="1"/>
    </xf>
    <xf numFmtId="9" fontId="0" fillId="0" borderId="0" xfId="0" applyNumberFormat="1" applyAlignment="1">
      <alignment wrapText="1"/>
    </xf>
    <xf numFmtId="3" fontId="3" fillId="24" borderId="0" xfId="0" applyNumberFormat="1" applyFont="1" applyFill="1" applyAlignment="1">
      <alignment horizontal="center" vertical="center" wrapText="1"/>
    </xf>
    <xf numFmtId="9" fontId="3" fillId="24" borderId="0" xfId="0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center" wrapText="1"/>
    </xf>
    <xf numFmtId="0" fontId="3" fillId="26" borderId="0" xfId="0" applyFont="1" applyFill="1" applyAlignment="1">
      <alignment wrapText="1"/>
    </xf>
    <xf numFmtId="0" fontId="3" fillId="27" borderId="0" xfId="0" applyFont="1" applyFill="1" applyAlignment="1">
      <alignment horizontal="center" wrapText="1"/>
    </xf>
    <xf numFmtId="0" fontId="3" fillId="27" borderId="0" xfId="0" applyFont="1" applyFill="1" applyAlignment="1">
      <alignment wrapText="1"/>
    </xf>
    <xf numFmtId="0" fontId="3" fillId="28" borderId="0" xfId="0" applyFont="1" applyFill="1" applyAlignment="1">
      <alignment horizontal="center" wrapText="1"/>
    </xf>
    <xf numFmtId="0" fontId="3" fillId="29" borderId="0" xfId="0" applyFont="1" applyFill="1" applyAlignment="1">
      <alignment horizontal="center" wrapText="1"/>
    </xf>
    <xf numFmtId="0" fontId="3" fillId="30" borderId="0" xfId="0" applyFont="1" applyFill="1" applyAlignment="1">
      <alignment horizontal="center" wrapText="1"/>
    </xf>
    <xf numFmtId="0" fontId="3" fillId="31" borderId="0" xfId="0" applyFont="1" applyFill="1" applyAlignment="1">
      <alignment horizontal="center" wrapText="1"/>
    </xf>
    <xf numFmtId="0" fontId="3" fillId="32" borderId="0" xfId="0" applyFont="1" applyFill="1" applyAlignment="1">
      <alignment horizontal="center" wrapText="1"/>
    </xf>
    <xf numFmtId="0" fontId="3" fillId="33" borderId="0" xfId="0" applyFont="1" applyFill="1" applyAlignment="1">
      <alignment horizontal="center" wrapText="1"/>
    </xf>
    <xf numFmtId="0" fontId="3" fillId="34" borderId="0" xfId="0" applyFont="1" applyFill="1" applyAlignment="1">
      <alignment horizontal="center" wrapText="1"/>
    </xf>
    <xf numFmtId="0" fontId="3" fillId="35" borderId="0" xfId="0" applyFont="1" applyFill="1" applyAlignment="1">
      <alignment horizontal="center" wrapText="1"/>
    </xf>
    <xf numFmtId="0" fontId="3" fillId="36" borderId="0" xfId="0" applyFont="1" applyFill="1" applyAlignment="1">
      <alignment horizontal="center" wrapText="1"/>
    </xf>
    <xf numFmtId="0" fontId="3" fillId="37" borderId="0" xfId="0" applyFont="1" applyFill="1" applyAlignment="1">
      <alignment horizontal="center" wrapText="1"/>
    </xf>
    <xf numFmtId="0" fontId="3" fillId="38" borderId="0" xfId="0" applyFont="1" applyFill="1" applyAlignment="1">
      <alignment horizontal="center" wrapText="1"/>
    </xf>
    <xf numFmtId="3" fontId="3" fillId="38" borderId="0" xfId="0" applyNumberFormat="1" applyFont="1" applyFill="1" applyAlignment="1">
      <alignment horizontal="center" wrapText="1"/>
    </xf>
    <xf numFmtId="0" fontId="3" fillId="39" borderId="0" xfId="0" applyFont="1" applyFill="1" applyAlignment="1">
      <alignment horizontal="center" wrapText="1"/>
    </xf>
    <xf numFmtId="0" fontId="3" fillId="40" borderId="0" xfId="0" applyFont="1" applyFill="1" applyAlignment="1">
      <alignment horizontal="center" wrapText="1"/>
    </xf>
    <xf numFmtId="3" fontId="0" fillId="0" borderId="0" xfId="0" applyNumberFormat="1" applyAlignment="1">
      <alignment wrapText="1"/>
    </xf>
    <xf numFmtId="0" fontId="3" fillId="41" borderId="0" xfId="0" applyFont="1" applyFill="1" applyAlignment="1">
      <alignment horizontal="center" wrapText="1"/>
    </xf>
    <xf numFmtId="0" fontId="3" fillId="42" borderId="0" xfId="0" applyFont="1" applyFill="1" applyAlignment="1">
      <alignment horizontal="center" wrapText="1"/>
    </xf>
    <xf numFmtId="0" fontId="3" fillId="43" borderId="0" xfId="0" applyFont="1" applyFill="1" applyAlignment="1">
      <alignment horizontal="center" wrapText="1"/>
    </xf>
    <xf numFmtId="0" fontId="3" fillId="4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3" fillId="45" borderId="0" xfId="0" applyFont="1" applyFill="1" applyAlignment="1">
      <alignment horizontal="center" wrapText="1"/>
    </xf>
    <xf numFmtId="0" fontId="3" fillId="46" borderId="0" xfId="0" applyFont="1" applyFill="1" applyAlignment="1">
      <alignment horizontal="center" wrapText="1"/>
    </xf>
    <xf numFmtId="0" fontId="0" fillId="47" borderId="0" xfId="0" applyFill="1" applyAlignment="1">
      <alignment wrapText="1"/>
    </xf>
    <xf numFmtId="0" fontId="3" fillId="48" borderId="0" xfId="0" applyFont="1" applyFill="1" applyAlignment="1">
      <alignment horizontal="center" wrapText="1"/>
    </xf>
    <xf numFmtId="0" fontId="3" fillId="49" borderId="0" xfId="0" applyFont="1" applyFill="1" applyAlignment="1">
      <alignment horizontal="center" wrapText="1"/>
    </xf>
    <xf numFmtId="0" fontId="0" fillId="50" borderId="0" xfId="0" applyFill="1" applyAlignment="1">
      <alignment wrapText="1"/>
    </xf>
    <xf numFmtId="0" fontId="3" fillId="51" borderId="0" xfId="0" applyFont="1" applyFill="1" applyAlignment="1">
      <alignment horizontal="center" wrapText="1"/>
    </xf>
    <xf numFmtId="0" fontId="3" fillId="52" borderId="0" xfId="0" applyFont="1" applyFill="1" applyAlignment="1">
      <alignment horizontal="center" wrapText="1"/>
    </xf>
    <xf numFmtId="0" fontId="3" fillId="53" borderId="0" xfId="0" applyFont="1" applyFill="1" applyAlignment="1">
      <alignment horizontal="center" wrapText="1"/>
    </xf>
    <xf numFmtId="0" fontId="3" fillId="54" borderId="0" xfId="0" applyFont="1" applyFill="1" applyAlignment="1">
      <alignment horizontal="center" wrapText="1"/>
    </xf>
    <xf numFmtId="0" fontId="3" fillId="55" borderId="0" xfId="0" applyFont="1" applyFill="1" applyAlignment="1">
      <alignment horizontal="center" wrapText="1"/>
    </xf>
    <xf numFmtId="0" fontId="3" fillId="56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4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wrapText="1"/>
    </xf>
    <xf numFmtId="0" fontId="4" fillId="5" borderId="0" xfId="0" applyFont="1" applyFill="1" applyAlignment="1">
      <alignment horizontal="left" vertical="center"/>
    </xf>
    <xf numFmtId="0" fontId="7" fillId="18" borderId="0" xfId="0" applyFont="1" applyFill="1"/>
    <xf numFmtId="0" fontId="0" fillId="0" borderId="0" xfId="0" applyAlignment="1">
      <alignment wrapText="1"/>
    </xf>
    <xf numFmtId="0" fontId="4" fillId="25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se_ni_ri" displayName="tbl_base_ni_ri" ref="A4:J1357">
  <autoFilter ref="A4:J1357" xr:uid="{00000000-0009-0000-0100-000001000000}"/>
  <tableColumns count="10">
    <tableColumn id="1" xr3:uid="{00000000-0010-0000-0000-000001000000}" name="anio"/>
    <tableColumn id="2" xr3:uid="{00000000-0010-0000-0000-000002000000}" name="periodo"/>
    <tableColumn id="3" xr3:uid="{00000000-0010-0000-0000-000003000000}" name="campus"/>
    <tableColumn id="4" xr3:uid="{00000000-0010-0000-0000-000004000000}" name="nivel"/>
    <tableColumn id="5" xr3:uid="{00000000-0010-0000-0000-000005000000}" name="modalidad"/>
    <tableColumn id="6" xr3:uid="{00000000-0010-0000-0000-000006000000}" name="ni_total"/>
    <tableColumn id="7" xr3:uid="{00000000-0010-0000-0000-000007000000}" name="ri_total"/>
    <tableColumn id="8" xr3:uid="{00000000-0010-0000-0000-000008000000}" name="mt_total"/>
    <tableColumn id="9" xr3:uid="{00000000-0010-0000-0000-000009000000}" name="validacion_mt"/>
    <tableColumn id="10" xr3:uid="{00000000-0010-0000-0000-00000A000000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quivalencias" displayName="tbl_equivalencias" ref="A4:I500">
  <tableColumns count="9">
    <tableColumn id="1" xr3:uid="{00000000-0010-0000-0100-000001000000}" name="campus"/>
    <tableColumn id="2" xr3:uid="{00000000-0010-0000-0100-000002000000}" name="nivel"/>
    <tableColumn id="3" xr3:uid="{00000000-0010-0000-0100-000003000000}" name="modalidad"/>
    <tableColumn id="4" xr3:uid="{00000000-0010-0000-0100-000004000000}" name="periodo"/>
    <tableColumn id="5" xr3:uid="{00000000-0010-0000-0100-000005000000}" name="semestre_ingreso"/>
    <tableColumn id="6" xr3:uid="{00000000-0010-0000-0100-000006000000}" name="equivalencias_promedio"/>
    <tableColumn id="7" xr3:uid="{00000000-0010-0000-0100-000007000000}" name="pct_sobre_ni"/>
    <tableColumn id="8" xr3:uid="{00000000-0010-0000-0100-000008000000}" name="metodo"/>
    <tableColumn id="9" xr3:uid="{00000000-0010-0000-0100-000009000000}" name="comen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asas_avance" displayName="tbl_tasas_avance" ref="A4:H1000">
  <tableColumns count="8">
    <tableColumn id="1" xr3:uid="{00000000-0010-0000-0200-000001000000}" name="campus"/>
    <tableColumn id="2" xr3:uid="{00000000-0010-0000-0200-000002000000}" name="nivel"/>
    <tableColumn id="3" xr3:uid="{00000000-0010-0000-0200-000003000000}" name="modalidad"/>
    <tableColumn id="4" xr3:uid="{00000000-0010-0000-0200-000004000000}" name="periodo_origen"/>
    <tableColumn id="5" xr3:uid="{00000000-0010-0000-0200-000005000000}" name="estado_origen"/>
    <tableColumn id="6" xr3:uid="{00000000-0010-0000-0200-000006000000}" name="estado_destino"/>
    <tableColumn id="7" xr3:uid="{00000000-0010-0000-0200-000007000000}" name="tasa"/>
    <tableColumn id="8" xr3:uid="{00000000-0010-0000-0200-000008000000}" name="coment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resencialidad" displayName="tbl_presencialidad" ref="A4:G500">
  <tableColumns count="7">
    <tableColumn id="1" xr3:uid="{00000000-0010-0000-0300-000001000000}" name="campus"/>
    <tableColumn id="2" xr3:uid="{00000000-0010-0000-0300-000002000000}" name="nivel"/>
    <tableColumn id="3" xr3:uid="{00000000-0010-0000-0300-000003000000}" name="modalidad"/>
    <tableColumn id="4" xr3:uid="{00000000-0010-0000-0300-000004000000}" name="semestre"/>
    <tableColumn id="5" xr3:uid="{00000000-0010-0000-0300-000005000000}" name="pct_presencialidad"/>
    <tableColumn id="6" xr3:uid="{00000000-0010-0000-0300-000006000000}" name="usa_salon"/>
    <tableColumn id="7" xr3:uid="{00000000-0010-0000-0300-000007000000}" name="coment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stribucion_ri" displayName="tbl_distribucion_ri" ref="A4:G500">
  <tableColumns count="7">
    <tableColumn id="1" xr3:uid="{00000000-0010-0000-0400-000001000000}" name="campus"/>
    <tableColumn id="2" xr3:uid="{00000000-0010-0000-0400-000002000000}" name="nivel"/>
    <tableColumn id="3" xr3:uid="{00000000-0010-0000-0400-000003000000}" name="modalidad"/>
    <tableColumn id="4" xr3:uid="{00000000-0010-0000-0400-000004000000}" name="periodo"/>
    <tableColumn id="5" xr3:uid="{00000000-0010-0000-0400-000005000000}" name="semestre"/>
    <tableColumn id="6" xr3:uid="{00000000-0010-0000-0400-000006000000}" name="pct_ri"/>
    <tableColumn id="7" xr3:uid="{00000000-0010-0000-0400-000007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sqref="A1:H1"/>
    </sheetView>
  </sheetViews>
  <sheetFormatPr baseColWidth="10" defaultColWidth="8.6640625" defaultRowHeight="14"/>
  <cols>
    <col min="1" max="1" width="10.5" customWidth="1"/>
    <col min="2" max="2" width="72" customWidth="1"/>
    <col min="3" max="3" width="22" customWidth="1"/>
  </cols>
  <sheetData>
    <row r="1" spans="1:8" ht="0.75" customHeight="1">
      <c r="A1" s="88" t="s">
        <v>0</v>
      </c>
      <c r="B1" s="89"/>
      <c r="C1" s="89"/>
      <c r="D1" s="89"/>
      <c r="E1" s="89"/>
      <c r="F1" s="89"/>
      <c r="G1" s="89"/>
      <c r="H1" s="89"/>
    </row>
    <row r="2" spans="1:8" ht="0.9" customHeight="1">
      <c r="A2" s="90" t="s">
        <v>1</v>
      </c>
      <c r="B2" s="89"/>
      <c r="C2" s="89"/>
      <c r="D2" s="89"/>
      <c r="E2" s="89"/>
      <c r="F2" s="89"/>
      <c r="G2" s="89"/>
      <c r="H2" s="89"/>
    </row>
    <row r="4" spans="1:8" ht="0.9" customHeight="1">
      <c r="A4" s="1" t="s">
        <v>2</v>
      </c>
      <c r="B4" s="1" t="s">
        <v>3</v>
      </c>
      <c r="C4" s="1" t="s">
        <v>4</v>
      </c>
    </row>
    <row r="5" spans="1:8" ht="28">
      <c r="A5" s="2" t="s">
        <v>5</v>
      </c>
      <c r="B5" s="3" t="s">
        <v>6</v>
      </c>
      <c r="C5" s="4" t="s">
        <v>7</v>
      </c>
    </row>
    <row r="6" spans="1:8" ht="42">
      <c r="A6" s="5" t="s">
        <v>8</v>
      </c>
      <c r="B6" s="6" t="s">
        <v>9</v>
      </c>
      <c r="C6" s="7" t="s">
        <v>7</v>
      </c>
    </row>
    <row r="7" spans="1:8" ht="28">
      <c r="A7" s="5" t="s">
        <v>10</v>
      </c>
      <c r="B7" s="6" t="s">
        <v>11</v>
      </c>
      <c r="C7" s="7" t="s">
        <v>7</v>
      </c>
    </row>
    <row r="8" spans="1:8" ht="42">
      <c r="A8" s="5" t="s">
        <v>12</v>
      </c>
      <c r="B8" s="6" t="s">
        <v>13</v>
      </c>
      <c r="C8" s="7" t="s">
        <v>7</v>
      </c>
    </row>
    <row r="9" spans="1:8" ht="42">
      <c r="A9" s="5" t="s">
        <v>14</v>
      </c>
      <c r="B9" s="6" t="s">
        <v>15</v>
      </c>
      <c r="C9" s="7" t="s">
        <v>16</v>
      </c>
    </row>
    <row r="10" spans="1:8" ht="28">
      <c r="A10" s="8" t="s">
        <v>17</v>
      </c>
      <c r="B10" s="9" t="s">
        <v>18</v>
      </c>
      <c r="C10" s="10" t="s">
        <v>19</v>
      </c>
    </row>
    <row r="13" spans="1:8" ht="0.9" customHeight="1">
      <c r="A13" s="1" t="s">
        <v>20</v>
      </c>
      <c r="B13" s="1" t="s">
        <v>21</v>
      </c>
    </row>
    <row r="14" spans="1:8" ht="28">
      <c r="A14" s="2" t="s">
        <v>22</v>
      </c>
      <c r="B14" s="4" t="s">
        <v>23</v>
      </c>
    </row>
    <row r="15" spans="1:8" ht="28">
      <c r="A15" s="5" t="s">
        <v>24</v>
      </c>
      <c r="B15" s="7" t="s">
        <v>25</v>
      </c>
    </row>
    <row r="16" spans="1:8" ht="28">
      <c r="A16" s="5" t="s">
        <v>26</v>
      </c>
      <c r="B16" s="7" t="s">
        <v>27</v>
      </c>
    </row>
    <row r="17" spans="1:2" ht="28">
      <c r="A17" s="5" t="s">
        <v>28</v>
      </c>
      <c r="B17" s="7" t="s">
        <v>29</v>
      </c>
    </row>
    <row r="18" spans="1:2">
      <c r="A18" s="5" t="s">
        <v>30</v>
      </c>
      <c r="B18" s="7" t="s">
        <v>31</v>
      </c>
    </row>
    <row r="19" spans="1:2" ht="28">
      <c r="A19" s="8" t="s">
        <v>32</v>
      </c>
      <c r="B19" s="10" t="s">
        <v>33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>
      <selection sqref="A1:H1"/>
    </sheetView>
  </sheetViews>
  <sheetFormatPr baseColWidth="10" defaultColWidth="8.6640625" defaultRowHeight="14"/>
  <cols>
    <col min="1" max="1" width="22" customWidth="1"/>
    <col min="3" max="3" width="22" customWidth="1"/>
    <col min="5" max="5" width="22" customWidth="1"/>
    <col min="7" max="7" width="22" customWidth="1"/>
    <col min="9" max="9" width="22" customWidth="1"/>
    <col min="11" max="11" width="22" customWidth="1"/>
    <col min="13" max="13" width="22" customWidth="1"/>
    <col min="15" max="15" width="22" customWidth="1"/>
    <col min="17" max="17" width="22" customWidth="1"/>
  </cols>
  <sheetData>
    <row r="1" spans="1:17" ht="0.75" customHeight="1">
      <c r="A1" s="88" t="s">
        <v>34</v>
      </c>
      <c r="B1" s="89"/>
      <c r="C1" s="89"/>
      <c r="D1" s="89"/>
      <c r="E1" s="89"/>
      <c r="F1" s="89"/>
      <c r="G1" s="89"/>
      <c r="H1" s="89"/>
    </row>
    <row r="2" spans="1:17" ht="0.9" customHeight="1">
      <c r="A2" s="90" t="s">
        <v>35</v>
      </c>
      <c r="B2" s="89"/>
      <c r="C2" s="89"/>
      <c r="D2" s="89"/>
      <c r="E2" s="89"/>
      <c r="F2" s="89"/>
      <c r="G2" s="89"/>
      <c r="H2" s="89"/>
    </row>
    <row r="4" spans="1:17" ht="0.9" customHeight="1">
      <c r="A4" s="1" t="s">
        <v>36</v>
      </c>
      <c r="C4" s="1" t="s">
        <v>37</v>
      </c>
      <c r="E4" s="1" t="s">
        <v>38</v>
      </c>
      <c r="G4" s="1" t="s">
        <v>39</v>
      </c>
      <c r="I4" s="1" t="s">
        <v>40</v>
      </c>
      <c r="K4" s="1" t="s">
        <v>41</v>
      </c>
      <c r="M4" s="1" t="s">
        <v>42</v>
      </c>
      <c r="O4" s="1" t="s">
        <v>43</v>
      </c>
      <c r="Q4" s="1" t="s">
        <v>44</v>
      </c>
    </row>
    <row r="5" spans="1:17">
      <c r="A5" t="s">
        <v>32</v>
      </c>
      <c r="C5" t="s">
        <v>45</v>
      </c>
      <c r="E5" t="s">
        <v>46</v>
      </c>
      <c r="G5" t="s">
        <v>47</v>
      </c>
      <c r="I5" t="s">
        <v>48</v>
      </c>
      <c r="K5" t="s">
        <v>48</v>
      </c>
      <c r="M5" t="s">
        <v>48</v>
      </c>
      <c r="O5" t="s">
        <v>49</v>
      </c>
      <c r="Q5">
        <v>1</v>
      </c>
    </row>
    <row r="6" spans="1:17">
      <c r="A6" t="s">
        <v>50</v>
      </c>
      <c r="C6" t="s">
        <v>51</v>
      </c>
      <c r="E6" t="s">
        <v>52</v>
      </c>
      <c r="G6" t="s">
        <v>53</v>
      </c>
      <c r="I6" t="s">
        <v>54</v>
      </c>
      <c r="K6" t="s">
        <v>54</v>
      </c>
      <c r="M6" t="s">
        <v>54</v>
      </c>
      <c r="O6" t="s">
        <v>55</v>
      </c>
      <c r="Q6">
        <v>0</v>
      </c>
    </row>
    <row r="7" spans="1:17">
      <c r="A7" t="s">
        <v>56</v>
      </c>
      <c r="I7" t="s">
        <v>57</v>
      </c>
      <c r="K7" t="s">
        <v>57</v>
      </c>
      <c r="M7" t="s">
        <v>57</v>
      </c>
    </row>
    <row r="8" spans="1:17">
      <c r="A8" t="s">
        <v>58</v>
      </c>
      <c r="I8" t="s">
        <v>59</v>
      </c>
      <c r="K8" t="s">
        <v>59</v>
      </c>
      <c r="M8" t="s">
        <v>59</v>
      </c>
    </row>
    <row r="9" spans="1:17">
      <c r="A9" t="s">
        <v>60</v>
      </c>
      <c r="I9" t="s">
        <v>61</v>
      </c>
      <c r="K9" t="s">
        <v>61</v>
      </c>
      <c r="M9" t="s">
        <v>61</v>
      </c>
    </row>
    <row r="10" spans="1:17">
      <c r="A10" t="s">
        <v>62</v>
      </c>
      <c r="I10" t="s">
        <v>63</v>
      </c>
      <c r="K10" t="s">
        <v>63</v>
      </c>
      <c r="M10" t="s">
        <v>63</v>
      </c>
    </row>
    <row r="11" spans="1:17">
      <c r="A11" t="s">
        <v>64</v>
      </c>
      <c r="I11" t="s">
        <v>28</v>
      </c>
      <c r="K11" t="s">
        <v>65</v>
      </c>
      <c r="M11" t="s">
        <v>65</v>
      </c>
    </row>
    <row r="12" spans="1:17">
      <c r="A12" t="s">
        <v>66</v>
      </c>
      <c r="K12" t="s">
        <v>67</v>
      </c>
      <c r="M12" t="s">
        <v>67</v>
      </c>
    </row>
    <row r="13" spans="1:17">
      <c r="A13" t="s">
        <v>68</v>
      </c>
      <c r="K13" t="s">
        <v>28</v>
      </c>
      <c r="M13" t="s">
        <v>28</v>
      </c>
    </row>
    <row r="14" spans="1:17">
      <c r="A14" t="s">
        <v>69</v>
      </c>
      <c r="M14" t="s">
        <v>70</v>
      </c>
    </row>
    <row r="15" spans="1:17">
      <c r="A15" t="s">
        <v>71</v>
      </c>
      <c r="M15" t="s">
        <v>72</v>
      </c>
    </row>
    <row r="16" spans="1:17">
      <c r="A16" t="s">
        <v>73</v>
      </c>
    </row>
    <row r="17" spans="1:1">
      <c r="A17" t="s">
        <v>74</v>
      </c>
    </row>
    <row r="18" spans="1:1">
      <c r="A18" t="s">
        <v>75</v>
      </c>
    </row>
    <row r="19" spans="1:1">
      <c r="A19" t="s">
        <v>76</v>
      </c>
    </row>
    <row r="20" spans="1:1">
      <c r="A20" t="s">
        <v>77</v>
      </c>
    </row>
    <row r="21" spans="1:1">
      <c r="A21" t="s">
        <v>78</v>
      </c>
    </row>
    <row r="22" spans="1:1">
      <c r="A22" t="s">
        <v>79</v>
      </c>
    </row>
    <row r="23" spans="1:1">
      <c r="A23" t="s">
        <v>80</v>
      </c>
    </row>
    <row r="24" spans="1:1">
      <c r="A24" t="s">
        <v>81</v>
      </c>
    </row>
    <row r="25" spans="1:1">
      <c r="A25" t="s">
        <v>82</v>
      </c>
    </row>
    <row r="26" spans="1:1">
      <c r="A26" t="s">
        <v>83</v>
      </c>
    </row>
    <row r="27" spans="1:1">
      <c r="A27" t="s">
        <v>84</v>
      </c>
    </row>
    <row r="28" spans="1:1">
      <c r="A28" t="s">
        <v>85</v>
      </c>
    </row>
    <row r="29" spans="1:1">
      <c r="A29" t="s">
        <v>86</v>
      </c>
    </row>
    <row r="30" spans="1:1">
      <c r="A30" t="s">
        <v>87</v>
      </c>
    </row>
    <row r="31" spans="1:1">
      <c r="A31" t="s">
        <v>88</v>
      </c>
    </row>
    <row r="32" spans="1:1">
      <c r="A32" t="s">
        <v>89</v>
      </c>
    </row>
    <row r="33" spans="1:1">
      <c r="A33" t="s">
        <v>90</v>
      </c>
    </row>
    <row r="34" spans="1:1">
      <c r="A34" t="s">
        <v>91</v>
      </c>
    </row>
    <row r="35" spans="1:1">
      <c r="A35" t="s">
        <v>92</v>
      </c>
    </row>
    <row r="36" spans="1:1">
      <c r="A36" t="s">
        <v>93</v>
      </c>
    </row>
    <row r="37" spans="1:1">
      <c r="A37" t="s">
        <v>94</v>
      </c>
    </row>
    <row r="38" spans="1:1">
      <c r="A38" t="s">
        <v>95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57"/>
  <sheetViews>
    <sheetView workbookViewId="0">
      <selection sqref="A1:J1"/>
    </sheetView>
  </sheetViews>
  <sheetFormatPr baseColWidth="10" defaultColWidth="8.6640625" defaultRowHeight="14"/>
  <cols>
    <col min="1" max="1" width="10" customWidth="1"/>
    <col min="2" max="2" width="12" customWidth="1"/>
    <col min="3" max="3" width="22" customWidth="1"/>
    <col min="4" max="4" width="18" customWidth="1"/>
    <col min="5" max="5" width="16" customWidth="1"/>
    <col min="6" max="8" width="14" customWidth="1"/>
    <col min="9" max="9" width="18" customWidth="1"/>
    <col min="10" max="10" width="34" customWidth="1"/>
  </cols>
  <sheetData>
    <row r="1" spans="1:10" ht="0.75" customHeight="1">
      <c r="A1" s="88" t="s">
        <v>96</v>
      </c>
      <c r="B1" s="89"/>
      <c r="C1" s="89"/>
      <c r="D1" s="89"/>
      <c r="E1" s="89"/>
      <c r="F1" s="91"/>
      <c r="G1" s="91"/>
      <c r="H1" s="91"/>
      <c r="I1" s="89"/>
      <c r="J1" s="89"/>
    </row>
    <row r="2" spans="1:10" ht="0.9" customHeight="1">
      <c r="A2" s="90" t="s">
        <v>97</v>
      </c>
      <c r="B2" s="89"/>
      <c r="C2" s="89"/>
      <c r="D2" s="89"/>
      <c r="E2" s="89"/>
      <c r="F2" s="89"/>
      <c r="G2" s="89"/>
      <c r="H2" s="89"/>
      <c r="I2" s="89"/>
      <c r="J2" s="89"/>
    </row>
    <row r="4" spans="1:10" ht="7.4" customHeight="1">
      <c r="A4" s="1" t="s">
        <v>98</v>
      </c>
      <c r="B4" s="1" t="s">
        <v>39</v>
      </c>
      <c r="C4" s="1" t="s">
        <v>36</v>
      </c>
      <c r="D4" s="1" t="s">
        <v>37</v>
      </c>
      <c r="E4" s="1" t="s">
        <v>38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</row>
    <row r="5" spans="1:10">
      <c r="A5" s="2">
        <v>2030</v>
      </c>
      <c r="B5" s="3" t="s">
        <v>47</v>
      </c>
      <c r="C5" s="3" t="s">
        <v>56</v>
      </c>
      <c r="D5" s="3" t="s">
        <v>45</v>
      </c>
      <c r="E5" s="3" t="s">
        <v>46</v>
      </c>
      <c r="F5" s="11">
        <v>244.65</v>
      </c>
      <c r="G5" s="3">
        <v>426</v>
      </c>
      <c r="H5" s="11">
        <f>tbl_base_ni_ri[[#This Row],[ni_total]]+tbl_base_ni_ri[[#This Row],[ri_total]]</f>
        <v>670.65</v>
      </c>
      <c r="I5" s="3" t="str">
        <f t="shared" ref="I5:I68" si="0">IF(OR(F5="",G5="",H5=""),"",IF(ABS(H5-F5-G5)&lt;0.01,"OK","Revisar MT"))</f>
        <v>OK</v>
      </c>
      <c r="J5" s="4" t="s">
        <v>104</v>
      </c>
    </row>
    <row r="6" spans="1:10">
      <c r="A6" s="5">
        <v>2031</v>
      </c>
      <c r="B6" s="6" t="s">
        <v>47</v>
      </c>
      <c r="C6" s="6" t="s">
        <v>56</v>
      </c>
      <c r="D6" s="3" t="s">
        <v>45</v>
      </c>
      <c r="E6" s="6" t="s">
        <v>46</v>
      </c>
      <c r="F6" s="12">
        <v>256.88249999999999</v>
      </c>
      <c r="G6" s="6">
        <v>441</v>
      </c>
      <c r="H6" s="12">
        <f>tbl_base_ni_ri[[#This Row],[ni_total]]+tbl_base_ni_ri[[#This Row],[ri_total]]</f>
        <v>697.88249999999994</v>
      </c>
      <c r="I6" s="6" t="str">
        <f t="shared" si="0"/>
        <v>OK</v>
      </c>
      <c r="J6" s="7" t="s">
        <v>104</v>
      </c>
    </row>
    <row r="7" spans="1:10">
      <c r="A7" s="5">
        <v>2032</v>
      </c>
      <c r="B7" s="6" t="s">
        <v>47</v>
      </c>
      <c r="C7" s="6" t="s">
        <v>56</v>
      </c>
      <c r="D7" s="3" t="s">
        <v>45</v>
      </c>
      <c r="E7" s="6" t="s">
        <v>46</v>
      </c>
      <c r="F7" s="12">
        <v>269.72662500000001</v>
      </c>
      <c r="G7" s="6">
        <v>456</v>
      </c>
      <c r="H7" s="12">
        <f>tbl_base_ni_ri[[#This Row],[ni_total]]+tbl_base_ni_ri[[#This Row],[ri_total]]</f>
        <v>725.72662500000001</v>
      </c>
      <c r="I7" s="6" t="str">
        <f t="shared" si="0"/>
        <v>OK</v>
      </c>
      <c r="J7" s="7" t="s">
        <v>104</v>
      </c>
    </row>
    <row r="8" spans="1:10">
      <c r="A8" s="5">
        <v>2033</v>
      </c>
      <c r="B8" s="6" t="s">
        <v>47</v>
      </c>
      <c r="C8" s="6" t="s">
        <v>56</v>
      </c>
      <c r="D8" s="3" t="s">
        <v>45</v>
      </c>
      <c r="E8" s="6" t="s">
        <v>46</v>
      </c>
      <c r="F8" s="12">
        <v>283.21295625000005</v>
      </c>
      <c r="G8" s="6">
        <v>479</v>
      </c>
      <c r="H8" s="12">
        <f>tbl_base_ni_ri[[#This Row],[ni_total]]+tbl_base_ni_ri[[#This Row],[ri_total]]</f>
        <v>762.21295625000005</v>
      </c>
      <c r="I8" s="6" t="str">
        <f t="shared" si="0"/>
        <v>OK</v>
      </c>
      <c r="J8" s="7" t="s">
        <v>104</v>
      </c>
    </row>
    <row r="9" spans="1:10">
      <c r="A9" s="5">
        <v>2034</v>
      </c>
      <c r="B9" s="6" t="s">
        <v>47</v>
      </c>
      <c r="C9" s="6" t="s">
        <v>56</v>
      </c>
      <c r="D9" s="3" t="s">
        <v>45</v>
      </c>
      <c r="E9" s="6" t="s">
        <v>46</v>
      </c>
      <c r="F9" s="12">
        <v>291.70934493750008</v>
      </c>
      <c r="G9" s="6">
        <v>506</v>
      </c>
      <c r="H9" s="12">
        <f>tbl_base_ni_ri[[#This Row],[ni_total]]+tbl_base_ni_ri[[#This Row],[ri_total]]</f>
        <v>797.70934493750008</v>
      </c>
      <c r="I9" s="6" t="str">
        <f t="shared" si="0"/>
        <v>OK</v>
      </c>
      <c r="J9" s="7" t="s">
        <v>104</v>
      </c>
    </row>
    <row r="10" spans="1:10">
      <c r="A10" s="5">
        <v>2035</v>
      </c>
      <c r="B10" s="6" t="s">
        <v>47</v>
      </c>
      <c r="C10" s="6" t="s">
        <v>56</v>
      </c>
      <c r="D10" s="3" t="s">
        <v>45</v>
      </c>
      <c r="E10" s="6" t="s">
        <v>46</v>
      </c>
      <c r="F10" s="12">
        <v>300.4606252856251</v>
      </c>
      <c r="G10" s="6">
        <v>536</v>
      </c>
      <c r="H10" s="12">
        <f>tbl_base_ni_ri[[#This Row],[ni_total]]+tbl_base_ni_ri[[#This Row],[ri_total]]</f>
        <v>836.46062528562516</v>
      </c>
      <c r="I10" s="6" t="str">
        <f t="shared" si="0"/>
        <v>OK</v>
      </c>
      <c r="J10" s="7" t="s">
        <v>104</v>
      </c>
    </row>
    <row r="11" spans="1:10">
      <c r="A11" s="5">
        <v>2036</v>
      </c>
      <c r="B11" s="6" t="s">
        <v>47</v>
      </c>
      <c r="C11" s="6" t="s">
        <v>56</v>
      </c>
      <c r="D11" s="3" t="s">
        <v>45</v>
      </c>
      <c r="E11" s="6" t="s">
        <v>46</v>
      </c>
      <c r="F11" s="12">
        <v>309.47444404419389</v>
      </c>
      <c r="G11" s="6">
        <v>572</v>
      </c>
      <c r="H11" s="12">
        <f>tbl_base_ni_ri[[#This Row],[ni_total]]+tbl_base_ni_ri[[#This Row],[ri_total]]</f>
        <v>881.47444404419389</v>
      </c>
      <c r="I11" s="6" t="str">
        <f t="shared" si="0"/>
        <v>OK</v>
      </c>
      <c r="J11" s="7" t="s">
        <v>104</v>
      </c>
    </row>
    <row r="12" spans="1:10">
      <c r="A12" s="5">
        <v>2037</v>
      </c>
      <c r="B12" s="6" t="s">
        <v>47</v>
      </c>
      <c r="C12" s="6" t="s">
        <v>56</v>
      </c>
      <c r="D12" s="3" t="s">
        <v>45</v>
      </c>
      <c r="E12" s="6" t="s">
        <v>46</v>
      </c>
      <c r="F12" s="12">
        <v>319.06815180956386</v>
      </c>
      <c r="G12" s="6">
        <v>594</v>
      </c>
      <c r="H12" s="12">
        <f>tbl_base_ni_ri[[#This Row],[ni_total]]+tbl_base_ni_ri[[#This Row],[ri_total]]</f>
        <v>913.06815180956391</v>
      </c>
      <c r="I12" s="6" t="str">
        <f t="shared" si="0"/>
        <v>OK</v>
      </c>
      <c r="J12" s="7" t="s">
        <v>104</v>
      </c>
    </row>
    <row r="13" spans="1:10">
      <c r="A13" s="5">
        <v>2038</v>
      </c>
      <c r="B13" s="6" t="s">
        <v>47</v>
      </c>
      <c r="C13" s="6" t="s">
        <v>56</v>
      </c>
      <c r="D13" s="3" t="s">
        <v>45</v>
      </c>
      <c r="E13" s="6" t="s">
        <v>46</v>
      </c>
      <c r="F13" s="12">
        <v>328.95926451566032</v>
      </c>
      <c r="G13" s="6">
        <v>618</v>
      </c>
      <c r="H13" s="12">
        <f>tbl_base_ni_ri[[#This Row],[ni_total]]+tbl_base_ni_ri[[#This Row],[ri_total]]</f>
        <v>946.95926451566038</v>
      </c>
      <c r="I13" s="6" t="str">
        <f t="shared" si="0"/>
        <v>OK</v>
      </c>
      <c r="J13" s="7" t="s">
        <v>104</v>
      </c>
    </row>
    <row r="14" spans="1:10">
      <c r="A14" s="5">
        <v>2039</v>
      </c>
      <c r="B14" s="6" t="s">
        <v>47</v>
      </c>
      <c r="C14" s="6" t="s">
        <v>56</v>
      </c>
      <c r="D14" s="3" t="s">
        <v>45</v>
      </c>
      <c r="E14" s="6" t="s">
        <v>46</v>
      </c>
      <c r="F14" s="12">
        <v>339.15700171564578</v>
      </c>
      <c r="G14" s="6">
        <v>642</v>
      </c>
      <c r="H14" s="12">
        <f>tbl_base_ni_ri[[#This Row],[ni_total]]+tbl_base_ni_ri[[#This Row],[ri_total]]</f>
        <v>981.15700171564572</v>
      </c>
      <c r="I14" s="6" t="str">
        <f t="shared" si="0"/>
        <v>OK</v>
      </c>
      <c r="J14" s="7" t="s">
        <v>104</v>
      </c>
    </row>
    <row r="15" spans="1:10">
      <c r="A15" s="5">
        <v>2040</v>
      </c>
      <c r="B15" s="6" t="s">
        <v>47</v>
      </c>
      <c r="C15" s="6" t="s">
        <v>56</v>
      </c>
      <c r="D15" s="3" t="s">
        <v>45</v>
      </c>
      <c r="E15" s="6" t="s">
        <v>46</v>
      </c>
      <c r="F15" s="12">
        <v>349.67086876883076</v>
      </c>
      <c r="G15" s="6">
        <v>667</v>
      </c>
      <c r="H15" s="12">
        <f>tbl_base_ni_ri[[#This Row],[ni_total]]+tbl_base_ni_ri[[#This Row],[ri_total]]</f>
        <v>1016.6708687688308</v>
      </c>
      <c r="I15" s="6" t="str">
        <f t="shared" si="0"/>
        <v>OK</v>
      </c>
      <c r="J15" s="7" t="s">
        <v>104</v>
      </c>
    </row>
    <row r="16" spans="1:10">
      <c r="A16" s="5">
        <v>2030</v>
      </c>
      <c r="B16" s="6" t="s">
        <v>47</v>
      </c>
      <c r="C16" s="6" t="s">
        <v>58</v>
      </c>
      <c r="D16" s="3" t="s">
        <v>45</v>
      </c>
      <c r="E16" s="6" t="s">
        <v>46</v>
      </c>
      <c r="F16" s="12">
        <v>344.41</v>
      </c>
      <c r="G16" s="6">
        <v>531</v>
      </c>
      <c r="H16" s="12">
        <f>tbl_base_ni_ri[[#This Row],[ni_total]]+tbl_base_ni_ri[[#This Row],[ri_total]]</f>
        <v>875.41000000000008</v>
      </c>
      <c r="I16" s="6" t="str">
        <f t="shared" si="0"/>
        <v>OK</v>
      </c>
      <c r="J16" s="7" t="s">
        <v>104</v>
      </c>
    </row>
    <row r="17" spans="1:10">
      <c r="A17" s="5">
        <v>2031</v>
      </c>
      <c r="B17" s="6" t="s">
        <v>47</v>
      </c>
      <c r="C17" s="6" t="s">
        <v>58</v>
      </c>
      <c r="D17" s="3" t="s">
        <v>45</v>
      </c>
      <c r="E17" s="6" t="s">
        <v>46</v>
      </c>
      <c r="F17" s="12">
        <v>347.85410000000002</v>
      </c>
      <c r="G17" s="6">
        <v>539</v>
      </c>
      <c r="H17" s="12">
        <f>tbl_base_ni_ri[[#This Row],[ni_total]]+tbl_base_ni_ri[[#This Row],[ri_total]]</f>
        <v>886.85410000000002</v>
      </c>
      <c r="I17" s="6" t="str">
        <f t="shared" si="0"/>
        <v>OK</v>
      </c>
      <c r="J17" s="7" t="s">
        <v>104</v>
      </c>
    </row>
    <row r="18" spans="1:10">
      <c r="A18" s="5">
        <v>2032</v>
      </c>
      <c r="B18" s="6" t="s">
        <v>47</v>
      </c>
      <c r="C18" s="6" t="s">
        <v>58</v>
      </c>
      <c r="D18" s="3" t="s">
        <v>45</v>
      </c>
      <c r="E18" s="6" t="s">
        <v>46</v>
      </c>
      <c r="F18" s="12">
        <v>351.33264100000002</v>
      </c>
      <c r="G18" s="6">
        <v>546</v>
      </c>
      <c r="H18" s="12">
        <f>tbl_base_ni_ri[[#This Row],[ni_total]]+tbl_base_ni_ri[[#This Row],[ri_total]]</f>
        <v>897.33264099999997</v>
      </c>
      <c r="I18" s="6" t="str">
        <f t="shared" si="0"/>
        <v>OK</v>
      </c>
      <c r="J18" s="7" t="s">
        <v>104</v>
      </c>
    </row>
    <row r="19" spans="1:10">
      <c r="A19" s="5">
        <v>2033</v>
      </c>
      <c r="B19" s="6" t="s">
        <v>47</v>
      </c>
      <c r="C19" s="6" t="s">
        <v>58</v>
      </c>
      <c r="D19" s="3" t="s">
        <v>45</v>
      </c>
      <c r="E19" s="6" t="s">
        <v>46</v>
      </c>
      <c r="F19" s="12">
        <v>354.84596741000001</v>
      </c>
      <c r="G19" s="6">
        <v>554</v>
      </c>
      <c r="H19" s="12">
        <f>tbl_base_ni_ri[[#This Row],[ni_total]]+tbl_base_ni_ri[[#This Row],[ri_total]]</f>
        <v>908.84596740999996</v>
      </c>
      <c r="I19" s="6" t="str">
        <f t="shared" si="0"/>
        <v>OK</v>
      </c>
      <c r="J19" s="7" t="s">
        <v>104</v>
      </c>
    </row>
    <row r="20" spans="1:10">
      <c r="A20" s="5">
        <v>2034</v>
      </c>
      <c r="B20" s="6" t="s">
        <v>47</v>
      </c>
      <c r="C20" s="6" t="s">
        <v>58</v>
      </c>
      <c r="D20" s="3" t="s">
        <v>45</v>
      </c>
      <c r="E20" s="6" t="s">
        <v>46</v>
      </c>
      <c r="F20" s="12">
        <v>358.39442708410002</v>
      </c>
      <c r="G20" s="6">
        <v>563</v>
      </c>
      <c r="H20" s="12">
        <f>tbl_base_ni_ri[[#This Row],[ni_total]]+tbl_base_ni_ri[[#This Row],[ri_total]]</f>
        <v>921.39442708410002</v>
      </c>
      <c r="I20" s="6" t="str">
        <f t="shared" si="0"/>
        <v>OK</v>
      </c>
      <c r="J20" s="7" t="s">
        <v>104</v>
      </c>
    </row>
    <row r="21" spans="1:10">
      <c r="A21" s="5">
        <v>2035</v>
      </c>
      <c r="B21" s="6" t="s">
        <v>47</v>
      </c>
      <c r="C21" s="6" t="s">
        <v>58</v>
      </c>
      <c r="D21" s="3" t="s">
        <v>45</v>
      </c>
      <c r="E21" s="6" t="s">
        <v>46</v>
      </c>
      <c r="F21" s="12">
        <v>361.97837135494103</v>
      </c>
      <c r="G21" s="6">
        <v>573</v>
      </c>
      <c r="H21" s="12">
        <f>tbl_base_ni_ri[[#This Row],[ni_total]]+tbl_base_ni_ri[[#This Row],[ri_total]]</f>
        <v>934.97837135494103</v>
      </c>
      <c r="I21" s="6" t="str">
        <f t="shared" si="0"/>
        <v>OK</v>
      </c>
      <c r="J21" s="7" t="s">
        <v>104</v>
      </c>
    </row>
    <row r="22" spans="1:10">
      <c r="A22" s="5">
        <v>2036</v>
      </c>
      <c r="B22" s="6" t="s">
        <v>47</v>
      </c>
      <c r="C22" s="6" t="s">
        <v>58</v>
      </c>
      <c r="D22" s="3" t="s">
        <v>45</v>
      </c>
      <c r="E22" s="6" t="s">
        <v>46</v>
      </c>
      <c r="F22" s="12">
        <v>365.59815506849043</v>
      </c>
      <c r="G22" s="6">
        <v>581</v>
      </c>
      <c r="H22" s="12">
        <f>tbl_base_ni_ri[[#This Row],[ni_total]]+tbl_base_ni_ri[[#This Row],[ri_total]]</f>
        <v>946.59815506849043</v>
      </c>
      <c r="I22" s="6" t="str">
        <f t="shared" si="0"/>
        <v>OK</v>
      </c>
      <c r="J22" s="7" t="s">
        <v>104</v>
      </c>
    </row>
    <row r="23" spans="1:10">
      <c r="A23" s="5">
        <v>2037</v>
      </c>
      <c r="B23" s="6" t="s">
        <v>47</v>
      </c>
      <c r="C23" s="6" t="s">
        <v>58</v>
      </c>
      <c r="D23" s="3" t="s">
        <v>45</v>
      </c>
      <c r="E23" s="6" t="s">
        <v>46</v>
      </c>
      <c r="F23" s="12">
        <v>369.25413661917531</v>
      </c>
      <c r="G23" s="6">
        <v>589</v>
      </c>
      <c r="H23" s="12">
        <f>tbl_base_ni_ri[[#This Row],[ni_total]]+tbl_base_ni_ri[[#This Row],[ri_total]]</f>
        <v>958.25413661917537</v>
      </c>
      <c r="I23" s="6" t="str">
        <f t="shared" si="0"/>
        <v>OK</v>
      </c>
      <c r="J23" s="7" t="s">
        <v>104</v>
      </c>
    </row>
    <row r="24" spans="1:10">
      <c r="A24" s="5">
        <v>2038</v>
      </c>
      <c r="B24" s="6" t="s">
        <v>47</v>
      </c>
      <c r="C24" s="6" t="s">
        <v>58</v>
      </c>
      <c r="D24" s="3" t="s">
        <v>45</v>
      </c>
      <c r="E24" s="6" t="s">
        <v>46</v>
      </c>
      <c r="F24" s="12">
        <v>372.94667798536705</v>
      </c>
      <c r="G24" s="6">
        <v>593</v>
      </c>
      <c r="H24" s="12">
        <f>tbl_base_ni_ri[[#This Row],[ni_total]]+tbl_base_ni_ri[[#This Row],[ri_total]]</f>
        <v>965.94667798536705</v>
      </c>
      <c r="I24" s="6" t="str">
        <f t="shared" si="0"/>
        <v>OK</v>
      </c>
      <c r="J24" s="7" t="s">
        <v>104</v>
      </c>
    </row>
    <row r="25" spans="1:10">
      <c r="A25" s="5">
        <v>2039</v>
      </c>
      <c r="B25" s="6" t="s">
        <v>47</v>
      </c>
      <c r="C25" s="6" t="s">
        <v>58</v>
      </c>
      <c r="D25" s="3" t="s">
        <v>45</v>
      </c>
      <c r="E25" s="6" t="s">
        <v>46</v>
      </c>
      <c r="F25" s="12">
        <v>376.67614476522073</v>
      </c>
      <c r="G25" s="6">
        <v>601</v>
      </c>
      <c r="H25" s="12">
        <f>tbl_base_ni_ri[[#This Row],[ni_total]]+tbl_base_ni_ri[[#This Row],[ri_total]]</f>
        <v>977.67614476522067</v>
      </c>
      <c r="I25" s="6" t="str">
        <f t="shared" si="0"/>
        <v>OK</v>
      </c>
      <c r="J25" s="7" t="s">
        <v>104</v>
      </c>
    </row>
    <row r="26" spans="1:10">
      <c r="A26" s="5">
        <v>2040</v>
      </c>
      <c r="B26" s="3" t="s">
        <v>47</v>
      </c>
      <c r="C26" s="6" t="s">
        <v>58</v>
      </c>
      <c r="D26" s="3" t="s">
        <v>45</v>
      </c>
      <c r="E26" s="3" t="s">
        <v>46</v>
      </c>
      <c r="F26" s="12">
        <v>380.44290621287291</v>
      </c>
      <c r="G26" s="6">
        <v>612</v>
      </c>
      <c r="H26" s="12">
        <f>tbl_base_ni_ri[[#This Row],[ni_total]]+tbl_base_ni_ri[[#This Row],[ri_total]]</f>
        <v>992.44290621287291</v>
      </c>
      <c r="I26" s="6" t="str">
        <f t="shared" si="0"/>
        <v>OK</v>
      </c>
      <c r="J26" s="7" t="s">
        <v>104</v>
      </c>
    </row>
    <row r="27" spans="1:10">
      <c r="A27" s="5">
        <v>2030</v>
      </c>
      <c r="B27" s="3" t="s">
        <v>47</v>
      </c>
      <c r="C27" s="6" t="s">
        <v>60</v>
      </c>
      <c r="D27" s="3" t="s">
        <v>45</v>
      </c>
      <c r="E27" s="3" t="s">
        <v>46</v>
      </c>
      <c r="F27" s="12">
        <v>249.26000000000002</v>
      </c>
      <c r="G27" s="6">
        <v>300</v>
      </c>
      <c r="H27" s="12">
        <f>tbl_base_ni_ri[[#This Row],[ni_total]]+tbl_base_ni_ri[[#This Row],[ri_total]]</f>
        <v>549.26</v>
      </c>
      <c r="I27" s="6" t="str">
        <f t="shared" si="0"/>
        <v>OK</v>
      </c>
      <c r="J27" s="7"/>
    </row>
    <row r="28" spans="1:10">
      <c r="A28" s="5">
        <v>2031</v>
      </c>
      <c r="B28" s="3" t="s">
        <v>47</v>
      </c>
      <c r="C28" t="s">
        <v>60</v>
      </c>
      <c r="D28" s="3" t="s">
        <v>45</v>
      </c>
      <c r="E28" s="3" t="s">
        <v>46</v>
      </c>
      <c r="F28" s="12">
        <v>256.73780000000005</v>
      </c>
      <c r="G28" s="6">
        <v>307</v>
      </c>
      <c r="H28" s="12">
        <f>tbl_base_ni_ri[[#This Row],[ni_total]]+tbl_base_ni_ri[[#This Row],[ri_total]]</f>
        <v>563.73780000000011</v>
      </c>
      <c r="I28" s="6" t="str">
        <f t="shared" si="0"/>
        <v>OK</v>
      </c>
      <c r="J28" s="7"/>
    </row>
    <row r="29" spans="1:10">
      <c r="A29" s="5">
        <v>2032</v>
      </c>
      <c r="B29" s="3" t="s">
        <v>47</v>
      </c>
      <c r="C29" t="s">
        <v>60</v>
      </c>
      <c r="D29" s="3" t="s">
        <v>45</v>
      </c>
      <c r="E29" s="3" t="s">
        <v>46</v>
      </c>
      <c r="F29" s="12">
        <v>264.43993400000005</v>
      </c>
      <c r="G29" s="6">
        <v>312</v>
      </c>
      <c r="H29" s="12">
        <f>tbl_base_ni_ri[[#This Row],[ni_total]]+tbl_base_ni_ri[[#This Row],[ri_total]]</f>
        <v>576.43993399999999</v>
      </c>
      <c r="I29" s="6" t="str">
        <f t="shared" si="0"/>
        <v>OK</v>
      </c>
      <c r="J29" s="7"/>
    </row>
    <row r="30" spans="1:10">
      <c r="A30" s="5">
        <v>2033</v>
      </c>
      <c r="B30" s="3" t="s">
        <v>47</v>
      </c>
      <c r="C30" s="6" t="s">
        <v>60</v>
      </c>
      <c r="D30" s="3" t="s">
        <v>45</v>
      </c>
      <c r="E30" s="3" t="s">
        <v>46</v>
      </c>
      <c r="F30" s="12">
        <v>272.37313202000007</v>
      </c>
      <c r="G30" s="6">
        <v>323</v>
      </c>
      <c r="H30" s="12">
        <f>tbl_base_ni_ri[[#This Row],[ni_total]]+tbl_base_ni_ri[[#This Row],[ri_total]]</f>
        <v>595.37313202000007</v>
      </c>
      <c r="I30" s="6" t="str">
        <f t="shared" si="0"/>
        <v>OK</v>
      </c>
      <c r="J30" s="7"/>
    </row>
    <row r="31" spans="1:10">
      <c r="A31" s="5">
        <v>2034</v>
      </c>
      <c r="B31" s="3" t="s">
        <v>47</v>
      </c>
      <c r="C31" s="6" t="s">
        <v>60</v>
      </c>
      <c r="D31" s="3" t="s">
        <v>45</v>
      </c>
      <c r="E31" s="3" t="s">
        <v>46</v>
      </c>
      <c r="F31" s="12">
        <v>277.8205946604001</v>
      </c>
      <c r="G31" s="6">
        <v>345</v>
      </c>
      <c r="H31" s="12">
        <f>tbl_base_ni_ri[[#This Row],[ni_total]]+tbl_base_ni_ri[[#This Row],[ri_total]]</f>
        <v>622.82059466040005</v>
      </c>
      <c r="I31" s="6" t="str">
        <f t="shared" si="0"/>
        <v>OK</v>
      </c>
      <c r="J31" s="7"/>
    </row>
    <row r="32" spans="1:10">
      <c r="A32" s="5">
        <v>2035</v>
      </c>
      <c r="B32" s="3" t="s">
        <v>47</v>
      </c>
      <c r="C32" s="6" t="s">
        <v>60</v>
      </c>
      <c r="D32" s="3" t="s">
        <v>45</v>
      </c>
      <c r="E32" s="3" t="s">
        <v>46</v>
      </c>
      <c r="F32" s="12">
        <v>283.37700655360811</v>
      </c>
      <c r="G32" s="6">
        <v>376</v>
      </c>
      <c r="H32" s="12">
        <f>tbl_base_ni_ri[[#This Row],[ni_total]]+tbl_base_ni_ri[[#This Row],[ri_total]]</f>
        <v>659.37700655360811</v>
      </c>
      <c r="I32" s="6" t="str">
        <f t="shared" si="0"/>
        <v>OK</v>
      </c>
      <c r="J32" s="7"/>
    </row>
    <row r="33" spans="1:10">
      <c r="A33" s="5">
        <v>2036</v>
      </c>
      <c r="B33" s="3" t="s">
        <v>47</v>
      </c>
      <c r="C33" s="6" t="s">
        <v>60</v>
      </c>
      <c r="D33" s="3" t="s">
        <v>45</v>
      </c>
      <c r="E33" s="3" t="s">
        <v>46</v>
      </c>
      <c r="F33" s="12">
        <v>289.04454668468026</v>
      </c>
      <c r="G33" s="6">
        <v>396</v>
      </c>
      <c r="H33" s="12">
        <f>tbl_base_ni_ri[[#This Row],[ni_total]]+tbl_base_ni_ri[[#This Row],[ri_total]]</f>
        <v>685.0445466846802</v>
      </c>
      <c r="I33" s="6" t="str">
        <f t="shared" si="0"/>
        <v>OK</v>
      </c>
      <c r="J33" s="7"/>
    </row>
    <row r="34" spans="1:10">
      <c r="A34" s="5">
        <v>2037</v>
      </c>
      <c r="B34" s="3" t="s">
        <v>47</v>
      </c>
      <c r="C34" s="6" t="s">
        <v>60</v>
      </c>
      <c r="D34" s="3" t="s">
        <v>45</v>
      </c>
      <c r="E34" s="3" t="s">
        <v>46</v>
      </c>
      <c r="F34" s="12">
        <v>291.64594760484238</v>
      </c>
      <c r="G34" s="6">
        <v>412</v>
      </c>
      <c r="H34" s="12">
        <f>tbl_base_ni_ri[[#This Row],[ni_total]]+tbl_base_ni_ri[[#This Row],[ri_total]]</f>
        <v>703.64594760484238</v>
      </c>
      <c r="I34" s="6" t="str">
        <f t="shared" si="0"/>
        <v>OK</v>
      </c>
      <c r="J34" s="7"/>
    </row>
    <row r="35" spans="1:10">
      <c r="A35" s="5">
        <v>2038</v>
      </c>
      <c r="B35" s="3" t="s">
        <v>47</v>
      </c>
      <c r="C35" s="6" t="s">
        <v>60</v>
      </c>
      <c r="D35" s="3" t="s">
        <v>45</v>
      </c>
      <c r="E35" s="3" t="s">
        <v>46</v>
      </c>
      <c r="F35" s="12">
        <v>294.27076113328593</v>
      </c>
      <c r="G35" s="6">
        <v>443</v>
      </c>
      <c r="H35" s="12">
        <f>tbl_base_ni_ri[[#This Row],[ni_total]]+tbl_base_ni_ri[[#This Row],[ri_total]]</f>
        <v>737.27076113328599</v>
      </c>
      <c r="I35" s="6" t="str">
        <f t="shared" si="0"/>
        <v>OK</v>
      </c>
      <c r="J35" s="7"/>
    </row>
    <row r="36" spans="1:10">
      <c r="A36" s="5">
        <v>2039</v>
      </c>
      <c r="B36" s="3" t="s">
        <v>47</v>
      </c>
      <c r="C36" s="6" t="s">
        <v>60</v>
      </c>
      <c r="D36" s="3" t="s">
        <v>45</v>
      </c>
      <c r="E36" s="3" t="s">
        <v>46</v>
      </c>
      <c r="F36" s="12">
        <v>296.91919798348545</v>
      </c>
      <c r="G36" s="6">
        <v>476</v>
      </c>
      <c r="H36" s="12">
        <f>tbl_base_ni_ri[[#This Row],[ni_total]]+tbl_base_ni_ri[[#This Row],[ri_total]]</f>
        <v>772.91919798348545</v>
      </c>
      <c r="I36" s="6" t="str">
        <f t="shared" si="0"/>
        <v>OK</v>
      </c>
      <c r="J36" s="7"/>
    </row>
    <row r="37" spans="1:10">
      <c r="A37" s="5">
        <v>2040</v>
      </c>
      <c r="B37" s="3" t="s">
        <v>47</v>
      </c>
      <c r="C37" s="6" t="s">
        <v>60</v>
      </c>
      <c r="D37" s="3" t="s">
        <v>45</v>
      </c>
      <c r="E37" s="3" t="s">
        <v>46</v>
      </c>
      <c r="F37" s="12">
        <v>299.59147076533679</v>
      </c>
      <c r="G37" s="6">
        <v>500</v>
      </c>
      <c r="H37" s="12">
        <f>tbl_base_ni_ri[[#This Row],[ni_total]]+tbl_base_ni_ri[[#This Row],[ri_total]]</f>
        <v>799.59147076533679</v>
      </c>
      <c r="I37" s="6" t="str">
        <f t="shared" si="0"/>
        <v>OK</v>
      </c>
      <c r="J37" s="7"/>
    </row>
    <row r="38" spans="1:10">
      <c r="A38" s="5">
        <v>2030</v>
      </c>
      <c r="B38" s="3" t="s">
        <v>47</v>
      </c>
      <c r="C38" s="6" t="s">
        <v>62</v>
      </c>
      <c r="D38" s="3" t="s">
        <v>45</v>
      </c>
      <c r="E38" s="3" t="s">
        <v>46</v>
      </c>
      <c r="F38" s="12">
        <v>342.02299999999997</v>
      </c>
      <c r="G38" s="6">
        <v>605</v>
      </c>
      <c r="H38" s="12">
        <f>tbl_base_ni_ri[[#This Row],[ni_total]]+tbl_base_ni_ri[[#This Row],[ri_total]]</f>
        <v>947.02299999999991</v>
      </c>
      <c r="I38" s="6" t="str">
        <f t="shared" si="0"/>
        <v>OK</v>
      </c>
      <c r="J38" s="7"/>
    </row>
    <row r="39" spans="1:10">
      <c r="A39" s="5">
        <v>2031</v>
      </c>
      <c r="B39" s="3" t="s">
        <v>47</v>
      </c>
      <c r="C39" s="6" t="s">
        <v>62</v>
      </c>
      <c r="D39" s="3" t="s">
        <v>45</v>
      </c>
      <c r="E39" s="3" t="s">
        <v>46</v>
      </c>
      <c r="F39" s="12">
        <v>343.04906899999992</v>
      </c>
      <c r="G39" s="6">
        <v>610</v>
      </c>
      <c r="H39" s="12">
        <f>tbl_base_ni_ri[[#This Row],[ni_total]]+tbl_base_ni_ri[[#This Row],[ri_total]]</f>
        <v>953.04906899999992</v>
      </c>
      <c r="I39" s="6" t="str">
        <f t="shared" si="0"/>
        <v>OK</v>
      </c>
      <c r="J39" s="7"/>
    </row>
    <row r="40" spans="1:10">
      <c r="A40" s="5">
        <v>2032</v>
      </c>
      <c r="B40" s="3" t="s">
        <v>47</v>
      </c>
      <c r="C40" s="6" t="s">
        <v>62</v>
      </c>
      <c r="D40" s="3" t="s">
        <v>45</v>
      </c>
      <c r="E40" s="3" t="s">
        <v>46</v>
      </c>
      <c r="F40" s="12">
        <v>344.07821620699985</v>
      </c>
      <c r="G40" s="6">
        <v>615</v>
      </c>
      <c r="H40" s="12">
        <f>tbl_base_ni_ri[[#This Row],[ni_total]]+tbl_base_ni_ri[[#This Row],[ri_total]]</f>
        <v>959.07821620699985</v>
      </c>
      <c r="I40" s="6" t="str">
        <f t="shared" si="0"/>
        <v>OK</v>
      </c>
      <c r="J40" s="7"/>
    </row>
    <row r="41" spans="1:10">
      <c r="A41" s="5">
        <v>2033</v>
      </c>
      <c r="B41" s="3" t="s">
        <v>47</v>
      </c>
      <c r="C41" s="6" t="s">
        <v>62</v>
      </c>
      <c r="D41" s="3" t="s">
        <v>45</v>
      </c>
      <c r="E41" s="3" t="s">
        <v>46</v>
      </c>
      <c r="F41" s="12">
        <v>345.1104508556208</v>
      </c>
      <c r="G41" s="6">
        <v>616</v>
      </c>
      <c r="H41" s="12">
        <f>tbl_base_ni_ri[[#This Row],[ni_total]]+tbl_base_ni_ri[[#This Row],[ri_total]]</f>
        <v>961.1104508556208</v>
      </c>
      <c r="I41" s="6" t="str">
        <f t="shared" si="0"/>
        <v>OK</v>
      </c>
      <c r="J41" s="7"/>
    </row>
    <row r="42" spans="1:10">
      <c r="A42" s="5">
        <v>2034</v>
      </c>
      <c r="B42" s="3" t="s">
        <v>47</v>
      </c>
      <c r="C42" s="6" t="s">
        <v>62</v>
      </c>
      <c r="D42" s="3" t="s">
        <v>45</v>
      </c>
      <c r="E42" s="3" t="s">
        <v>46</v>
      </c>
      <c r="F42" s="12">
        <v>345.80067175733205</v>
      </c>
      <c r="G42" s="6">
        <v>617</v>
      </c>
      <c r="H42" s="12">
        <f>tbl_base_ni_ri[[#This Row],[ni_total]]+tbl_base_ni_ri[[#This Row],[ri_total]]</f>
        <v>962.80067175733211</v>
      </c>
      <c r="I42" s="6" t="str">
        <f t="shared" si="0"/>
        <v>OK</v>
      </c>
      <c r="J42" s="7"/>
    </row>
    <row r="43" spans="1:10">
      <c r="A43" s="5">
        <v>2035</v>
      </c>
      <c r="B43" s="3" t="s">
        <v>47</v>
      </c>
      <c r="C43" s="6" t="s">
        <v>62</v>
      </c>
      <c r="D43" s="3" t="s">
        <v>45</v>
      </c>
      <c r="E43" s="3" t="s">
        <v>46</v>
      </c>
      <c r="F43" s="12">
        <v>346.49227310084672</v>
      </c>
      <c r="G43" s="6">
        <v>617</v>
      </c>
      <c r="H43" s="12">
        <f>tbl_base_ni_ri[[#This Row],[ni_total]]+tbl_base_ni_ri[[#This Row],[ri_total]]</f>
        <v>963.49227310084666</v>
      </c>
      <c r="I43" s="6" t="str">
        <f t="shared" si="0"/>
        <v>OK</v>
      </c>
      <c r="J43" s="7"/>
    </row>
    <row r="44" spans="1:10">
      <c r="A44" s="5">
        <v>2036</v>
      </c>
      <c r="B44" s="3" t="s">
        <v>47</v>
      </c>
      <c r="C44" s="6" t="s">
        <v>62</v>
      </c>
      <c r="D44" s="3" t="s">
        <v>45</v>
      </c>
      <c r="E44" s="3" t="s">
        <v>46</v>
      </c>
      <c r="F44" s="12">
        <v>347.18525764704839</v>
      </c>
      <c r="G44" s="6">
        <v>618</v>
      </c>
      <c r="H44" s="12">
        <f>tbl_base_ni_ri[[#This Row],[ni_total]]+tbl_base_ni_ri[[#This Row],[ri_total]]</f>
        <v>965.18525764704839</v>
      </c>
      <c r="I44" s="6" t="str">
        <f t="shared" si="0"/>
        <v>OK</v>
      </c>
      <c r="J44" s="7"/>
    </row>
    <row r="45" spans="1:10">
      <c r="A45" s="5">
        <v>2037</v>
      </c>
      <c r="B45" s="3" t="s">
        <v>47</v>
      </c>
      <c r="C45" s="6" t="s">
        <v>62</v>
      </c>
      <c r="D45" s="3" t="s">
        <v>45</v>
      </c>
      <c r="E45" s="3" t="s">
        <v>46</v>
      </c>
      <c r="F45" s="12">
        <v>347.8796281623425</v>
      </c>
      <c r="G45" s="6">
        <v>619</v>
      </c>
      <c r="H45" s="12">
        <f>tbl_base_ni_ri[[#This Row],[ni_total]]+tbl_base_ni_ri[[#This Row],[ri_total]]</f>
        <v>966.87962816234244</v>
      </c>
      <c r="I45" s="6" t="str">
        <f t="shared" si="0"/>
        <v>OK</v>
      </c>
      <c r="J45" s="7"/>
    </row>
    <row r="46" spans="1:10">
      <c r="A46" s="5">
        <v>2038</v>
      </c>
      <c r="B46" s="3" t="s">
        <v>47</v>
      </c>
      <c r="C46" s="6" t="s">
        <v>62</v>
      </c>
      <c r="D46" s="3" t="s">
        <v>45</v>
      </c>
      <c r="E46" s="3" t="s">
        <v>46</v>
      </c>
      <c r="F46" s="12">
        <v>348.57538741866716</v>
      </c>
      <c r="G46" s="6">
        <v>619</v>
      </c>
      <c r="H46" s="12">
        <f>tbl_base_ni_ri[[#This Row],[ni_total]]+tbl_base_ni_ri[[#This Row],[ri_total]]</f>
        <v>967.57538741866711</v>
      </c>
      <c r="I46" s="6" t="str">
        <f t="shared" si="0"/>
        <v>OK</v>
      </c>
      <c r="J46" s="7"/>
    </row>
    <row r="47" spans="1:10">
      <c r="A47" s="5">
        <v>2039</v>
      </c>
      <c r="B47" s="3" t="s">
        <v>47</v>
      </c>
      <c r="C47" s="6" t="s">
        <v>62</v>
      </c>
      <c r="D47" s="3" t="s">
        <v>45</v>
      </c>
      <c r="E47" s="3" t="s">
        <v>46</v>
      </c>
      <c r="F47" s="12">
        <v>349.27253819350449</v>
      </c>
      <c r="G47" s="6">
        <v>620</v>
      </c>
      <c r="H47" s="12">
        <f>tbl_base_ni_ri[[#This Row],[ni_total]]+tbl_base_ni_ri[[#This Row],[ri_total]]</f>
        <v>969.27253819350449</v>
      </c>
      <c r="I47" s="6" t="str">
        <f t="shared" si="0"/>
        <v>OK</v>
      </c>
      <c r="J47" s="7"/>
    </row>
    <row r="48" spans="1:10">
      <c r="A48" s="5">
        <v>2040</v>
      </c>
      <c r="B48" s="3" t="s">
        <v>47</v>
      </c>
      <c r="C48" s="6" t="s">
        <v>62</v>
      </c>
      <c r="D48" s="3" t="s">
        <v>45</v>
      </c>
      <c r="E48" s="3" t="s">
        <v>46</v>
      </c>
      <c r="F48" s="12">
        <v>349.97108326989149</v>
      </c>
      <c r="G48" s="6">
        <v>650</v>
      </c>
      <c r="H48" s="12">
        <f>tbl_base_ni_ri[[#This Row],[ni_total]]+tbl_base_ni_ri[[#This Row],[ri_total]]</f>
        <v>999.97108326989155</v>
      </c>
      <c r="I48" s="6" t="str">
        <f t="shared" si="0"/>
        <v>OK</v>
      </c>
      <c r="J48" s="7"/>
    </row>
    <row r="49" spans="1:10">
      <c r="A49" s="5">
        <v>2030</v>
      </c>
      <c r="B49" s="3" t="s">
        <v>47</v>
      </c>
      <c r="C49" s="6" t="s">
        <v>64</v>
      </c>
      <c r="D49" s="3" t="s">
        <v>45</v>
      </c>
      <c r="E49" s="3" t="s">
        <v>46</v>
      </c>
      <c r="F49" s="12">
        <v>598.43000000000006</v>
      </c>
      <c r="G49" s="6">
        <v>1005</v>
      </c>
      <c r="H49" s="12">
        <f>tbl_base_ni_ri[[#This Row],[ni_total]]+tbl_base_ni_ri[[#This Row],[ri_total]]</f>
        <v>1603.43</v>
      </c>
      <c r="I49" s="6" t="str">
        <f t="shared" si="0"/>
        <v>OK</v>
      </c>
      <c r="J49" s="7"/>
    </row>
    <row r="50" spans="1:10">
      <c r="A50" s="5">
        <v>2031</v>
      </c>
      <c r="B50" s="3" t="s">
        <v>47</v>
      </c>
      <c r="C50" s="6" t="s">
        <v>64</v>
      </c>
      <c r="D50" s="3" t="s">
        <v>45</v>
      </c>
      <c r="E50" s="3" t="s">
        <v>46</v>
      </c>
      <c r="F50" s="12">
        <v>616.38290000000006</v>
      </c>
      <c r="G50" s="6">
        <v>999</v>
      </c>
      <c r="H50" s="12">
        <f>tbl_base_ni_ri[[#This Row],[ni_total]]+tbl_base_ni_ri[[#This Row],[ri_total]]</f>
        <v>1615.3829000000001</v>
      </c>
      <c r="I50" s="6" t="str">
        <f t="shared" si="0"/>
        <v>OK</v>
      </c>
      <c r="J50" s="7"/>
    </row>
    <row r="51" spans="1:10">
      <c r="A51" s="5">
        <v>2032</v>
      </c>
      <c r="B51" s="3" t="s">
        <v>47</v>
      </c>
      <c r="C51" s="6" t="s">
        <v>64</v>
      </c>
      <c r="D51" s="3" t="s">
        <v>45</v>
      </c>
      <c r="E51" s="3" t="s">
        <v>46</v>
      </c>
      <c r="F51" s="12">
        <v>634.87438700000007</v>
      </c>
      <c r="G51" s="6">
        <v>1005</v>
      </c>
      <c r="H51" s="12">
        <f>tbl_base_ni_ri[[#This Row],[ni_total]]+tbl_base_ni_ri[[#This Row],[ri_total]]</f>
        <v>1639.8743870000001</v>
      </c>
      <c r="I51" s="6" t="str">
        <f t="shared" si="0"/>
        <v>OK</v>
      </c>
      <c r="J51" s="7"/>
    </row>
    <row r="52" spans="1:10">
      <c r="A52" s="5">
        <v>2033</v>
      </c>
      <c r="B52" s="3" t="s">
        <v>47</v>
      </c>
      <c r="C52" s="6" t="s">
        <v>64</v>
      </c>
      <c r="D52" s="3" t="s">
        <v>45</v>
      </c>
      <c r="E52" s="3" t="s">
        <v>46</v>
      </c>
      <c r="F52" s="12">
        <v>653.92061861000013</v>
      </c>
      <c r="G52" s="6">
        <v>1021</v>
      </c>
      <c r="H52" s="12">
        <f>tbl_base_ni_ri[[#This Row],[ni_total]]+tbl_base_ni_ri[[#This Row],[ri_total]]</f>
        <v>1674.92061861</v>
      </c>
      <c r="I52" s="6" t="str">
        <f t="shared" si="0"/>
        <v>OK</v>
      </c>
      <c r="J52" s="7"/>
    </row>
    <row r="53" spans="1:10">
      <c r="A53" s="5">
        <v>2034</v>
      </c>
      <c r="B53" s="3" t="s">
        <v>47</v>
      </c>
      <c r="C53" s="6" t="s">
        <v>64</v>
      </c>
      <c r="D53" s="3" t="s">
        <v>45</v>
      </c>
      <c r="E53" s="3" t="s">
        <v>46</v>
      </c>
      <c r="F53" s="12">
        <v>666.99903098220011</v>
      </c>
      <c r="G53" s="6">
        <v>1038</v>
      </c>
      <c r="H53" s="12">
        <f>tbl_base_ni_ri[[#This Row],[ni_total]]+tbl_base_ni_ri[[#This Row],[ri_total]]</f>
        <v>1704.9990309822001</v>
      </c>
      <c r="I53" s="6" t="str">
        <f t="shared" si="0"/>
        <v>OK</v>
      </c>
      <c r="J53" s="7"/>
    </row>
    <row r="54" spans="1:10">
      <c r="A54" s="5">
        <v>2035</v>
      </c>
      <c r="B54" s="3" t="s">
        <v>47</v>
      </c>
      <c r="C54" s="6" t="s">
        <v>64</v>
      </c>
      <c r="D54" s="3" t="s">
        <v>45</v>
      </c>
      <c r="E54" s="3" t="s">
        <v>46</v>
      </c>
      <c r="F54" s="12">
        <v>680.33901160184416</v>
      </c>
      <c r="G54" s="6">
        <v>1055</v>
      </c>
      <c r="H54" s="12">
        <f>tbl_base_ni_ri[[#This Row],[ni_total]]+tbl_base_ni_ri[[#This Row],[ri_total]]</f>
        <v>1735.339011601844</v>
      </c>
      <c r="I54" s="6" t="str">
        <f t="shared" si="0"/>
        <v>OK</v>
      </c>
      <c r="J54" s="7"/>
    </row>
    <row r="55" spans="1:10">
      <c r="A55" s="5">
        <v>2036</v>
      </c>
      <c r="B55" s="3" t="s">
        <v>47</v>
      </c>
      <c r="C55" s="6" t="s">
        <v>64</v>
      </c>
      <c r="D55" s="3" t="s">
        <v>45</v>
      </c>
      <c r="E55" s="3" t="s">
        <v>46</v>
      </c>
      <c r="F55" s="12">
        <v>693.945791833881</v>
      </c>
      <c r="G55" s="6">
        <v>1072</v>
      </c>
      <c r="H55" s="12">
        <f>tbl_base_ni_ri[[#This Row],[ni_total]]+tbl_base_ni_ri[[#This Row],[ri_total]]</f>
        <v>1765.945791833881</v>
      </c>
      <c r="I55" s="6" t="str">
        <f t="shared" si="0"/>
        <v>OK</v>
      </c>
      <c r="J55" s="7"/>
    </row>
    <row r="56" spans="1:10">
      <c r="A56" s="5">
        <v>2037</v>
      </c>
      <c r="B56" s="3" t="s">
        <v>47</v>
      </c>
      <c r="C56" s="6" t="s">
        <v>64</v>
      </c>
      <c r="D56" s="3" t="s">
        <v>45</v>
      </c>
      <c r="E56" s="3" t="s">
        <v>46</v>
      </c>
      <c r="F56" s="12">
        <v>700.88524975221981</v>
      </c>
      <c r="G56" s="6">
        <v>1089</v>
      </c>
      <c r="H56" s="12">
        <f>tbl_base_ni_ri[[#This Row],[ni_total]]+tbl_base_ni_ri[[#This Row],[ri_total]]</f>
        <v>1789.8852497522198</v>
      </c>
      <c r="I56" s="6" t="str">
        <f t="shared" si="0"/>
        <v>OK</v>
      </c>
      <c r="J56" s="7"/>
    </row>
    <row r="57" spans="1:10">
      <c r="A57" s="5">
        <v>2038</v>
      </c>
      <c r="B57" s="3" t="s">
        <v>47</v>
      </c>
      <c r="C57" s="6" t="s">
        <v>64</v>
      </c>
      <c r="D57" s="3" t="s">
        <v>45</v>
      </c>
      <c r="E57" s="3" t="s">
        <v>46</v>
      </c>
      <c r="F57" s="12">
        <v>707.89410224974199</v>
      </c>
      <c r="G57" s="6">
        <v>1106</v>
      </c>
      <c r="H57" s="12">
        <f>tbl_base_ni_ri[[#This Row],[ni_total]]+tbl_base_ni_ri[[#This Row],[ri_total]]</f>
        <v>1813.894102249742</v>
      </c>
      <c r="I57" s="6" t="str">
        <f t="shared" si="0"/>
        <v>OK</v>
      </c>
      <c r="J57" s="7"/>
    </row>
    <row r="58" spans="1:10">
      <c r="A58" s="5">
        <v>2039</v>
      </c>
      <c r="B58" s="3" t="s">
        <v>47</v>
      </c>
      <c r="C58" s="6" t="s">
        <v>64</v>
      </c>
      <c r="D58" s="3" t="s">
        <v>45</v>
      </c>
      <c r="E58" s="3" t="s">
        <v>46</v>
      </c>
      <c r="F58" s="12">
        <v>714.97304327223947</v>
      </c>
      <c r="G58" s="6">
        <v>1120</v>
      </c>
      <c r="H58" s="12">
        <f>tbl_base_ni_ri[[#This Row],[ni_total]]+tbl_base_ni_ri[[#This Row],[ri_total]]</f>
        <v>1834.9730432722395</v>
      </c>
      <c r="I58" s="6" t="str">
        <f t="shared" si="0"/>
        <v>OK</v>
      </c>
      <c r="J58" s="7"/>
    </row>
    <row r="59" spans="1:10">
      <c r="A59" s="5">
        <v>2040</v>
      </c>
      <c r="B59" s="3" t="s">
        <v>47</v>
      </c>
      <c r="C59" s="6" t="s">
        <v>64</v>
      </c>
      <c r="D59" s="3" t="s">
        <v>45</v>
      </c>
      <c r="E59" s="3" t="s">
        <v>46</v>
      </c>
      <c r="F59" s="12">
        <v>722.1227737049619</v>
      </c>
      <c r="G59" s="6">
        <v>1135</v>
      </c>
      <c r="H59" s="12">
        <f>tbl_base_ni_ri[[#This Row],[ni_total]]+tbl_base_ni_ri[[#This Row],[ri_total]]</f>
        <v>1857.1227737049619</v>
      </c>
      <c r="I59" s="6" t="str">
        <f t="shared" si="0"/>
        <v>OK</v>
      </c>
      <c r="J59" s="7"/>
    </row>
    <row r="60" spans="1:10">
      <c r="A60" s="5">
        <v>2030</v>
      </c>
      <c r="B60" s="3" t="s">
        <v>47</v>
      </c>
      <c r="C60" s="6" t="s">
        <v>66</v>
      </c>
      <c r="D60" s="3" t="s">
        <v>45</v>
      </c>
      <c r="E60" s="3" t="s">
        <v>46</v>
      </c>
      <c r="F60" s="12">
        <v>288.86</v>
      </c>
      <c r="G60" s="6">
        <v>505</v>
      </c>
      <c r="H60" s="12">
        <f>tbl_base_ni_ri[[#This Row],[ni_total]]+tbl_base_ni_ri[[#This Row],[ri_total]]</f>
        <v>793.86</v>
      </c>
      <c r="I60" s="6" t="str">
        <f t="shared" si="0"/>
        <v>OK</v>
      </c>
      <c r="J60" s="7"/>
    </row>
    <row r="61" spans="1:10">
      <c r="A61" s="5">
        <v>2031</v>
      </c>
      <c r="B61" s="3" t="s">
        <v>47</v>
      </c>
      <c r="C61" s="6" t="s">
        <v>66</v>
      </c>
      <c r="D61" s="3" t="s">
        <v>45</v>
      </c>
      <c r="E61" s="3" t="s">
        <v>46</v>
      </c>
      <c r="F61" s="12">
        <v>291.74860000000001</v>
      </c>
      <c r="G61" s="6">
        <v>510</v>
      </c>
      <c r="H61" s="12">
        <f>tbl_base_ni_ri[[#This Row],[ni_total]]+tbl_base_ni_ri[[#This Row],[ri_total]]</f>
        <v>801.74860000000001</v>
      </c>
      <c r="I61" s="6" t="str">
        <f t="shared" si="0"/>
        <v>OK</v>
      </c>
      <c r="J61" s="7"/>
    </row>
    <row r="62" spans="1:10">
      <c r="A62" s="5">
        <v>2032</v>
      </c>
      <c r="B62" s="3" t="s">
        <v>47</v>
      </c>
      <c r="C62" s="6" t="s">
        <v>66</v>
      </c>
      <c r="D62" s="3" t="s">
        <v>45</v>
      </c>
      <c r="E62" s="3" t="s">
        <v>46</v>
      </c>
      <c r="F62" s="12">
        <v>294.66608600000001</v>
      </c>
      <c r="G62" s="6">
        <v>514</v>
      </c>
      <c r="H62" s="12">
        <f>tbl_base_ni_ri[[#This Row],[ni_total]]+tbl_base_ni_ri[[#This Row],[ri_total]]</f>
        <v>808.66608599999995</v>
      </c>
      <c r="I62" s="6" t="str">
        <f t="shared" si="0"/>
        <v>OK</v>
      </c>
      <c r="J62" s="7"/>
    </row>
    <row r="63" spans="1:10">
      <c r="A63" s="5">
        <v>2033</v>
      </c>
      <c r="B63" s="3" t="s">
        <v>47</v>
      </c>
      <c r="C63" s="6" t="s">
        <v>66</v>
      </c>
      <c r="D63" s="3" t="s">
        <v>45</v>
      </c>
      <c r="E63" s="3" t="s">
        <v>46</v>
      </c>
      <c r="F63" s="12">
        <v>297.61274686000002</v>
      </c>
      <c r="G63" s="6">
        <v>518</v>
      </c>
      <c r="H63" s="12">
        <f>tbl_base_ni_ri[[#This Row],[ni_total]]+tbl_base_ni_ri[[#This Row],[ri_total]]</f>
        <v>815.61274686000002</v>
      </c>
      <c r="I63" s="6" t="str">
        <f t="shared" si="0"/>
        <v>OK</v>
      </c>
      <c r="J63" s="7"/>
    </row>
    <row r="64" spans="1:10">
      <c r="A64" s="5">
        <v>2034</v>
      </c>
      <c r="B64" s="3" t="s">
        <v>47</v>
      </c>
      <c r="C64" s="6" t="s">
        <v>66</v>
      </c>
      <c r="D64" s="3" t="s">
        <v>45</v>
      </c>
      <c r="E64" s="3" t="s">
        <v>46</v>
      </c>
      <c r="F64" s="12">
        <v>300.58887432860001</v>
      </c>
      <c r="G64" s="6">
        <v>522</v>
      </c>
      <c r="H64" s="12">
        <f>tbl_base_ni_ri[[#This Row],[ni_total]]+tbl_base_ni_ri[[#This Row],[ri_total]]</f>
        <v>822.58887432860001</v>
      </c>
      <c r="I64" s="6" t="str">
        <f t="shared" si="0"/>
        <v>OK</v>
      </c>
      <c r="J64" s="7"/>
    </row>
    <row r="65" spans="1:10">
      <c r="A65" s="5">
        <v>2035</v>
      </c>
      <c r="B65" s="3" t="s">
        <v>47</v>
      </c>
      <c r="C65" s="6" t="s">
        <v>66</v>
      </c>
      <c r="D65" s="3" t="s">
        <v>45</v>
      </c>
      <c r="E65" s="3" t="s">
        <v>46</v>
      </c>
      <c r="F65" s="12">
        <v>303.59476307188601</v>
      </c>
      <c r="G65" s="6">
        <v>526</v>
      </c>
      <c r="H65" s="12">
        <f>tbl_base_ni_ri[[#This Row],[ni_total]]+tbl_base_ni_ri[[#This Row],[ri_total]]</f>
        <v>829.59476307188606</v>
      </c>
      <c r="I65" s="6" t="str">
        <f t="shared" si="0"/>
        <v>OK</v>
      </c>
      <c r="J65" s="7"/>
    </row>
    <row r="66" spans="1:10">
      <c r="A66" s="5">
        <v>2036</v>
      </c>
      <c r="B66" s="3" t="s">
        <v>47</v>
      </c>
      <c r="C66" s="6" t="s">
        <v>66</v>
      </c>
      <c r="D66" s="3" t="s">
        <v>45</v>
      </c>
      <c r="E66" s="3" t="s">
        <v>46</v>
      </c>
      <c r="F66" s="12">
        <v>306.63071070260486</v>
      </c>
      <c r="G66" s="6">
        <v>531</v>
      </c>
      <c r="H66" s="12">
        <f>tbl_base_ni_ri[[#This Row],[ni_total]]+tbl_base_ni_ri[[#This Row],[ri_total]]</f>
        <v>837.6307107026048</v>
      </c>
      <c r="I66" s="6" t="str">
        <f t="shared" si="0"/>
        <v>OK</v>
      </c>
      <c r="J66" s="7"/>
    </row>
    <row r="67" spans="1:10">
      <c r="A67" s="5">
        <v>2037</v>
      </c>
      <c r="B67" s="3" t="s">
        <v>47</v>
      </c>
      <c r="C67" s="6" t="s">
        <v>66</v>
      </c>
      <c r="D67" s="3" t="s">
        <v>45</v>
      </c>
      <c r="E67" s="3" t="s">
        <v>46</v>
      </c>
      <c r="F67" s="12">
        <v>309.69701780963089</v>
      </c>
      <c r="G67" s="6">
        <v>535</v>
      </c>
      <c r="H67" s="12">
        <f>tbl_base_ni_ri[[#This Row],[ni_total]]+tbl_base_ni_ri[[#This Row],[ri_total]]</f>
        <v>844.69701780963089</v>
      </c>
      <c r="I67" s="6" t="str">
        <f t="shared" si="0"/>
        <v>OK</v>
      </c>
      <c r="J67" s="7"/>
    </row>
    <row r="68" spans="1:10">
      <c r="A68" s="5">
        <v>2038</v>
      </c>
      <c r="B68" s="3" t="s">
        <v>47</v>
      </c>
      <c r="C68" s="6" t="s">
        <v>66</v>
      </c>
      <c r="D68" s="3" t="s">
        <v>45</v>
      </c>
      <c r="E68" s="3" t="s">
        <v>46</v>
      </c>
      <c r="F68" s="12">
        <v>312.79398798772718</v>
      </c>
      <c r="G68" s="6">
        <v>541</v>
      </c>
      <c r="H68" s="12">
        <f>tbl_base_ni_ri[[#This Row],[ni_total]]+tbl_base_ni_ri[[#This Row],[ri_total]]</f>
        <v>853.79398798772718</v>
      </c>
      <c r="I68" s="6" t="str">
        <f t="shared" si="0"/>
        <v>OK</v>
      </c>
      <c r="J68" s="7"/>
    </row>
    <row r="69" spans="1:10">
      <c r="A69" s="5">
        <v>2039</v>
      </c>
      <c r="B69" s="3" t="s">
        <v>47</v>
      </c>
      <c r="C69" s="6" t="s">
        <v>66</v>
      </c>
      <c r="D69" s="3" t="s">
        <v>45</v>
      </c>
      <c r="E69" s="3" t="s">
        <v>46</v>
      </c>
      <c r="F69" s="12">
        <v>315.92192786760444</v>
      </c>
      <c r="G69" s="6">
        <v>546</v>
      </c>
      <c r="H69" s="12">
        <f>tbl_base_ni_ri[[#This Row],[ni_total]]+tbl_base_ni_ri[[#This Row],[ri_total]]</f>
        <v>861.92192786760438</v>
      </c>
      <c r="I69" s="6" t="str">
        <f t="shared" ref="I69:I132" si="1">IF(OR(F69="",G69="",H69=""),"",IF(ABS(H69-F69-G69)&lt;0.01,"OK","Revisar MT"))</f>
        <v>OK</v>
      </c>
      <c r="J69" s="7"/>
    </row>
    <row r="70" spans="1:10">
      <c r="A70" s="5">
        <v>2040</v>
      </c>
      <c r="B70" s="3" t="s">
        <v>47</v>
      </c>
      <c r="C70" s="6" t="s">
        <v>66</v>
      </c>
      <c r="D70" s="3" t="s">
        <v>45</v>
      </c>
      <c r="E70" s="3" t="s">
        <v>46</v>
      </c>
      <c r="F70" s="12">
        <v>319.0811471462805</v>
      </c>
      <c r="G70" s="6">
        <v>551</v>
      </c>
      <c r="H70" s="12">
        <f>tbl_base_ni_ri[[#This Row],[ni_total]]+tbl_base_ni_ri[[#This Row],[ri_total]]</f>
        <v>870.0811471462805</v>
      </c>
      <c r="I70" s="6" t="str">
        <f t="shared" si="1"/>
        <v>OK</v>
      </c>
      <c r="J70" s="7"/>
    </row>
    <row r="71" spans="1:10">
      <c r="A71" s="5">
        <v>2030</v>
      </c>
      <c r="B71" s="3" t="s">
        <v>47</v>
      </c>
      <c r="C71" s="6" t="s">
        <v>68</v>
      </c>
      <c r="D71" s="3" t="s">
        <v>45</v>
      </c>
      <c r="E71" s="3" t="s">
        <v>46</v>
      </c>
      <c r="F71" s="12">
        <v>417.18</v>
      </c>
      <c r="G71" s="6">
        <v>687</v>
      </c>
      <c r="H71" s="12">
        <f>tbl_base_ni_ri[[#This Row],[ni_total]]+tbl_base_ni_ri[[#This Row],[ri_total]]</f>
        <v>1104.18</v>
      </c>
      <c r="I71" s="6" t="str">
        <f t="shared" si="1"/>
        <v>OK</v>
      </c>
      <c r="J71" s="7"/>
    </row>
    <row r="72" spans="1:10">
      <c r="A72" s="5">
        <v>2031</v>
      </c>
      <c r="B72" s="3" t="s">
        <v>47</v>
      </c>
      <c r="C72" s="6" t="s">
        <v>68</v>
      </c>
      <c r="D72" s="3" t="s">
        <v>45</v>
      </c>
      <c r="E72" s="3" t="s">
        <v>46</v>
      </c>
      <c r="F72" s="12">
        <v>425.52359999999999</v>
      </c>
      <c r="G72" s="6">
        <v>697</v>
      </c>
      <c r="H72" s="12">
        <f>tbl_base_ni_ri[[#This Row],[ni_total]]+tbl_base_ni_ri[[#This Row],[ri_total]]</f>
        <v>1122.5236</v>
      </c>
      <c r="I72" s="6" t="str">
        <f t="shared" si="1"/>
        <v>OK</v>
      </c>
      <c r="J72" s="7"/>
    </row>
    <row r="73" spans="1:10">
      <c r="A73" s="5">
        <v>2032</v>
      </c>
      <c r="B73" s="3" t="s">
        <v>47</v>
      </c>
      <c r="C73" s="6" t="s">
        <v>68</v>
      </c>
      <c r="D73" s="3" t="s">
        <v>45</v>
      </c>
      <c r="E73" s="3" t="s">
        <v>46</v>
      </c>
      <c r="F73" s="12">
        <v>434.03407199999998</v>
      </c>
      <c r="G73" s="6">
        <v>707</v>
      </c>
      <c r="H73" s="12">
        <f>tbl_base_ni_ri[[#This Row],[ni_total]]+tbl_base_ni_ri[[#This Row],[ri_total]]</f>
        <v>1141.0340719999999</v>
      </c>
      <c r="I73" s="6" t="str">
        <f t="shared" si="1"/>
        <v>OK</v>
      </c>
      <c r="J73" s="7"/>
    </row>
    <row r="74" spans="1:10">
      <c r="A74" s="5">
        <v>2033</v>
      </c>
      <c r="B74" s="3" t="s">
        <v>47</v>
      </c>
      <c r="C74" s="6" t="s">
        <v>68</v>
      </c>
      <c r="D74" s="3" t="s">
        <v>45</v>
      </c>
      <c r="E74" s="3" t="s">
        <v>46</v>
      </c>
      <c r="F74" s="12">
        <v>435.77020828799999</v>
      </c>
      <c r="G74" s="6">
        <v>718</v>
      </c>
      <c r="H74" s="12">
        <f>tbl_base_ni_ri[[#This Row],[ni_total]]+tbl_base_ni_ri[[#This Row],[ri_total]]</f>
        <v>1153.770208288</v>
      </c>
      <c r="I74" s="6" t="str">
        <f t="shared" si="1"/>
        <v>OK</v>
      </c>
      <c r="J74" s="7"/>
    </row>
    <row r="75" spans="1:10">
      <c r="A75" s="5">
        <v>2034</v>
      </c>
      <c r="B75" s="3" t="s">
        <v>47</v>
      </c>
      <c r="C75" s="6" t="s">
        <v>68</v>
      </c>
      <c r="D75" s="3" t="s">
        <v>45</v>
      </c>
      <c r="E75" s="3" t="s">
        <v>46</v>
      </c>
      <c r="F75" s="12">
        <v>444.48561245375998</v>
      </c>
      <c r="G75" s="6">
        <v>731</v>
      </c>
      <c r="H75" s="12">
        <f>tbl_base_ni_ri[[#This Row],[ni_total]]+tbl_base_ni_ri[[#This Row],[ri_total]]</f>
        <v>1175.48561245376</v>
      </c>
      <c r="I75" s="6" t="str">
        <f t="shared" si="1"/>
        <v>OK</v>
      </c>
      <c r="J75" s="7"/>
    </row>
    <row r="76" spans="1:10">
      <c r="A76" s="5">
        <v>2035</v>
      </c>
      <c r="B76" s="3" t="s">
        <v>47</v>
      </c>
      <c r="C76" s="6" t="s">
        <v>68</v>
      </c>
      <c r="D76" s="3" t="s">
        <v>45</v>
      </c>
      <c r="E76" s="3" t="s">
        <v>46</v>
      </c>
      <c r="F76" s="12">
        <v>453.3753247028352</v>
      </c>
      <c r="G76" s="6">
        <v>746</v>
      </c>
      <c r="H76" s="12">
        <f>tbl_base_ni_ri[[#This Row],[ni_total]]+tbl_base_ni_ri[[#This Row],[ri_total]]</f>
        <v>1199.3753247028353</v>
      </c>
      <c r="I76" s="6" t="str">
        <f t="shared" si="1"/>
        <v>OK</v>
      </c>
      <c r="J76" s="7"/>
    </row>
    <row r="77" spans="1:10">
      <c r="A77" s="5">
        <v>2036</v>
      </c>
      <c r="B77" s="3" t="s">
        <v>47</v>
      </c>
      <c r="C77" s="6" t="s">
        <v>68</v>
      </c>
      <c r="D77" s="3" t="s">
        <v>45</v>
      </c>
      <c r="E77" s="3" t="s">
        <v>46</v>
      </c>
      <c r="F77" s="12">
        <v>462.44283119689192</v>
      </c>
      <c r="G77" s="6">
        <v>758</v>
      </c>
      <c r="H77" s="12">
        <f>tbl_base_ni_ri[[#This Row],[ni_total]]+tbl_base_ni_ri[[#This Row],[ri_total]]</f>
        <v>1220.4428311968918</v>
      </c>
      <c r="I77" s="6" t="str">
        <f t="shared" si="1"/>
        <v>OK</v>
      </c>
      <c r="J77" s="7"/>
    </row>
    <row r="78" spans="1:10">
      <c r="A78" s="5">
        <v>2037</v>
      </c>
      <c r="B78" s="3" t="s">
        <v>47</v>
      </c>
      <c r="C78" s="6" t="s">
        <v>68</v>
      </c>
      <c r="D78" s="3" t="s">
        <v>45</v>
      </c>
      <c r="E78" s="3" t="s">
        <v>46</v>
      </c>
      <c r="F78" s="12">
        <v>469.14825224924681</v>
      </c>
      <c r="G78" s="6">
        <v>765</v>
      </c>
      <c r="H78" s="12">
        <f>tbl_base_ni_ri[[#This Row],[ni_total]]+tbl_base_ni_ri[[#This Row],[ri_total]]</f>
        <v>1234.1482522492468</v>
      </c>
      <c r="I78" s="6" t="str">
        <f t="shared" si="1"/>
        <v>OK</v>
      </c>
      <c r="J78" s="7"/>
    </row>
    <row r="79" spans="1:10">
      <c r="A79" s="5">
        <v>2038</v>
      </c>
      <c r="B79" s="3" t="s">
        <v>47</v>
      </c>
      <c r="C79" s="6" t="s">
        <v>68</v>
      </c>
      <c r="D79" s="3" t="s">
        <v>45</v>
      </c>
      <c r="E79" s="3" t="s">
        <v>46</v>
      </c>
      <c r="F79" s="12">
        <v>475.95090190686085</v>
      </c>
      <c r="G79" s="6">
        <v>778</v>
      </c>
      <c r="H79" s="12">
        <f>tbl_base_ni_ri[[#This Row],[ni_total]]+tbl_base_ni_ri[[#This Row],[ri_total]]</f>
        <v>1253.950901906861</v>
      </c>
      <c r="I79" s="6" t="str">
        <f t="shared" si="1"/>
        <v>OK</v>
      </c>
      <c r="J79" s="7"/>
    </row>
    <row r="80" spans="1:10">
      <c r="A80" s="5">
        <v>2039</v>
      </c>
      <c r="B80" s="3" t="s">
        <v>47</v>
      </c>
      <c r="C80" s="6" t="s">
        <v>68</v>
      </c>
      <c r="D80" s="3" t="s">
        <v>45</v>
      </c>
      <c r="E80" s="3" t="s">
        <v>46</v>
      </c>
      <c r="F80" s="12">
        <v>482.85218998451029</v>
      </c>
      <c r="G80" s="6">
        <v>789</v>
      </c>
      <c r="H80" s="12">
        <f>tbl_base_ni_ri[[#This Row],[ni_total]]+tbl_base_ni_ri[[#This Row],[ri_total]]</f>
        <v>1271.8521899845102</v>
      </c>
      <c r="I80" s="6" t="str">
        <f t="shared" si="1"/>
        <v>OK</v>
      </c>
      <c r="J80" s="7"/>
    </row>
    <row r="81" spans="1:10">
      <c r="A81" s="5">
        <v>2040</v>
      </c>
      <c r="B81" s="3" t="s">
        <v>47</v>
      </c>
      <c r="C81" s="6" t="s">
        <v>68</v>
      </c>
      <c r="D81" s="3" t="s">
        <v>45</v>
      </c>
      <c r="E81" s="3" t="s">
        <v>46</v>
      </c>
      <c r="F81" s="12">
        <v>489.85354673928566</v>
      </c>
      <c r="G81" s="6">
        <v>801</v>
      </c>
      <c r="H81" s="12">
        <f>tbl_base_ni_ri[[#This Row],[ni_total]]+tbl_base_ni_ri[[#This Row],[ri_total]]</f>
        <v>1290.8535467392858</v>
      </c>
      <c r="I81" s="6" t="str">
        <f t="shared" si="1"/>
        <v>OK</v>
      </c>
      <c r="J81" s="7"/>
    </row>
    <row r="82" spans="1:10">
      <c r="A82" s="5">
        <v>2030</v>
      </c>
      <c r="B82" s="3" t="s">
        <v>47</v>
      </c>
      <c r="C82" s="6" t="s">
        <v>69</v>
      </c>
      <c r="D82" s="3" t="s">
        <v>45</v>
      </c>
      <c r="E82" s="3" t="s">
        <v>46</v>
      </c>
      <c r="F82" s="12">
        <v>525.09199999999998</v>
      </c>
      <c r="G82" s="6">
        <v>805</v>
      </c>
      <c r="H82" s="12">
        <f>tbl_base_ni_ri[[#This Row],[ni_total]]+tbl_base_ni_ri[[#This Row],[ri_total]]</f>
        <v>1330.0920000000001</v>
      </c>
      <c r="I82" s="6" t="str">
        <f t="shared" si="1"/>
        <v>OK</v>
      </c>
      <c r="J82" s="7"/>
    </row>
    <row r="83" spans="1:10">
      <c r="A83" s="5">
        <v>2031</v>
      </c>
      <c r="B83" s="3" t="s">
        <v>47</v>
      </c>
      <c r="C83" s="6" t="s">
        <v>69</v>
      </c>
      <c r="D83" s="3" t="s">
        <v>45</v>
      </c>
      <c r="E83" s="3" t="s">
        <v>46</v>
      </c>
      <c r="F83" s="12">
        <v>527.19236799999999</v>
      </c>
      <c r="G83" s="6">
        <v>815</v>
      </c>
      <c r="H83" s="12">
        <f>tbl_base_ni_ri[[#This Row],[ni_total]]+tbl_base_ni_ri[[#This Row],[ri_total]]</f>
        <v>1342.192368</v>
      </c>
      <c r="I83" s="6" t="str">
        <f t="shared" si="1"/>
        <v>OK</v>
      </c>
      <c r="J83" s="7"/>
    </row>
    <row r="84" spans="1:10">
      <c r="A84" s="5">
        <v>2032</v>
      </c>
      <c r="B84" s="3" t="s">
        <v>47</v>
      </c>
      <c r="C84" s="6" t="s">
        <v>69</v>
      </c>
      <c r="D84" s="3" t="s">
        <v>45</v>
      </c>
      <c r="E84" s="3" t="s">
        <v>46</v>
      </c>
      <c r="F84" s="12">
        <v>529.30113747199994</v>
      </c>
      <c r="G84" s="6">
        <v>834</v>
      </c>
      <c r="H84" s="12">
        <f>tbl_base_ni_ri[[#This Row],[ni_total]]+tbl_base_ni_ri[[#This Row],[ri_total]]</f>
        <v>1363.3011374719999</v>
      </c>
      <c r="I84" s="6" t="str">
        <f t="shared" si="1"/>
        <v>OK</v>
      </c>
      <c r="J84" s="7"/>
    </row>
    <row r="85" spans="1:10">
      <c r="A85" s="5">
        <v>2033</v>
      </c>
      <c r="B85" s="3" t="s">
        <v>47</v>
      </c>
      <c r="C85" s="6" t="s">
        <v>69</v>
      </c>
      <c r="D85" s="3" t="s">
        <v>45</v>
      </c>
      <c r="E85" s="3" t="s">
        <v>46</v>
      </c>
      <c r="F85" s="12">
        <v>531.41834202188795</v>
      </c>
      <c r="G85" s="6">
        <v>849</v>
      </c>
      <c r="H85" s="12">
        <f>tbl_base_ni_ri[[#This Row],[ni_total]]+tbl_base_ni_ri[[#This Row],[ri_total]]</f>
        <v>1380.4183420218878</v>
      </c>
      <c r="I85" s="6" t="str">
        <f t="shared" si="1"/>
        <v>OK</v>
      </c>
      <c r="J85" s="7"/>
    </row>
    <row r="86" spans="1:10">
      <c r="A86" s="5">
        <v>2034</v>
      </c>
      <c r="B86" s="3" t="s">
        <v>47</v>
      </c>
      <c r="C86" s="6" t="s">
        <v>69</v>
      </c>
      <c r="D86" s="3" t="s">
        <v>45</v>
      </c>
      <c r="E86" s="3" t="s">
        <v>46</v>
      </c>
      <c r="F86" s="12">
        <v>533.54401538997547</v>
      </c>
      <c r="G86" s="6">
        <v>867</v>
      </c>
      <c r="H86" s="12">
        <f>tbl_base_ni_ri[[#This Row],[ni_total]]+tbl_base_ni_ri[[#This Row],[ri_total]]</f>
        <v>1400.5440153899754</v>
      </c>
      <c r="I86" s="6" t="str">
        <f t="shared" si="1"/>
        <v>OK</v>
      </c>
      <c r="J86" s="7"/>
    </row>
    <row r="87" spans="1:10">
      <c r="A87" s="5">
        <v>2035</v>
      </c>
      <c r="B87" s="3" t="s">
        <v>47</v>
      </c>
      <c r="C87" s="6" t="s">
        <v>69</v>
      </c>
      <c r="D87" s="3" t="s">
        <v>45</v>
      </c>
      <c r="E87" s="3" t="s">
        <v>46</v>
      </c>
      <c r="F87" s="12">
        <v>534.6111034207554</v>
      </c>
      <c r="G87" s="6">
        <v>881</v>
      </c>
      <c r="H87" s="12">
        <f>tbl_base_ni_ri[[#This Row],[ni_total]]+tbl_base_ni_ri[[#This Row],[ri_total]]</f>
        <v>1415.6111034207554</v>
      </c>
      <c r="I87" s="6" t="str">
        <f t="shared" si="1"/>
        <v>OK</v>
      </c>
      <c r="J87" s="7"/>
    </row>
    <row r="88" spans="1:10">
      <c r="A88" s="5">
        <v>2036</v>
      </c>
      <c r="B88" s="3" t="s">
        <v>47</v>
      </c>
      <c r="C88" s="6" t="s">
        <v>69</v>
      </c>
      <c r="D88" s="3" t="s">
        <v>45</v>
      </c>
      <c r="E88" s="3" t="s">
        <v>46</v>
      </c>
      <c r="F88" s="12">
        <v>535.68032562759686</v>
      </c>
      <c r="G88" s="6">
        <v>899</v>
      </c>
      <c r="H88" s="12">
        <f>tbl_base_ni_ri[[#This Row],[ni_total]]+tbl_base_ni_ri[[#This Row],[ri_total]]</f>
        <v>1434.6803256275969</v>
      </c>
      <c r="I88" s="6" t="str">
        <f t="shared" si="1"/>
        <v>OK</v>
      </c>
      <c r="J88" s="7"/>
    </row>
    <row r="89" spans="1:10">
      <c r="A89" s="5">
        <v>2037</v>
      </c>
      <c r="B89" s="3" t="s">
        <v>47</v>
      </c>
      <c r="C89" s="6" t="s">
        <v>69</v>
      </c>
      <c r="D89" s="3" t="s">
        <v>45</v>
      </c>
      <c r="E89" s="3" t="s">
        <v>46</v>
      </c>
      <c r="F89" s="12">
        <v>536.75168627885205</v>
      </c>
      <c r="G89" s="6">
        <v>917</v>
      </c>
      <c r="H89" s="12">
        <f>tbl_base_ni_ri[[#This Row],[ni_total]]+tbl_base_ni_ri[[#This Row],[ri_total]]</f>
        <v>1453.751686278852</v>
      </c>
      <c r="I89" s="6" t="str">
        <f t="shared" si="1"/>
        <v>OK</v>
      </c>
      <c r="J89" s="7"/>
    </row>
    <row r="90" spans="1:10">
      <c r="A90" s="5">
        <v>2038</v>
      </c>
      <c r="B90" s="3" t="s">
        <v>47</v>
      </c>
      <c r="C90" s="6" t="s">
        <v>69</v>
      </c>
      <c r="D90" s="3" t="s">
        <v>45</v>
      </c>
      <c r="E90" s="3" t="s">
        <v>46</v>
      </c>
      <c r="F90" s="12">
        <v>537.8251896514098</v>
      </c>
      <c r="G90" s="6">
        <v>931</v>
      </c>
      <c r="H90" s="12">
        <f>tbl_base_ni_ri[[#This Row],[ni_total]]+tbl_base_ni_ri[[#This Row],[ri_total]]</f>
        <v>1468.8251896514098</v>
      </c>
      <c r="I90" s="6" t="str">
        <f t="shared" si="1"/>
        <v>OK</v>
      </c>
      <c r="J90" s="7"/>
    </row>
    <row r="91" spans="1:10">
      <c r="A91" s="5">
        <v>2039</v>
      </c>
      <c r="B91" s="3" t="s">
        <v>47</v>
      </c>
      <c r="C91" s="6" t="s">
        <v>69</v>
      </c>
      <c r="D91" s="3" t="s">
        <v>45</v>
      </c>
      <c r="E91" s="3" t="s">
        <v>46</v>
      </c>
      <c r="F91" s="12">
        <v>538.90084003071263</v>
      </c>
      <c r="G91" s="6">
        <v>945</v>
      </c>
      <c r="H91" s="12">
        <f>tbl_base_ni_ri[[#This Row],[ni_total]]+tbl_base_ni_ri[[#This Row],[ri_total]]</f>
        <v>1483.9008400307125</v>
      </c>
      <c r="I91" s="6" t="str">
        <f t="shared" si="1"/>
        <v>OK</v>
      </c>
      <c r="J91" s="7"/>
    </row>
    <row r="92" spans="1:10">
      <c r="A92" s="5">
        <v>2040</v>
      </c>
      <c r="B92" s="3" t="s">
        <v>47</v>
      </c>
      <c r="C92" s="6" t="s">
        <v>69</v>
      </c>
      <c r="D92" s="3" t="s">
        <v>45</v>
      </c>
      <c r="E92" s="3" t="s">
        <v>46</v>
      </c>
      <c r="F92" s="12">
        <v>539.97864171077401</v>
      </c>
      <c r="G92" s="6">
        <v>1042</v>
      </c>
      <c r="H92" s="12">
        <f>tbl_base_ni_ri[[#This Row],[ni_total]]+tbl_base_ni_ri[[#This Row],[ri_total]]</f>
        <v>1581.9786417107739</v>
      </c>
      <c r="I92" s="6" t="str">
        <f t="shared" si="1"/>
        <v>OK</v>
      </c>
      <c r="J92" s="7"/>
    </row>
    <row r="93" spans="1:10">
      <c r="A93" s="5">
        <v>2030</v>
      </c>
      <c r="B93" s="3" t="s">
        <v>47</v>
      </c>
      <c r="C93" s="6" t="s">
        <v>71</v>
      </c>
      <c r="D93" s="3" t="s">
        <v>45</v>
      </c>
      <c r="E93" s="3" t="s">
        <v>46</v>
      </c>
      <c r="F93" s="12">
        <v>132.31</v>
      </c>
      <c r="G93" s="6">
        <v>211</v>
      </c>
      <c r="H93" s="12">
        <f>tbl_base_ni_ri[[#This Row],[ni_total]]+tbl_base_ni_ri[[#This Row],[ri_total]]</f>
        <v>343.31</v>
      </c>
      <c r="I93" s="6" t="str">
        <f t="shared" si="1"/>
        <v>OK</v>
      </c>
      <c r="J93" s="7"/>
    </row>
    <row r="94" spans="1:10">
      <c r="A94" s="5">
        <v>2031</v>
      </c>
      <c r="B94" s="3" t="s">
        <v>47</v>
      </c>
      <c r="C94" s="6" t="s">
        <v>71</v>
      </c>
      <c r="D94" s="3" t="s">
        <v>45</v>
      </c>
      <c r="E94" s="3" t="s">
        <v>46</v>
      </c>
      <c r="F94" s="12">
        <v>133.63310000000001</v>
      </c>
      <c r="G94" s="6">
        <v>217</v>
      </c>
      <c r="H94" s="12">
        <f>tbl_base_ni_ri[[#This Row],[ni_total]]+tbl_base_ni_ri[[#This Row],[ri_total]]</f>
        <v>350.63310000000001</v>
      </c>
      <c r="I94" s="6" t="str">
        <f t="shared" si="1"/>
        <v>OK</v>
      </c>
      <c r="J94" s="7"/>
    </row>
    <row r="95" spans="1:10">
      <c r="A95" s="5">
        <v>2032</v>
      </c>
      <c r="B95" s="3" t="s">
        <v>47</v>
      </c>
      <c r="C95" s="6" t="s">
        <v>71</v>
      </c>
      <c r="D95" s="3" t="s">
        <v>45</v>
      </c>
      <c r="E95" s="3" t="s">
        <v>46</v>
      </c>
      <c r="F95" s="12">
        <v>134.96943100000001</v>
      </c>
      <c r="G95" s="6">
        <v>223</v>
      </c>
      <c r="H95" s="12">
        <f>tbl_base_ni_ri[[#This Row],[ni_total]]+tbl_base_ni_ri[[#This Row],[ri_total]]</f>
        <v>357.96943099999999</v>
      </c>
      <c r="I95" s="6" t="str">
        <f t="shared" si="1"/>
        <v>OK</v>
      </c>
      <c r="J95" s="7"/>
    </row>
    <row r="96" spans="1:10">
      <c r="A96" s="5">
        <v>2033</v>
      </c>
      <c r="B96" s="3" t="s">
        <v>47</v>
      </c>
      <c r="C96" s="6" t="s">
        <v>71</v>
      </c>
      <c r="D96" s="3" t="s">
        <v>45</v>
      </c>
      <c r="E96" s="3" t="s">
        <v>46</v>
      </c>
      <c r="F96" s="12">
        <v>136.31912531</v>
      </c>
      <c r="G96" s="6">
        <v>228</v>
      </c>
      <c r="H96" s="12">
        <f>tbl_base_ni_ri[[#This Row],[ni_total]]+tbl_base_ni_ri[[#This Row],[ri_total]]</f>
        <v>364.31912531</v>
      </c>
      <c r="I96" s="6" t="str">
        <f t="shared" si="1"/>
        <v>OK</v>
      </c>
      <c r="J96" s="7"/>
    </row>
    <row r="97" spans="1:10">
      <c r="A97" s="5">
        <v>2034</v>
      </c>
      <c r="B97" s="3" t="s">
        <v>47</v>
      </c>
      <c r="C97" s="6" t="s">
        <v>71</v>
      </c>
      <c r="D97" s="3" t="s">
        <v>45</v>
      </c>
      <c r="E97" s="3" t="s">
        <v>46</v>
      </c>
      <c r="F97" s="12">
        <v>138.09127393903</v>
      </c>
      <c r="G97" s="6">
        <v>233</v>
      </c>
      <c r="H97" s="12">
        <f>tbl_base_ni_ri[[#This Row],[ni_total]]+tbl_base_ni_ri[[#This Row],[ri_total]]</f>
        <v>371.09127393902997</v>
      </c>
      <c r="I97" s="6" t="str">
        <f t="shared" si="1"/>
        <v>OK</v>
      </c>
      <c r="J97" s="7"/>
    </row>
    <row r="98" spans="1:10">
      <c r="A98" s="5">
        <v>2035</v>
      </c>
      <c r="B98" s="3" t="s">
        <v>47</v>
      </c>
      <c r="C98" s="6" t="s">
        <v>71</v>
      </c>
      <c r="D98" s="3" t="s">
        <v>45</v>
      </c>
      <c r="E98" s="3" t="s">
        <v>46</v>
      </c>
      <c r="F98" s="12">
        <v>139.88646050023738</v>
      </c>
      <c r="G98" s="6">
        <v>237</v>
      </c>
      <c r="H98" s="12">
        <f>tbl_base_ni_ri[[#This Row],[ni_total]]+tbl_base_ni_ri[[#This Row],[ri_total]]</f>
        <v>376.88646050023738</v>
      </c>
      <c r="I98" s="6" t="str">
        <f t="shared" si="1"/>
        <v>OK</v>
      </c>
      <c r="J98" s="7"/>
    </row>
    <row r="99" spans="1:10">
      <c r="A99" s="5">
        <v>2036</v>
      </c>
      <c r="B99" s="3" t="s">
        <v>47</v>
      </c>
      <c r="C99" s="6" t="s">
        <v>71</v>
      </c>
      <c r="D99" s="3" t="s">
        <v>45</v>
      </c>
      <c r="E99" s="3" t="s">
        <v>46</v>
      </c>
      <c r="F99" s="12">
        <v>141.70498448674044</v>
      </c>
      <c r="G99" s="6">
        <v>243</v>
      </c>
      <c r="H99" s="12">
        <f>tbl_base_ni_ri[[#This Row],[ni_total]]+tbl_base_ni_ri[[#This Row],[ri_total]]</f>
        <v>384.70498448674044</v>
      </c>
      <c r="I99" s="6" t="str">
        <f t="shared" si="1"/>
        <v>OK</v>
      </c>
      <c r="J99" s="7"/>
    </row>
    <row r="100" spans="1:10">
      <c r="A100" s="5">
        <v>2037</v>
      </c>
      <c r="B100" s="3" t="s">
        <v>47</v>
      </c>
      <c r="C100" s="6" t="s">
        <v>71</v>
      </c>
      <c r="D100" s="3" t="s">
        <v>45</v>
      </c>
      <c r="E100" s="3" t="s">
        <v>46</v>
      </c>
      <c r="F100" s="12">
        <v>143.68885426955481</v>
      </c>
      <c r="G100" s="6">
        <v>248</v>
      </c>
      <c r="H100" s="12">
        <f>tbl_base_ni_ri[[#This Row],[ni_total]]+tbl_base_ni_ri[[#This Row],[ri_total]]</f>
        <v>391.68885426955478</v>
      </c>
      <c r="I100" s="6" t="str">
        <f t="shared" si="1"/>
        <v>OK</v>
      </c>
      <c r="J100" s="7"/>
    </row>
    <row r="101" spans="1:10">
      <c r="A101" s="5">
        <v>2038</v>
      </c>
      <c r="B101" s="3" t="s">
        <v>47</v>
      </c>
      <c r="C101" s="6" t="s">
        <v>71</v>
      </c>
      <c r="D101" s="3" t="s">
        <v>45</v>
      </c>
      <c r="E101" s="3" t="s">
        <v>46</v>
      </c>
      <c r="F101" s="12">
        <v>145.70049822932859</v>
      </c>
      <c r="G101" s="6">
        <v>253</v>
      </c>
      <c r="H101" s="12">
        <f>tbl_base_ni_ri[[#This Row],[ni_total]]+tbl_base_ni_ri[[#This Row],[ri_total]]</f>
        <v>398.70049822932856</v>
      </c>
      <c r="I101" s="6" t="str">
        <f t="shared" si="1"/>
        <v>OK</v>
      </c>
      <c r="J101" s="7"/>
    </row>
    <row r="102" spans="1:10">
      <c r="A102" s="5">
        <v>2039</v>
      </c>
      <c r="B102" s="3" t="s">
        <v>47</v>
      </c>
      <c r="C102" s="6" t="s">
        <v>71</v>
      </c>
      <c r="D102" s="3" t="s">
        <v>45</v>
      </c>
      <c r="E102" s="3" t="s">
        <v>46</v>
      </c>
      <c r="F102" s="12">
        <v>147.7403052045392</v>
      </c>
      <c r="G102" s="6">
        <v>258</v>
      </c>
      <c r="H102" s="12">
        <f>tbl_base_ni_ri[[#This Row],[ni_total]]+tbl_base_ni_ri[[#This Row],[ri_total]]</f>
        <v>405.7403052045392</v>
      </c>
      <c r="I102" s="6" t="str">
        <f t="shared" si="1"/>
        <v>OK</v>
      </c>
      <c r="J102" s="7"/>
    </row>
    <row r="103" spans="1:10">
      <c r="A103" s="5">
        <v>2040</v>
      </c>
      <c r="B103" s="3" t="s">
        <v>47</v>
      </c>
      <c r="C103" s="6" t="s">
        <v>71</v>
      </c>
      <c r="D103" s="3" t="s">
        <v>45</v>
      </c>
      <c r="E103" s="3" t="s">
        <v>46</v>
      </c>
      <c r="F103" s="12">
        <v>149.80866947740276</v>
      </c>
      <c r="G103" s="6">
        <v>290</v>
      </c>
      <c r="H103" s="12">
        <f>tbl_base_ni_ri[[#This Row],[ni_total]]+tbl_base_ni_ri[[#This Row],[ri_total]]</f>
        <v>439.80866947740276</v>
      </c>
      <c r="I103" s="6" t="str">
        <f t="shared" si="1"/>
        <v>OK</v>
      </c>
      <c r="J103" s="7"/>
    </row>
    <row r="104" spans="1:10">
      <c r="A104" s="5">
        <v>2030</v>
      </c>
      <c r="B104" s="3" t="s">
        <v>47</v>
      </c>
      <c r="C104" s="6" t="s">
        <v>73</v>
      </c>
      <c r="D104" s="3" t="s">
        <v>45</v>
      </c>
      <c r="E104" s="3" t="s">
        <v>46</v>
      </c>
      <c r="F104" s="12">
        <v>604.61</v>
      </c>
      <c r="G104" s="6">
        <v>1076</v>
      </c>
      <c r="H104" s="12">
        <f>tbl_base_ni_ri[[#This Row],[ni_total]]+tbl_base_ni_ri[[#This Row],[ri_total]]</f>
        <v>1680.6100000000001</v>
      </c>
      <c r="I104" s="6" t="str">
        <f t="shared" si="1"/>
        <v>OK</v>
      </c>
      <c r="J104" s="7"/>
    </row>
    <row r="105" spans="1:10">
      <c r="A105" s="5">
        <v>2031</v>
      </c>
      <c r="B105" s="3" t="s">
        <v>47</v>
      </c>
      <c r="C105" s="6" t="s">
        <v>73</v>
      </c>
      <c r="D105" s="3" t="s">
        <v>45</v>
      </c>
      <c r="E105" s="3" t="s">
        <v>46</v>
      </c>
      <c r="F105" s="12">
        <v>622.74830000000009</v>
      </c>
      <c r="G105" s="6">
        <v>1085</v>
      </c>
      <c r="H105" s="12">
        <f>tbl_base_ni_ri[[#This Row],[ni_total]]+tbl_base_ni_ri[[#This Row],[ri_total]]</f>
        <v>1707.7483000000002</v>
      </c>
      <c r="I105" s="6" t="str">
        <f t="shared" si="1"/>
        <v>OK</v>
      </c>
      <c r="J105" s="7"/>
    </row>
    <row r="106" spans="1:10">
      <c r="A106" s="5">
        <v>2032</v>
      </c>
      <c r="B106" s="3" t="s">
        <v>47</v>
      </c>
      <c r="C106" s="6" t="s">
        <v>73</v>
      </c>
      <c r="D106" s="3" t="s">
        <v>45</v>
      </c>
      <c r="E106" s="3" t="s">
        <v>46</v>
      </c>
      <c r="F106" s="12">
        <v>641.43074900000011</v>
      </c>
      <c r="G106" s="6">
        <v>1094</v>
      </c>
      <c r="H106" s="12">
        <f>tbl_base_ni_ri[[#This Row],[ni_total]]+tbl_base_ni_ri[[#This Row],[ri_total]]</f>
        <v>1735.4307490000001</v>
      </c>
      <c r="I106" s="6" t="str">
        <f t="shared" si="1"/>
        <v>OK</v>
      </c>
      <c r="J106" s="7"/>
    </row>
    <row r="107" spans="1:10">
      <c r="A107" s="5">
        <v>2033</v>
      </c>
      <c r="B107" s="3" t="s">
        <v>47</v>
      </c>
      <c r="C107" s="6" t="s">
        <v>73</v>
      </c>
      <c r="D107" s="3" t="s">
        <v>45</v>
      </c>
      <c r="E107" s="3" t="s">
        <v>46</v>
      </c>
      <c r="F107" s="12">
        <v>654.2593639800001</v>
      </c>
      <c r="G107" s="6">
        <v>1111</v>
      </c>
      <c r="H107" s="12">
        <f>tbl_base_ni_ri[[#This Row],[ni_total]]+tbl_base_ni_ri[[#This Row],[ri_total]]</f>
        <v>1765.2593639800002</v>
      </c>
      <c r="I107" s="6" t="str">
        <f t="shared" si="1"/>
        <v>OK</v>
      </c>
      <c r="J107" s="7"/>
    </row>
    <row r="108" spans="1:10">
      <c r="A108" s="5">
        <v>2034</v>
      </c>
      <c r="B108" s="3" t="s">
        <v>47</v>
      </c>
      <c r="C108" s="6" t="s">
        <v>73</v>
      </c>
      <c r="D108" s="3" t="s">
        <v>45</v>
      </c>
      <c r="E108" s="3" t="s">
        <v>46</v>
      </c>
      <c r="F108" s="12">
        <v>667.34455125960017</v>
      </c>
      <c r="G108" s="6">
        <v>1119</v>
      </c>
      <c r="H108" s="12">
        <f>tbl_base_ni_ri[[#This Row],[ni_total]]+tbl_base_ni_ri[[#This Row],[ri_total]]</f>
        <v>1786.3445512596002</v>
      </c>
      <c r="I108" s="6" t="str">
        <f t="shared" si="1"/>
        <v>OK</v>
      </c>
      <c r="J108" s="7"/>
    </row>
    <row r="109" spans="1:10">
      <c r="A109" s="5">
        <v>2035</v>
      </c>
      <c r="B109" s="3" t="s">
        <v>47</v>
      </c>
      <c r="C109" s="6" t="s">
        <v>73</v>
      </c>
      <c r="D109" s="3" t="s">
        <v>45</v>
      </c>
      <c r="E109" s="3" t="s">
        <v>46</v>
      </c>
      <c r="F109" s="12">
        <v>680.69144228479217</v>
      </c>
      <c r="G109" s="6">
        <v>1128</v>
      </c>
      <c r="H109" s="12">
        <f>tbl_base_ni_ri[[#This Row],[ni_total]]+tbl_base_ni_ri[[#This Row],[ri_total]]</f>
        <v>1808.6914422847922</v>
      </c>
      <c r="I109" s="6" t="str">
        <f t="shared" si="1"/>
        <v>OK</v>
      </c>
      <c r="J109" s="7"/>
    </row>
    <row r="110" spans="1:10">
      <c r="A110" s="5">
        <v>2036</v>
      </c>
      <c r="B110" s="3" t="s">
        <v>47</v>
      </c>
      <c r="C110" s="6" t="s">
        <v>73</v>
      </c>
      <c r="D110" s="3" t="s">
        <v>45</v>
      </c>
      <c r="E110" s="3" t="s">
        <v>46</v>
      </c>
      <c r="F110" s="12">
        <v>694.30527113048799</v>
      </c>
      <c r="G110" s="6">
        <v>1139</v>
      </c>
      <c r="H110" s="12">
        <f>tbl_base_ni_ri[[#This Row],[ni_total]]+tbl_base_ni_ri[[#This Row],[ri_total]]</f>
        <v>1833.3052711304881</v>
      </c>
      <c r="I110" s="6" t="str">
        <f t="shared" si="1"/>
        <v>OK</v>
      </c>
      <c r="J110" s="7"/>
    </row>
    <row r="111" spans="1:10">
      <c r="A111" s="5">
        <v>2037</v>
      </c>
      <c r="B111" s="3" t="s">
        <v>47</v>
      </c>
      <c r="C111" s="6" t="s">
        <v>73</v>
      </c>
      <c r="D111" s="3" t="s">
        <v>45</v>
      </c>
      <c r="E111" s="3" t="s">
        <v>46</v>
      </c>
      <c r="F111" s="12">
        <v>701.24832384179285</v>
      </c>
      <c r="G111" s="6">
        <v>1142</v>
      </c>
      <c r="H111" s="12">
        <f>tbl_base_ni_ri[[#This Row],[ni_total]]+tbl_base_ni_ri[[#This Row],[ri_total]]</f>
        <v>1843.2483238417929</v>
      </c>
      <c r="I111" s="6" t="str">
        <f t="shared" si="1"/>
        <v>OK</v>
      </c>
      <c r="J111" s="7"/>
    </row>
    <row r="112" spans="1:10">
      <c r="A112" s="5">
        <v>2038</v>
      </c>
      <c r="B112" s="3" t="s">
        <v>47</v>
      </c>
      <c r="C112" s="6" t="s">
        <v>73</v>
      </c>
      <c r="D112" s="3" t="s">
        <v>45</v>
      </c>
      <c r="E112" s="3" t="s">
        <v>46</v>
      </c>
      <c r="F112" s="12">
        <v>708.26080708021084</v>
      </c>
      <c r="G112" s="6">
        <v>1147</v>
      </c>
      <c r="H112" s="12">
        <f>tbl_base_ni_ri[[#This Row],[ni_total]]+tbl_base_ni_ri[[#This Row],[ri_total]]</f>
        <v>1855.2608070802107</v>
      </c>
      <c r="I112" s="6" t="str">
        <f t="shared" si="1"/>
        <v>OK</v>
      </c>
      <c r="J112" s="7"/>
    </row>
    <row r="113" spans="1:10">
      <c r="A113" s="5">
        <v>2039</v>
      </c>
      <c r="B113" s="3" t="s">
        <v>47</v>
      </c>
      <c r="C113" s="6" t="s">
        <v>73</v>
      </c>
      <c r="D113" s="3" t="s">
        <v>45</v>
      </c>
      <c r="E113" s="3" t="s">
        <v>46</v>
      </c>
      <c r="F113" s="12">
        <v>715.34341515101301</v>
      </c>
      <c r="G113" s="6">
        <v>1155</v>
      </c>
      <c r="H113" s="12">
        <f>tbl_base_ni_ri[[#This Row],[ni_total]]+tbl_base_ni_ri[[#This Row],[ri_total]]</f>
        <v>1870.343415151013</v>
      </c>
      <c r="I113" s="6" t="str">
        <f t="shared" si="1"/>
        <v>OK</v>
      </c>
      <c r="J113" s="7"/>
    </row>
    <row r="114" spans="1:10">
      <c r="A114" s="5">
        <v>2040</v>
      </c>
      <c r="B114" s="3" t="s">
        <v>47</v>
      </c>
      <c r="C114" s="6" t="s">
        <v>73</v>
      </c>
      <c r="D114" s="3" t="s">
        <v>45</v>
      </c>
      <c r="E114" s="3" t="s">
        <v>46</v>
      </c>
      <c r="F114" s="12">
        <v>722.49684930252317</v>
      </c>
      <c r="G114" s="6">
        <v>1164</v>
      </c>
      <c r="H114" s="12">
        <f>tbl_base_ni_ri[[#This Row],[ni_total]]+tbl_base_ni_ri[[#This Row],[ri_total]]</f>
        <v>1886.4968493025231</v>
      </c>
      <c r="I114" s="6" t="str">
        <f t="shared" si="1"/>
        <v>OK</v>
      </c>
      <c r="J114" s="7"/>
    </row>
    <row r="115" spans="1:10">
      <c r="A115" s="5">
        <v>2030</v>
      </c>
      <c r="B115" s="3" t="s">
        <v>47</v>
      </c>
      <c r="C115" s="6" t="s">
        <v>74</v>
      </c>
      <c r="D115" s="3" t="s">
        <v>45</v>
      </c>
      <c r="E115" s="3" t="s">
        <v>46</v>
      </c>
      <c r="F115" s="12">
        <v>321.18</v>
      </c>
      <c r="G115" s="6">
        <v>541</v>
      </c>
      <c r="H115" s="12">
        <f>tbl_base_ni_ri[[#This Row],[ni_total]]+tbl_base_ni_ri[[#This Row],[ri_total]]</f>
        <v>862.18000000000006</v>
      </c>
      <c r="I115" s="6" t="str">
        <f t="shared" si="1"/>
        <v>OK</v>
      </c>
      <c r="J115" s="7"/>
    </row>
    <row r="116" spans="1:10">
      <c r="A116" s="5">
        <v>2031</v>
      </c>
      <c r="B116" s="3" t="s">
        <v>47</v>
      </c>
      <c r="C116" s="6" t="s">
        <v>74</v>
      </c>
      <c r="D116" s="3" t="s">
        <v>45</v>
      </c>
      <c r="E116" s="3" t="s">
        <v>46</v>
      </c>
      <c r="F116" s="12">
        <v>324.39179999999999</v>
      </c>
      <c r="G116" s="6">
        <v>547</v>
      </c>
      <c r="H116" s="12">
        <f>tbl_base_ni_ri[[#This Row],[ni_total]]+tbl_base_ni_ri[[#This Row],[ri_total]]</f>
        <v>871.39179999999999</v>
      </c>
      <c r="I116" s="6" t="str">
        <f t="shared" si="1"/>
        <v>OK</v>
      </c>
      <c r="J116" s="7"/>
    </row>
    <row r="117" spans="1:10">
      <c r="A117" s="5">
        <v>2032</v>
      </c>
      <c r="B117" s="3" t="s">
        <v>47</v>
      </c>
      <c r="C117" s="6" t="s">
        <v>74</v>
      </c>
      <c r="D117" s="3" t="s">
        <v>45</v>
      </c>
      <c r="E117" s="3" t="s">
        <v>46</v>
      </c>
      <c r="F117" s="12">
        <v>327.635718</v>
      </c>
      <c r="G117" s="6">
        <v>555</v>
      </c>
      <c r="H117" s="12">
        <f>tbl_base_ni_ri[[#This Row],[ni_total]]+tbl_base_ni_ri[[#This Row],[ri_total]]</f>
        <v>882.635718</v>
      </c>
      <c r="I117" s="6" t="str">
        <f t="shared" si="1"/>
        <v>OK</v>
      </c>
      <c r="J117" s="7"/>
    </row>
    <row r="118" spans="1:10">
      <c r="A118" s="5">
        <v>2033</v>
      </c>
      <c r="B118" s="3" t="s">
        <v>47</v>
      </c>
      <c r="C118" s="6" t="s">
        <v>74</v>
      </c>
      <c r="D118" s="3" t="s">
        <v>45</v>
      </c>
      <c r="E118" s="3" t="s">
        <v>46</v>
      </c>
      <c r="F118" s="12">
        <v>330.91207517999999</v>
      </c>
      <c r="G118" s="6">
        <v>561</v>
      </c>
      <c r="H118" s="12">
        <f>tbl_base_ni_ri[[#This Row],[ni_total]]+tbl_base_ni_ri[[#This Row],[ri_total]]</f>
        <v>891.91207517999999</v>
      </c>
      <c r="I118" s="6" t="str">
        <f t="shared" si="1"/>
        <v>OK</v>
      </c>
      <c r="J118" s="7"/>
    </row>
    <row r="119" spans="1:10">
      <c r="A119" s="5">
        <v>2034</v>
      </c>
      <c r="B119" s="3" t="s">
        <v>47</v>
      </c>
      <c r="C119" s="6" t="s">
        <v>74</v>
      </c>
      <c r="D119" s="3" t="s">
        <v>45</v>
      </c>
      <c r="E119" s="3" t="s">
        <v>46</v>
      </c>
      <c r="F119" s="12">
        <v>334.22119593179997</v>
      </c>
      <c r="G119" s="6">
        <v>568</v>
      </c>
      <c r="H119" s="12">
        <f>tbl_base_ni_ri[[#This Row],[ni_total]]+tbl_base_ni_ri[[#This Row],[ri_total]]</f>
        <v>902.22119593179991</v>
      </c>
      <c r="I119" s="6" t="str">
        <f t="shared" si="1"/>
        <v>OK</v>
      </c>
      <c r="J119" s="7"/>
    </row>
    <row r="120" spans="1:10">
      <c r="A120" s="5">
        <v>2035</v>
      </c>
      <c r="B120" s="3" t="s">
        <v>47</v>
      </c>
      <c r="C120" s="6" t="s">
        <v>74</v>
      </c>
      <c r="D120" s="3" t="s">
        <v>45</v>
      </c>
      <c r="E120" s="3" t="s">
        <v>46</v>
      </c>
      <c r="F120" s="12">
        <v>337.56340789111795</v>
      </c>
      <c r="G120" s="6">
        <v>573</v>
      </c>
      <c r="H120" s="12">
        <f>tbl_base_ni_ri[[#This Row],[ni_total]]+tbl_base_ni_ri[[#This Row],[ri_total]]</f>
        <v>910.563407891118</v>
      </c>
      <c r="I120" s="6" t="str">
        <f t="shared" si="1"/>
        <v>OK</v>
      </c>
      <c r="J120" s="7"/>
    </row>
    <row r="121" spans="1:10">
      <c r="A121" s="5">
        <v>2036</v>
      </c>
      <c r="B121" s="3" t="s">
        <v>47</v>
      </c>
      <c r="C121" s="6" t="s">
        <v>74</v>
      </c>
      <c r="D121" s="3" t="s">
        <v>45</v>
      </c>
      <c r="E121" s="3" t="s">
        <v>46</v>
      </c>
      <c r="F121" s="12">
        <v>340.93904197002911</v>
      </c>
      <c r="G121" s="6">
        <v>579</v>
      </c>
      <c r="H121" s="12">
        <f>tbl_base_ni_ri[[#This Row],[ni_total]]+tbl_base_ni_ri[[#This Row],[ri_total]]</f>
        <v>919.93904197002917</v>
      </c>
      <c r="I121" s="6" t="str">
        <f t="shared" si="1"/>
        <v>OK</v>
      </c>
      <c r="J121" s="7"/>
    </row>
    <row r="122" spans="1:10">
      <c r="A122" s="5">
        <v>2037</v>
      </c>
      <c r="B122" s="3" t="s">
        <v>47</v>
      </c>
      <c r="C122" s="6" t="s">
        <v>74</v>
      </c>
      <c r="D122" s="3" t="s">
        <v>45</v>
      </c>
      <c r="E122" s="3" t="s">
        <v>46</v>
      </c>
      <c r="F122" s="12">
        <v>344.3484323897294</v>
      </c>
      <c r="G122" s="6">
        <v>584</v>
      </c>
      <c r="H122" s="12">
        <f>tbl_base_ni_ri[[#This Row],[ni_total]]+tbl_base_ni_ri[[#This Row],[ri_total]]</f>
        <v>928.3484323897294</v>
      </c>
      <c r="I122" s="6" t="str">
        <f t="shared" si="1"/>
        <v>OK</v>
      </c>
      <c r="J122" s="7"/>
    </row>
    <row r="123" spans="1:10">
      <c r="A123" s="5">
        <v>2038</v>
      </c>
      <c r="B123" s="3" t="s">
        <v>47</v>
      </c>
      <c r="C123" s="6" t="s">
        <v>74</v>
      </c>
      <c r="D123" s="3" t="s">
        <v>45</v>
      </c>
      <c r="E123" s="3" t="s">
        <v>46</v>
      </c>
      <c r="F123" s="12">
        <v>347.79191671362668</v>
      </c>
      <c r="G123" s="6">
        <v>589</v>
      </c>
      <c r="H123" s="12">
        <f>tbl_base_ni_ri[[#This Row],[ni_total]]+tbl_base_ni_ri[[#This Row],[ri_total]]</f>
        <v>936.79191671362673</v>
      </c>
      <c r="I123" s="6" t="str">
        <f t="shared" si="1"/>
        <v>OK</v>
      </c>
      <c r="J123" s="7"/>
    </row>
    <row r="124" spans="1:10">
      <c r="A124" s="5">
        <v>2039</v>
      </c>
      <c r="B124" s="3" t="s">
        <v>47</v>
      </c>
      <c r="C124" s="6" t="s">
        <v>74</v>
      </c>
      <c r="D124" s="3" t="s">
        <v>45</v>
      </c>
      <c r="E124" s="3" t="s">
        <v>46</v>
      </c>
      <c r="F124" s="12">
        <v>351.26983588076297</v>
      </c>
      <c r="G124" s="6">
        <v>595</v>
      </c>
      <c r="H124" s="12">
        <f>tbl_base_ni_ri[[#This Row],[ni_total]]+tbl_base_ni_ri[[#This Row],[ri_total]]</f>
        <v>946.26983588076291</v>
      </c>
      <c r="I124" s="6" t="str">
        <f t="shared" si="1"/>
        <v>OK</v>
      </c>
      <c r="J124" s="7"/>
    </row>
    <row r="125" spans="1:10">
      <c r="A125" s="5">
        <v>2040</v>
      </c>
      <c r="B125" s="3" t="s">
        <v>47</v>
      </c>
      <c r="C125" s="6" t="s">
        <v>74</v>
      </c>
      <c r="D125" s="3" t="s">
        <v>45</v>
      </c>
      <c r="E125" s="3" t="s">
        <v>46</v>
      </c>
      <c r="F125" s="12">
        <v>354.78253423957062</v>
      </c>
      <c r="G125" s="6">
        <v>601</v>
      </c>
      <c r="H125" s="12">
        <f>tbl_base_ni_ri[[#This Row],[ni_total]]+tbl_base_ni_ri[[#This Row],[ri_total]]</f>
        <v>955.78253423957062</v>
      </c>
      <c r="I125" s="6" t="str">
        <f t="shared" si="1"/>
        <v>OK</v>
      </c>
      <c r="J125" s="7"/>
    </row>
    <row r="126" spans="1:10">
      <c r="A126" s="5">
        <v>2030</v>
      </c>
      <c r="B126" s="3" t="s">
        <v>47</v>
      </c>
      <c r="C126" s="6" t="s">
        <v>75</v>
      </c>
      <c r="D126" s="3" t="s">
        <v>45</v>
      </c>
      <c r="E126" s="3" t="s">
        <v>46</v>
      </c>
      <c r="F126" s="12">
        <v>302.60399999999998</v>
      </c>
      <c r="G126" s="6">
        <v>423</v>
      </c>
      <c r="H126" s="12">
        <f>tbl_base_ni_ri[[#This Row],[ni_total]]+tbl_base_ni_ri[[#This Row],[ri_total]]</f>
        <v>725.60400000000004</v>
      </c>
      <c r="I126" s="6" t="str">
        <f t="shared" si="1"/>
        <v>OK</v>
      </c>
      <c r="J126" s="7"/>
    </row>
    <row r="127" spans="1:10">
      <c r="A127" s="5">
        <v>2031</v>
      </c>
      <c r="B127" s="3" t="s">
        <v>47</v>
      </c>
      <c r="C127" s="6" t="s">
        <v>75</v>
      </c>
      <c r="D127" s="3" t="s">
        <v>45</v>
      </c>
      <c r="E127" s="3" t="s">
        <v>46</v>
      </c>
      <c r="F127" s="12">
        <v>303.20920799999999</v>
      </c>
      <c r="G127" s="6">
        <v>428</v>
      </c>
      <c r="H127" s="12">
        <f>tbl_base_ni_ri[[#This Row],[ni_total]]+tbl_base_ni_ri[[#This Row],[ri_total]]</f>
        <v>731.20920799999999</v>
      </c>
      <c r="I127" s="6" t="str">
        <f t="shared" si="1"/>
        <v>OK</v>
      </c>
      <c r="J127" s="7"/>
    </row>
    <row r="128" spans="1:10">
      <c r="A128" s="5">
        <v>2032</v>
      </c>
      <c r="B128" s="3" t="s">
        <v>47</v>
      </c>
      <c r="C128" s="6" t="s">
        <v>75</v>
      </c>
      <c r="D128" s="3" t="s">
        <v>45</v>
      </c>
      <c r="E128" s="3" t="s">
        <v>46</v>
      </c>
      <c r="F128" s="12">
        <v>303.81562641599999</v>
      </c>
      <c r="G128" s="6">
        <v>431</v>
      </c>
      <c r="H128" s="12">
        <f>tbl_base_ni_ri[[#This Row],[ni_total]]+tbl_base_ni_ri[[#This Row],[ri_total]]</f>
        <v>734.81562641599999</v>
      </c>
      <c r="I128" s="6" t="str">
        <f t="shared" si="1"/>
        <v>OK</v>
      </c>
      <c r="J128" s="7"/>
    </row>
    <row r="129" spans="1:10">
      <c r="A129" s="5">
        <v>2033</v>
      </c>
      <c r="B129" s="3" t="s">
        <v>47</v>
      </c>
      <c r="C129" s="6" t="s">
        <v>75</v>
      </c>
      <c r="D129" s="3" t="s">
        <v>45</v>
      </c>
      <c r="E129" s="3" t="s">
        <v>46</v>
      </c>
      <c r="F129" s="12">
        <v>304.42325766883198</v>
      </c>
      <c r="G129" s="6">
        <v>435</v>
      </c>
      <c r="H129" s="12">
        <f>tbl_base_ni_ri[[#This Row],[ni_total]]+tbl_base_ni_ri[[#This Row],[ri_total]]</f>
        <v>739.42325766883198</v>
      </c>
      <c r="I129" s="6" t="str">
        <f t="shared" si="1"/>
        <v>OK</v>
      </c>
      <c r="J129" s="7"/>
    </row>
    <row r="130" spans="1:10">
      <c r="A130" s="5">
        <v>2034</v>
      </c>
      <c r="B130" s="3" t="s">
        <v>47</v>
      </c>
      <c r="C130" s="6" t="s">
        <v>75</v>
      </c>
      <c r="D130" s="3" t="s">
        <v>45</v>
      </c>
      <c r="E130" s="3" t="s">
        <v>46</v>
      </c>
      <c r="F130" s="12">
        <v>305.03210418416967</v>
      </c>
      <c r="G130" s="6">
        <v>439</v>
      </c>
      <c r="H130" s="12">
        <f>tbl_base_ni_ri[[#This Row],[ni_total]]+tbl_base_ni_ri[[#This Row],[ri_total]]</f>
        <v>744.03210418416961</v>
      </c>
      <c r="I130" s="6" t="str">
        <f t="shared" si="1"/>
        <v>OK</v>
      </c>
      <c r="J130" s="7"/>
    </row>
    <row r="131" spans="1:10">
      <c r="A131" s="5">
        <v>2035</v>
      </c>
      <c r="B131" s="3" t="s">
        <v>47</v>
      </c>
      <c r="C131" s="6" t="s">
        <v>75</v>
      </c>
      <c r="D131" s="3" t="s">
        <v>45</v>
      </c>
      <c r="E131" s="3" t="s">
        <v>46</v>
      </c>
      <c r="F131" s="12">
        <v>305.642168392538</v>
      </c>
      <c r="G131" s="6">
        <v>467</v>
      </c>
      <c r="H131" s="12">
        <f>tbl_base_ni_ri[[#This Row],[ni_total]]+tbl_base_ni_ri[[#This Row],[ri_total]]</f>
        <v>772.642168392538</v>
      </c>
      <c r="I131" s="6" t="str">
        <f t="shared" si="1"/>
        <v>OK</v>
      </c>
      <c r="J131" s="7"/>
    </row>
    <row r="132" spans="1:10">
      <c r="A132" s="5">
        <v>2036</v>
      </c>
      <c r="B132" s="3" t="s">
        <v>47</v>
      </c>
      <c r="C132" s="6" t="s">
        <v>75</v>
      </c>
      <c r="D132" s="3" t="s">
        <v>45</v>
      </c>
      <c r="E132" s="3" t="s">
        <v>46</v>
      </c>
      <c r="F132" s="12">
        <v>306.2534527293231</v>
      </c>
      <c r="G132" s="6">
        <v>493</v>
      </c>
      <c r="H132" s="12">
        <f>tbl_base_ni_ri[[#This Row],[ni_total]]+tbl_base_ni_ri[[#This Row],[ri_total]]</f>
        <v>799.25345272932304</v>
      </c>
      <c r="I132" s="6" t="str">
        <f t="shared" si="1"/>
        <v>OK</v>
      </c>
      <c r="J132" s="7"/>
    </row>
    <row r="133" spans="1:10">
      <c r="A133" s="5">
        <v>2037</v>
      </c>
      <c r="B133" s="3" t="s">
        <v>47</v>
      </c>
      <c r="C133" s="6" t="s">
        <v>75</v>
      </c>
      <c r="D133" s="3" t="s">
        <v>45</v>
      </c>
      <c r="E133" s="3" t="s">
        <v>46</v>
      </c>
      <c r="F133" s="12">
        <v>307.17221308751101</v>
      </c>
      <c r="G133" s="6">
        <v>512</v>
      </c>
      <c r="H133" s="12">
        <f>tbl_base_ni_ri[[#This Row],[ni_total]]+tbl_base_ni_ri[[#This Row],[ri_total]]</f>
        <v>819.17221308751095</v>
      </c>
      <c r="I133" s="6" t="str">
        <f t="shared" ref="I133:I196" si="2">IF(OR(F133="",G133="",H133=""),"",IF(ABS(H133-F133-G133)&lt;0.01,"OK","Revisar MT"))</f>
        <v>OK</v>
      </c>
      <c r="J133" s="7"/>
    </row>
    <row r="134" spans="1:10">
      <c r="A134" s="5">
        <v>2038</v>
      </c>
      <c r="B134" s="3" t="s">
        <v>47</v>
      </c>
      <c r="C134" s="6" t="s">
        <v>75</v>
      </c>
      <c r="D134" s="3" t="s">
        <v>45</v>
      </c>
      <c r="E134" s="3" t="s">
        <v>46</v>
      </c>
      <c r="F134" s="12">
        <v>308.09372972677352</v>
      </c>
      <c r="G134" s="6">
        <v>531</v>
      </c>
      <c r="H134" s="12">
        <f>tbl_base_ni_ri[[#This Row],[ni_total]]+tbl_base_ni_ri[[#This Row],[ri_total]]</f>
        <v>839.09372972677352</v>
      </c>
      <c r="I134" s="6" t="str">
        <f t="shared" si="2"/>
        <v>OK</v>
      </c>
      <c r="J134" s="7"/>
    </row>
    <row r="135" spans="1:10">
      <c r="A135" s="5">
        <v>2039</v>
      </c>
      <c r="B135" s="3" t="s">
        <v>47</v>
      </c>
      <c r="C135" s="6" t="s">
        <v>75</v>
      </c>
      <c r="D135" s="3" t="s">
        <v>45</v>
      </c>
      <c r="E135" s="3" t="s">
        <v>46</v>
      </c>
      <c r="F135" s="12">
        <v>309.01801091595382</v>
      </c>
      <c r="G135" s="6">
        <v>546</v>
      </c>
      <c r="H135" s="12">
        <f>tbl_base_ni_ri[[#This Row],[ni_total]]+tbl_base_ni_ri[[#This Row],[ri_total]]</f>
        <v>855.01801091595382</v>
      </c>
      <c r="I135" s="6" t="str">
        <f t="shared" si="2"/>
        <v>OK</v>
      </c>
      <c r="J135" s="7"/>
    </row>
    <row r="136" spans="1:10">
      <c r="A136" s="5">
        <v>2040</v>
      </c>
      <c r="B136" s="3" t="s">
        <v>47</v>
      </c>
      <c r="C136" s="6" t="s">
        <v>75</v>
      </c>
      <c r="D136" s="3" t="s">
        <v>45</v>
      </c>
      <c r="E136" s="3" t="s">
        <v>46</v>
      </c>
      <c r="F136" s="12">
        <v>310</v>
      </c>
      <c r="G136" s="6">
        <v>589</v>
      </c>
      <c r="H136" s="12">
        <f>tbl_base_ni_ri[[#This Row],[ni_total]]+tbl_base_ni_ri[[#This Row],[ri_total]]</f>
        <v>899</v>
      </c>
      <c r="I136" s="6" t="str">
        <f t="shared" si="2"/>
        <v>OK</v>
      </c>
      <c r="J136" s="7"/>
    </row>
    <row r="137" spans="1:10">
      <c r="A137" s="5">
        <v>2030</v>
      </c>
      <c r="B137" s="3" t="s">
        <v>47</v>
      </c>
      <c r="C137" s="6" t="s">
        <v>76</v>
      </c>
      <c r="D137" s="3" t="s">
        <v>45</v>
      </c>
      <c r="E137" s="3" t="s">
        <v>46</v>
      </c>
      <c r="F137" s="12">
        <v>234</v>
      </c>
      <c r="G137" s="6">
        <v>437</v>
      </c>
      <c r="H137" s="12">
        <f>tbl_base_ni_ri[[#This Row],[ni_total]]+tbl_base_ni_ri[[#This Row],[ri_total]]</f>
        <v>671</v>
      </c>
      <c r="I137" s="6" t="str">
        <f t="shared" si="2"/>
        <v>OK</v>
      </c>
      <c r="J137" s="7"/>
    </row>
    <row r="138" spans="1:10">
      <c r="A138" s="5">
        <v>2031</v>
      </c>
      <c r="B138" s="3" t="s">
        <v>47</v>
      </c>
      <c r="C138" s="6" t="s">
        <v>76</v>
      </c>
      <c r="D138" s="3" t="s">
        <v>45</v>
      </c>
      <c r="E138" s="3" t="s">
        <v>46</v>
      </c>
      <c r="F138" s="12">
        <v>243.36</v>
      </c>
      <c r="G138" s="6">
        <v>441</v>
      </c>
      <c r="H138" s="12">
        <f>tbl_base_ni_ri[[#This Row],[ni_total]]+tbl_base_ni_ri[[#This Row],[ri_total]]</f>
        <v>684.36</v>
      </c>
      <c r="I138" s="6" t="str">
        <f t="shared" si="2"/>
        <v>OK</v>
      </c>
      <c r="J138" s="7"/>
    </row>
    <row r="139" spans="1:10">
      <c r="A139" s="5">
        <v>2032</v>
      </c>
      <c r="B139" s="3" t="s">
        <v>47</v>
      </c>
      <c r="C139" s="6" t="s">
        <v>76</v>
      </c>
      <c r="D139" s="3" t="s">
        <v>45</v>
      </c>
      <c r="E139" s="3" t="s">
        <v>46</v>
      </c>
      <c r="F139" s="12">
        <v>253.09440000000004</v>
      </c>
      <c r="G139" s="6">
        <v>445</v>
      </c>
      <c r="H139" s="12">
        <f>tbl_base_ni_ri[[#This Row],[ni_total]]+tbl_base_ni_ri[[#This Row],[ri_total]]</f>
        <v>698.09440000000006</v>
      </c>
      <c r="I139" s="6" t="str">
        <f t="shared" si="2"/>
        <v>OK</v>
      </c>
      <c r="J139" s="7"/>
    </row>
    <row r="140" spans="1:10">
      <c r="A140" s="5">
        <v>2033</v>
      </c>
      <c r="B140" s="3" t="s">
        <v>47</v>
      </c>
      <c r="C140" s="6" t="s">
        <v>76</v>
      </c>
      <c r="D140" s="3" t="s">
        <v>45</v>
      </c>
      <c r="E140" s="3" t="s">
        <v>46</v>
      </c>
      <c r="F140" s="12">
        <v>263.21817600000003</v>
      </c>
      <c r="G140" s="6">
        <v>449</v>
      </c>
      <c r="H140" s="12">
        <f>tbl_base_ni_ri[[#This Row],[ni_total]]+tbl_base_ni_ri[[#This Row],[ri_total]]</f>
        <v>712.21817600000008</v>
      </c>
      <c r="I140" s="6" t="str">
        <f t="shared" si="2"/>
        <v>OK</v>
      </c>
      <c r="J140" s="7"/>
    </row>
    <row r="141" spans="1:10">
      <c r="A141" s="5">
        <v>2034</v>
      </c>
      <c r="B141" s="3" t="s">
        <v>47</v>
      </c>
      <c r="C141" s="6" t="s">
        <v>76</v>
      </c>
      <c r="D141" s="3" t="s">
        <v>45</v>
      </c>
      <c r="E141" s="3" t="s">
        <v>46</v>
      </c>
      <c r="F141" s="12">
        <v>271.11472128000003</v>
      </c>
      <c r="G141" s="6">
        <v>453</v>
      </c>
      <c r="H141" s="12">
        <f>tbl_base_ni_ri[[#This Row],[ni_total]]+tbl_base_ni_ri[[#This Row],[ri_total]]</f>
        <v>724.11472128000003</v>
      </c>
      <c r="I141" s="6" t="str">
        <f t="shared" si="2"/>
        <v>OK</v>
      </c>
      <c r="J141" s="7"/>
    </row>
    <row r="142" spans="1:10">
      <c r="A142" s="5">
        <v>2035</v>
      </c>
      <c r="B142" s="3" t="s">
        <v>47</v>
      </c>
      <c r="C142" s="6" t="s">
        <v>76</v>
      </c>
      <c r="D142" s="3" t="s">
        <v>45</v>
      </c>
      <c r="E142" s="3" t="s">
        <v>46</v>
      </c>
      <c r="F142" s="12">
        <v>279.24816291840006</v>
      </c>
      <c r="G142" s="6">
        <v>459</v>
      </c>
      <c r="H142" s="12">
        <f>tbl_base_ni_ri[[#This Row],[ni_total]]+tbl_base_ni_ri[[#This Row],[ri_total]]</f>
        <v>738.24816291840011</v>
      </c>
      <c r="I142" s="6" t="str">
        <f t="shared" si="2"/>
        <v>OK</v>
      </c>
      <c r="J142" s="7"/>
    </row>
    <row r="143" spans="1:10">
      <c r="A143" s="5">
        <v>2036</v>
      </c>
      <c r="B143" s="3" t="s">
        <v>47</v>
      </c>
      <c r="C143" s="6" t="s">
        <v>76</v>
      </c>
      <c r="D143" s="3" t="s">
        <v>45</v>
      </c>
      <c r="E143" s="3" t="s">
        <v>46</v>
      </c>
      <c r="F143" s="12">
        <v>287.62560780595209</v>
      </c>
      <c r="G143" s="6">
        <v>467</v>
      </c>
      <c r="H143" s="12">
        <f>tbl_base_ni_ri[[#This Row],[ni_total]]+tbl_base_ni_ri[[#This Row],[ri_total]]</f>
        <v>754.62560780595209</v>
      </c>
      <c r="I143" s="6" t="str">
        <f t="shared" si="2"/>
        <v>OK</v>
      </c>
      <c r="J143" s="7"/>
    </row>
    <row r="144" spans="1:10">
      <c r="A144" s="5">
        <v>2037</v>
      </c>
      <c r="B144" s="3" t="s">
        <v>47</v>
      </c>
      <c r="C144" s="6" t="s">
        <v>76</v>
      </c>
      <c r="D144" s="3" t="s">
        <v>45</v>
      </c>
      <c r="E144" s="3" t="s">
        <v>46</v>
      </c>
      <c r="F144" s="12">
        <v>290.55938900557277</v>
      </c>
      <c r="G144" s="6">
        <v>478</v>
      </c>
      <c r="H144" s="12">
        <f>tbl_base_ni_ri[[#This Row],[ni_total]]+tbl_base_ni_ri[[#This Row],[ri_total]]</f>
        <v>768.55938900557271</v>
      </c>
      <c r="I144" s="6" t="str">
        <f t="shared" si="2"/>
        <v>OK</v>
      </c>
      <c r="J144" s="7"/>
    </row>
    <row r="145" spans="1:10">
      <c r="A145" s="5">
        <v>2038</v>
      </c>
      <c r="B145" s="3" t="s">
        <v>47</v>
      </c>
      <c r="C145" s="6" t="s">
        <v>76</v>
      </c>
      <c r="D145" s="3" t="s">
        <v>45</v>
      </c>
      <c r="E145" s="3" t="s">
        <v>46</v>
      </c>
      <c r="F145" s="12">
        <v>293.52309477342959</v>
      </c>
      <c r="G145" s="6">
        <v>489</v>
      </c>
      <c r="H145" s="12">
        <f>tbl_base_ni_ri[[#This Row],[ni_total]]+tbl_base_ni_ri[[#This Row],[ri_total]]</f>
        <v>782.52309477342965</v>
      </c>
      <c r="I145" s="6" t="str">
        <f t="shared" si="2"/>
        <v>OK</v>
      </c>
      <c r="J145" s="7"/>
    </row>
    <row r="146" spans="1:10">
      <c r="A146" s="5">
        <v>2039</v>
      </c>
      <c r="B146" s="3" t="s">
        <v>47</v>
      </c>
      <c r="C146" s="6" t="s">
        <v>76</v>
      </c>
      <c r="D146" s="3" t="s">
        <v>45</v>
      </c>
      <c r="E146" s="3" t="s">
        <v>46</v>
      </c>
      <c r="F146" s="12">
        <v>296.51703034011859</v>
      </c>
      <c r="G146" s="6">
        <v>504</v>
      </c>
      <c r="H146" s="12">
        <f>tbl_base_ni_ri[[#This Row],[ni_total]]+tbl_base_ni_ri[[#This Row],[ri_total]]</f>
        <v>800.51703034011859</v>
      </c>
      <c r="I146" s="6" t="str">
        <f t="shared" si="2"/>
        <v>OK</v>
      </c>
      <c r="J146" s="7"/>
    </row>
    <row r="147" spans="1:10">
      <c r="A147" s="5">
        <v>2040</v>
      </c>
      <c r="B147" s="3" t="s">
        <v>47</v>
      </c>
      <c r="C147" s="6" t="s">
        <v>76</v>
      </c>
      <c r="D147" s="3" t="s">
        <v>45</v>
      </c>
      <c r="E147" s="3" t="s">
        <v>46</v>
      </c>
      <c r="F147" s="12">
        <v>299.54150404958779</v>
      </c>
      <c r="G147" s="6">
        <v>570</v>
      </c>
      <c r="H147" s="12">
        <f>tbl_base_ni_ri[[#This Row],[ni_total]]+tbl_base_ni_ri[[#This Row],[ri_total]]</f>
        <v>869.54150404958773</v>
      </c>
      <c r="I147" s="6" t="str">
        <f t="shared" si="2"/>
        <v>OK</v>
      </c>
      <c r="J147" s="7"/>
    </row>
    <row r="148" spans="1:10">
      <c r="A148" s="5">
        <v>2030</v>
      </c>
      <c r="B148" s="3" t="s">
        <v>47</v>
      </c>
      <c r="C148" s="6" t="s">
        <v>77</v>
      </c>
      <c r="D148" s="3" t="s">
        <v>45</v>
      </c>
      <c r="E148" s="3" t="s">
        <v>46</v>
      </c>
      <c r="F148" s="12">
        <v>320.17</v>
      </c>
      <c r="G148" s="6">
        <v>525</v>
      </c>
      <c r="H148" s="12">
        <f>tbl_base_ni_ri[[#This Row],[ni_total]]+tbl_base_ni_ri[[#This Row],[ri_total]]</f>
        <v>845.17000000000007</v>
      </c>
      <c r="I148" s="6" t="str">
        <f t="shared" si="2"/>
        <v>OK</v>
      </c>
      <c r="J148" s="7"/>
    </row>
    <row r="149" spans="1:10">
      <c r="A149" s="5">
        <v>2031</v>
      </c>
      <c r="B149" s="3" t="s">
        <v>47</v>
      </c>
      <c r="C149" s="6" t="s">
        <v>77</v>
      </c>
      <c r="D149" s="3" t="s">
        <v>45</v>
      </c>
      <c r="E149" s="3" t="s">
        <v>46</v>
      </c>
      <c r="F149" s="12">
        <v>323.37170000000003</v>
      </c>
      <c r="G149" s="6">
        <v>535</v>
      </c>
      <c r="H149" s="12">
        <f>tbl_base_ni_ri[[#This Row],[ni_total]]+tbl_base_ni_ri[[#This Row],[ri_total]]</f>
        <v>858.37170000000003</v>
      </c>
      <c r="I149" s="6" t="str">
        <f t="shared" si="2"/>
        <v>OK</v>
      </c>
      <c r="J149" s="7"/>
    </row>
    <row r="150" spans="1:10">
      <c r="A150" s="5">
        <v>2032</v>
      </c>
      <c r="B150" s="3" t="s">
        <v>47</v>
      </c>
      <c r="C150" s="6" t="s">
        <v>77</v>
      </c>
      <c r="D150" s="3" t="s">
        <v>45</v>
      </c>
      <c r="E150" s="3" t="s">
        <v>46</v>
      </c>
      <c r="F150" s="12">
        <v>326.60541700000005</v>
      </c>
      <c r="G150" s="6">
        <v>547</v>
      </c>
      <c r="H150" s="12">
        <f>tbl_base_ni_ri[[#This Row],[ni_total]]+tbl_base_ni_ri[[#This Row],[ri_total]]</f>
        <v>873.60541699999999</v>
      </c>
      <c r="I150" s="6" t="str">
        <f t="shared" si="2"/>
        <v>OK</v>
      </c>
      <c r="J150" s="7"/>
    </row>
    <row r="151" spans="1:10">
      <c r="A151" s="5">
        <v>2033</v>
      </c>
      <c r="B151" s="3" t="s">
        <v>47</v>
      </c>
      <c r="C151" s="6" t="s">
        <v>77</v>
      </c>
      <c r="D151" s="3" t="s">
        <v>45</v>
      </c>
      <c r="E151" s="3" t="s">
        <v>46</v>
      </c>
      <c r="F151" s="12">
        <v>329.87147117000006</v>
      </c>
      <c r="G151" s="6">
        <v>559</v>
      </c>
      <c r="H151" s="12">
        <f>tbl_base_ni_ri[[#This Row],[ni_total]]+tbl_base_ni_ri[[#This Row],[ri_total]]</f>
        <v>888.87147117000006</v>
      </c>
      <c r="I151" s="6" t="str">
        <f t="shared" si="2"/>
        <v>OK</v>
      </c>
      <c r="J151" s="7"/>
    </row>
    <row r="152" spans="1:10">
      <c r="A152" s="5">
        <v>2034</v>
      </c>
      <c r="B152" s="3" t="s">
        <v>47</v>
      </c>
      <c r="C152" s="6" t="s">
        <v>77</v>
      </c>
      <c r="D152" s="3" t="s">
        <v>45</v>
      </c>
      <c r="E152" s="3" t="s">
        <v>46</v>
      </c>
      <c r="F152" s="12">
        <v>332.51044293936008</v>
      </c>
      <c r="G152" s="6">
        <v>567</v>
      </c>
      <c r="H152" s="12">
        <f>tbl_base_ni_ri[[#This Row],[ni_total]]+tbl_base_ni_ri[[#This Row],[ri_total]]</f>
        <v>899.51044293936002</v>
      </c>
      <c r="I152" s="6" t="str">
        <f t="shared" si="2"/>
        <v>OK</v>
      </c>
      <c r="J152" s="7"/>
    </row>
    <row r="153" spans="1:10">
      <c r="A153" s="5">
        <v>2035</v>
      </c>
      <c r="B153" s="3" t="s">
        <v>47</v>
      </c>
      <c r="C153" s="6" t="s">
        <v>77</v>
      </c>
      <c r="D153" s="3" t="s">
        <v>45</v>
      </c>
      <c r="E153" s="3" t="s">
        <v>46</v>
      </c>
      <c r="F153" s="12">
        <v>335.17052648287495</v>
      </c>
      <c r="G153" s="6">
        <v>578</v>
      </c>
      <c r="H153" s="12">
        <f>tbl_base_ni_ri[[#This Row],[ni_total]]+tbl_base_ni_ri[[#This Row],[ri_total]]</f>
        <v>913.17052648287495</v>
      </c>
      <c r="I153" s="6" t="str">
        <f t="shared" si="2"/>
        <v>OK</v>
      </c>
      <c r="J153" s="7"/>
    </row>
    <row r="154" spans="1:10">
      <c r="A154" s="5">
        <v>2036</v>
      </c>
      <c r="B154" s="3" t="s">
        <v>47</v>
      </c>
      <c r="C154" s="6" t="s">
        <v>77</v>
      </c>
      <c r="D154" s="3" t="s">
        <v>45</v>
      </c>
      <c r="E154" s="3" t="s">
        <v>46</v>
      </c>
      <c r="F154" s="12">
        <v>337.85189069473796</v>
      </c>
      <c r="G154" s="6">
        <v>585</v>
      </c>
      <c r="H154" s="12">
        <f>tbl_base_ni_ri[[#This Row],[ni_total]]+tbl_base_ni_ri[[#This Row],[ri_total]]</f>
        <v>922.8518906947379</v>
      </c>
      <c r="I154" s="6" t="str">
        <f t="shared" si="2"/>
        <v>OK</v>
      </c>
      <c r="J154" s="7"/>
    </row>
    <row r="155" spans="1:10">
      <c r="A155" s="5">
        <v>2037</v>
      </c>
      <c r="B155" s="3" t="s">
        <v>47</v>
      </c>
      <c r="C155" s="6" t="s">
        <v>77</v>
      </c>
      <c r="D155" s="3" t="s">
        <v>45</v>
      </c>
      <c r="E155" s="3" t="s">
        <v>46</v>
      </c>
      <c r="F155" s="12">
        <v>340.89255771099056</v>
      </c>
      <c r="G155" s="6">
        <v>594</v>
      </c>
      <c r="H155" s="12">
        <f>tbl_base_ni_ri[[#This Row],[ni_total]]+tbl_base_ni_ri[[#This Row],[ri_total]]</f>
        <v>934.89255771099056</v>
      </c>
      <c r="I155" s="6" t="str">
        <f t="shared" si="2"/>
        <v>OK</v>
      </c>
      <c r="J155" s="7"/>
    </row>
    <row r="156" spans="1:10">
      <c r="A156" s="5">
        <v>2038</v>
      </c>
      <c r="B156" s="3" t="s">
        <v>47</v>
      </c>
      <c r="C156" s="6" t="s">
        <v>77</v>
      </c>
      <c r="D156" s="3" t="s">
        <v>45</v>
      </c>
      <c r="E156" s="3" t="s">
        <v>46</v>
      </c>
      <c r="F156" s="12">
        <v>343.96059073038941</v>
      </c>
      <c r="G156" s="6">
        <v>603</v>
      </c>
      <c r="H156" s="12">
        <f>tbl_base_ni_ri[[#This Row],[ni_total]]+tbl_base_ni_ri[[#This Row],[ri_total]]</f>
        <v>946.96059073038941</v>
      </c>
      <c r="I156" s="6" t="str">
        <f t="shared" si="2"/>
        <v>OK</v>
      </c>
      <c r="J156" s="7"/>
    </row>
    <row r="157" spans="1:10">
      <c r="A157" s="5">
        <v>2039</v>
      </c>
      <c r="B157" s="3" t="s">
        <v>47</v>
      </c>
      <c r="C157" s="6" t="s">
        <v>77</v>
      </c>
      <c r="D157" s="3" t="s">
        <v>45</v>
      </c>
      <c r="E157" s="3" t="s">
        <v>46</v>
      </c>
      <c r="F157" s="12">
        <v>347.05623604696291</v>
      </c>
      <c r="G157" s="6">
        <v>614</v>
      </c>
      <c r="H157" s="12">
        <f>tbl_base_ni_ri[[#This Row],[ni_total]]+tbl_base_ni_ri[[#This Row],[ri_total]]</f>
        <v>961.05623604696291</v>
      </c>
      <c r="I157" s="6" t="str">
        <f t="shared" si="2"/>
        <v>OK</v>
      </c>
      <c r="J157" s="7"/>
    </row>
    <row r="158" spans="1:10">
      <c r="A158" s="5">
        <v>2040</v>
      </c>
      <c r="B158" s="3" t="s">
        <v>47</v>
      </c>
      <c r="C158" s="6" t="s">
        <v>77</v>
      </c>
      <c r="D158" s="3" t="s">
        <v>45</v>
      </c>
      <c r="E158" s="3" t="s">
        <v>46</v>
      </c>
      <c r="F158" s="12">
        <v>350.17974217138556</v>
      </c>
      <c r="G158" s="6">
        <v>665</v>
      </c>
      <c r="H158" s="12">
        <f>tbl_base_ni_ri[[#This Row],[ni_total]]+tbl_base_ni_ri[[#This Row],[ri_total]]</f>
        <v>1015.1797421713856</v>
      </c>
      <c r="I158" s="6" t="str">
        <f t="shared" si="2"/>
        <v>OK</v>
      </c>
      <c r="J158" s="7"/>
    </row>
    <row r="159" spans="1:10">
      <c r="A159" s="5">
        <v>2030</v>
      </c>
      <c r="B159" s="3" t="s">
        <v>47</v>
      </c>
      <c r="C159" s="6" t="s">
        <v>78</v>
      </c>
      <c r="D159" s="3" t="s">
        <v>45</v>
      </c>
      <c r="E159" s="3" t="s">
        <v>46</v>
      </c>
      <c r="F159" s="12">
        <v>656.24</v>
      </c>
      <c r="G159" s="6">
        <v>1115</v>
      </c>
      <c r="H159" s="12">
        <f>tbl_base_ni_ri[[#This Row],[ni_total]]+tbl_base_ni_ri[[#This Row],[ri_total]]</f>
        <v>1771.24</v>
      </c>
      <c r="I159" s="6" t="str">
        <f t="shared" si="2"/>
        <v>OK</v>
      </c>
      <c r="J159" s="7"/>
    </row>
    <row r="160" spans="1:10">
      <c r="A160" s="5">
        <v>2031</v>
      </c>
      <c r="B160" s="3" t="s">
        <v>47</v>
      </c>
      <c r="C160" s="6" t="s">
        <v>78</v>
      </c>
      <c r="D160" s="3" t="s">
        <v>45</v>
      </c>
      <c r="E160" s="3" t="s">
        <v>46</v>
      </c>
      <c r="F160" s="12">
        <v>682.4896</v>
      </c>
      <c r="G160" s="6">
        <v>1232</v>
      </c>
      <c r="H160" s="12">
        <f>tbl_base_ni_ri[[#This Row],[ni_total]]+tbl_base_ni_ri[[#This Row],[ri_total]]</f>
        <v>1914.4895999999999</v>
      </c>
      <c r="I160" s="6" t="str">
        <f t="shared" si="2"/>
        <v>OK</v>
      </c>
      <c r="J160" s="7"/>
    </row>
    <row r="161" spans="1:10">
      <c r="A161" s="5">
        <v>2032</v>
      </c>
      <c r="B161" s="3" t="s">
        <v>47</v>
      </c>
      <c r="C161" s="6" t="s">
        <v>78</v>
      </c>
      <c r="D161" s="3" t="s">
        <v>45</v>
      </c>
      <c r="E161" s="3" t="s">
        <v>46</v>
      </c>
      <c r="F161" s="12">
        <v>709.78918399999998</v>
      </c>
      <c r="G161" s="6">
        <v>1287</v>
      </c>
      <c r="H161" s="12">
        <f>tbl_base_ni_ri[[#This Row],[ni_total]]+tbl_base_ni_ri[[#This Row],[ri_total]]</f>
        <v>1996.789184</v>
      </c>
      <c r="I161" s="6" t="str">
        <f t="shared" si="2"/>
        <v>OK</v>
      </c>
      <c r="J161" s="7"/>
    </row>
    <row r="162" spans="1:10">
      <c r="A162" s="5">
        <v>2033</v>
      </c>
      <c r="B162" s="3" t="s">
        <v>47</v>
      </c>
      <c r="C162" s="6" t="s">
        <v>78</v>
      </c>
      <c r="D162" s="3" t="s">
        <v>45</v>
      </c>
      <c r="E162" s="3" t="s">
        <v>46</v>
      </c>
      <c r="F162" s="12">
        <v>738.18075136000004</v>
      </c>
      <c r="G162" s="6">
        <v>1345</v>
      </c>
      <c r="H162" s="12">
        <f>tbl_base_ni_ri[[#This Row],[ni_total]]+tbl_base_ni_ri[[#This Row],[ri_total]]</f>
        <v>2083.1807513600002</v>
      </c>
      <c r="I162" s="6" t="str">
        <f t="shared" si="2"/>
        <v>OK</v>
      </c>
      <c r="J162" s="7"/>
    </row>
    <row r="163" spans="1:10">
      <c r="A163" s="5">
        <v>2034</v>
      </c>
      <c r="B163" s="3" t="s">
        <v>47</v>
      </c>
      <c r="C163" s="6" t="s">
        <v>78</v>
      </c>
      <c r="D163" s="3" t="s">
        <v>45</v>
      </c>
      <c r="E163" s="3" t="s">
        <v>46</v>
      </c>
      <c r="F163" s="12">
        <v>760.32617390080009</v>
      </c>
      <c r="G163" s="6">
        <v>1387</v>
      </c>
      <c r="H163" s="12">
        <f>tbl_base_ni_ri[[#This Row],[ni_total]]+tbl_base_ni_ri[[#This Row],[ri_total]]</f>
        <v>2147.3261739008003</v>
      </c>
      <c r="I163" s="6" t="str">
        <f t="shared" si="2"/>
        <v>OK</v>
      </c>
      <c r="J163" s="7"/>
    </row>
    <row r="164" spans="1:10">
      <c r="A164" s="5">
        <v>2035</v>
      </c>
      <c r="B164" s="3" t="s">
        <v>47</v>
      </c>
      <c r="C164" s="6" t="s">
        <v>78</v>
      </c>
      <c r="D164" s="3" t="s">
        <v>45</v>
      </c>
      <c r="E164" s="3" t="s">
        <v>46</v>
      </c>
      <c r="F164" s="12">
        <v>783.13595911782409</v>
      </c>
      <c r="G164" s="6">
        <v>1478</v>
      </c>
      <c r="H164" s="12">
        <f>tbl_base_ni_ri[[#This Row],[ni_total]]+tbl_base_ni_ri[[#This Row],[ri_total]]</f>
        <v>2261.1359591178243</v>
      </c>
      <c r="I164" s="6" t="str">
        <f t="shared" si="2"/>
        <v>OK</v>
      </c>
      <c r="J164" s="7"/>
    </row>
    <row r="165" spans="1:10">
      <c r="A165" s="5">
        <v>2036</v>
      </c>
      <c r="B165" s="3" t="s">
        <v>47</v>
      </c>
      <c r="C165" s="6" t="s">
        <v>78</v>
      </c>
      <c r="D165" s="3" t="s">
        <v>45</v>
      </c>
      <c r="E165" s="3" t="s">
        <v>46</v>
      </c>
      <c r="F165" s="12">
        <v>806.63003789135882</v>
      </c>
      <c r="G165" s="6">
        <v>1523</v>
      </c>
      <c r="H165" s="12">
        <f>tbl_base_ni_ri[[#This Row],[ni_total]]+tbl_base_ni_ri[[#This Row],[ri_total]]</f>
        <v>2329.6300378913588</v>
      </c>
      <c r="I165" s="6" t="str">
        <f t="shared" si="2"/>
        <v>OK</v>
      </c>
      <c r="J165" s="7"/>
    </row>
    <row r="166" spans="1:10">
      <c r="A166" s="5">
        <v>2037</v>
      </c>
      <c r="B166" s="3" t="s">
        <v>47</v>
      </c>
      <c r="C166" s="6" t="s">
        <v>78</v>
      </c>
      <c r="D166" s="3" t="s">
        <v>45</v>
      </c>
      <c r="E166" s="3" t="s">
        <v>46</v>
      </c>
      <c r="F166" s="12">
        <v>817.358217395314</v>
      </c>
      <c r="G166" s="6">
        <v>1567</v>
      </c>
      <c r="H166" s="12">
        <f>tbl_base_ni_ri[[#This Row],[ni_total]]+tbl_base_ni_ri[[#This Row],[ri_total]]</f>
        <v>2384.3582173953141</v>
      </c>
      <c r="I166" s="6" t="str">
        <f t="shared" si="2"/>
        <v>OK</v>
      </c>
      <c r="J166" s="7"/>
    </row>
    <row r="167" spans="1:10">
      <c r="A167" s="5">
        <v>2038</v>
      </c>
      <c r="B167" s="3" t="s">
        <v>47</v>
      </c>
      <c r="C167" s="6" t="s">
        <v>78</v>
      </c>
      <c r="D167" s="3" t="s">
        <v>45</v>
      </c>
      <c r="E167" s="3" t="s">
        <v>46</v>
      </c>
      <c r="F167" s="12">
        <v>828.22908168667175</v>
      </c>
      <c r="G167" s="6">
        <v>1577</v>
      </c>
      <c r="H167" s="12">
        <f>tbl_base_ni_ri[[#This Row],[ni_total]]+tbl_base_ni_ri[[#This Row],[ri_total]]</f>
        <v>2405.2290816866716</v>
      </c>
      <c r="I167" s="6" t="str">
        <f t="shared" si="2"/>
        <v>OK</v>
      </c>
      <c r="J167" s="7"/>
    </row>
    <row r="168" spans="1:10">
      <c r="A168" s="5">
        <v>2039</v>
      </c>
      <c r="B168" s="3" t="s">
        <v>47</v>
      </c>
      <c r="C168" s="6" t="s">
        <v>78</v>
      </c>
      <c r="D168" s="3" t="s">
        <v>45</v>
      </c>
      <c r="E168" s="3" t="s">
        <v>46</v>
      </c>
      <c r="F168" s="12">
        <v>839.24452847310454</v>
      </c>
      <c r="G168" s="6">
        <v>1587</v>
      </c>
      <c r="H168" s="12">
        <f>tbl_base_ni_ri[[#This Row],[ni_total]]+tbl_base_ni_ri[[#This Row],[ri_total]]</f>
        <v>2426.2445284731048</v>
      </c>
      <c r="I168" s="6" t="str">
        <f t="shared" si="2"/>
        <v>OK</v>
      </c>
      <c r="J168" s="7"/>
    </row>
    <row r="169" spans="1:10">
      <c r="A169" s="5">
        <v>2040</v>
      </c>
      <c r="B169" s="3" t="s">
        <v>47</v>
      </c>
      <c r="C169" s="6" t="s">
        <v>78</v>
      </c>
      <c r="D169" s="3" t="s">
        <v>45</v>
      </c>
      <c r="E169" s="3" t="s">
        <v>46</v>
      </c>
      <c r="F169" s="12">
        <v>850</v>
      </c>
      <c r="G169" s="6">
        <v>1600</v>
      </c>
      <c r="H169" s="12">
        <f>tbl_base_ni_ri[[#This Row],[ni_total]]+tbl_base_ni_ri[[#This Row],[ri_total]]</f>
        <v>2450</v>
      </c>
      <c r="I169" s="6" t="str">
        <f t="shared" si="2"/>
        <v>OK</v>
      </c>
      <c r="J169" s="7"/>
    </row>
    <row r="170" spans="1:10">
      <c r="A170" s="5">
        <v>2030</v>
      </c>
      <c r="B170" s="3" t="s">
        <v>47</v>
      </c>
      <c r="C170" s="6" t="s">
        <v>79</v>
      </c>
      <c r="D170" s="3" t="s">
        <v>45</v>
      </c>
      <c r="E170" s="3" t="s">
        <v>46</v>
      </c>
      <c r="F170" s="12">
        <v>0</v>
      </c>
      <c r="G170" s="6">
        <v>43</v>
      </c>
      <c r="H170" s="12">
        <f>tbl_base_ni_ri[[#This Row],[ni_total]]+tbl_base_ni_ri[[#This Row],[ri_total]]</f>
        <v>43</v>
      </c>
      <c r="I170" s="6" t="str">
        <f t="shared" si="2"/>
        <v>OK</v>
      </c>
      <c r="J170" s="7"/>
    </row>
    <row r="171" spans="1:10">
      <c r="A171" s="5">
        <v>2031</v>
      </c>
      <c r="B171" s="3" t="s">
        <v>47</v>
      </c>
      <c r="C171" s="6" t="s">
        <v>79</v>
      </c>
      <c r="D171" s="3" t="s">
        <v>45</v>
      </c>
      <c r="E171" s="3" t="s">
        <v>46</v>
      </c>
      <c r="F171" s="12">
        <v>0</v>
      </c>
      <c r="G171" s="6">
        <v>0</v>
      </c>
      <c r="H171" s="12">
        <f>tbl_base_ni_ri[[#This Row],[ni_total]]+tbl_base_ni_ri[[#This Row],[ri_total]]</f>
        <v>0</v>
      </c>
      <c r="I171" s="6" t="str">
        <f t="shared" si="2"/>
        <v>OK</v>
      </c>
      <c r="J171" s="7"/>
    </row>
    <row r="172" spans="1:10">
      <c r="A172" s="5">
        <v>2032</v>
      </c>
      <c r="B172" s="3" t="s">
        <v>47</v>
      </c>
      <c r="C172" s="6" t="s">
        <v>79</v>
      </c>
      <c r="D172" s="3" t="s">
        <v>45</v>
      </c>
      <c r="E172" s="3" t="s">
        <v>46</v>
      </c>
      <c r="F172" s="12">
        <v>0</v>
      </c>
      <c r="G172" s="6">
        <v>0</v>
      </c>
      <c r="H172" s="12">
        <f>tbl_base_ni_ri[[#This Row],[ni_total]]+tbl_base_ni_ri[[#This Row],[ri_total]]</f>
        <v>0</v>
      </c>
      <c r="I172" s="6" t="str">
        <f t="shared" si="2"/>
        <v>OK</v>
      </c>
      <c r="J172" s="7"/>
    </row>
    <row r="173" spans="1:10">
      <c r="A173" s="5">
        <v>2033</v>
      </c>
      <c r="B173" s="3" t="s">
        <v>47</v>
      </c>
      <c r="C173" s="6" t="s">
        <v>79</v>
      </c>
      <c r="D173" s="3" t="s">
        <v>45</v>
      </c>
      <c r="E173" s="3" t="s">
        <v>46</v>
      </c>
      <c r="F173" s="12">
        <v>0</v>
      </c>
      <c r="G173" s="6">
        <v>0</v>
      </c>
      <c r="H173" s="12">
        <f>tbl_base_ni_ri[[#This Row],[ni_total]]+tbl_base_ni_ri[[#This Row],[ri_total]]</f>
        <v>0</v>
      </c>
      <c r="I173" s="6" t="str">
        <f t="shared" si="2"/>
        <v>OK</v>
      </c>
      <c r="J173" s="7"/>
    </row>
    <row r="174" spans="1:10">
      <c r="A174" s="5">
        <v>2034</v>
      </c>
      <c r="B174" s="3" t="s">
        <v>47</v>
      </c>
      <c r="C174" s="6" t="s">
        <v>79</v>
      </c>
      <c r="D174" s="3" t="s">
        <v>45</v>
      </c>
      <c r="E174" s="3" t="s">
        <v>46</v>
      </c>
      <c r="F174" s="12">
        <v>0</v>
      </c>
      <c r="G174" s="6">
        <v>0</v>
      </c>
      <c r="H174" s="12">
        <f>tbl_base_ni_ri[[#This Row],[ni_total]]+tbl_base_ni_ri[[#This Row],[ri_total]]</f>
        <v>0</v>
      </c>
      <c r="I174" s="6" t="str">
        <f t="shared" si="2"/>
        <v>OK</v>
      </c>
      <c r="J174" s="7"/>
    </row>
    <row r="175" spans="1:10">
      <c r="A175" s="5">
        <v>2035</v>
      </c>
      <c r="B175" s="3" t="s">
        <v>47</v>
      </c>
      <c r="C175" s="6" t="s">
        <v>79</v>
      </c>
      <c r="D175" s="3" t="s">
        <v>45</v>
      </c>
      <c r="E175" s="3" t="s">
        <v>46</v>
      </c>
      <c r="F175" s="12">
        <v>0</v>
      </c>
      <c r="G175" s="6">
        <v>0</v>
      </c>
      <c r="H175" s="12">
        <f>tbl_base_ni_ri[[#This Row],[ni_total]]+tbl_base_ni_ri[[#This Row],[ri_total]]</f>
        <v>0</v>
      </c>
      <c r="I175" s="6" t="str">
        <f t="shared" si="2"/>
        <v>OK</v>
      </c>
      <c r="J175" s="7"/>
    </row>
    <row r="176" spans="1:10">
      <c r="A176" s="5">
        <v>2036</v>
      </c>
      <c r="B176" s="3" t="s">
        <v>47</v>
      </c>
      <c r="C176" s="6" t="s">
        <v>79</v>
      </c>
      <c r="D176" s="3" t="s">
        <v>45</v>
      </c>
      <c r="E176" s="3" t="s">
        <v>46</v>
      </c>
      <c r="F176" s="12">
        <v>0</v>
      </c>
      <c r="G176" s="6">
        <v>0</v>
      </c>
      <c r="H176" s="12">
        <f>tbl_base_ni_ri[[#This Row],[ni_total]]+tbl_base_ni_ri[[#This Row],[ri_total]]</f>
        <v>0</v>
      </c>
      <c r="I176" s="6" t="str">
        <f t="shared" si="2"/>
        <v>OK</v>
      </c>
      <c r="J176" s="7"/>
    </row>
    <row r="177" spans="1:10">
      <c r="A177" s="5">
        <v>2037</v>
      </c>
      <c r="B177" s="3" t="s">
        <v>47</v>
      </c>
      <c r="C177" s="6" t="s">
        <v>79</v>
      </c>
      <c r="D177" s="3" t="s">
        <v>45</v>
      </c>
      <c r="E177" s="3" t="s">
        <v>46</v>
      </c>
      <c r="F177" s="12">
        <v>0</v>
      </c>
      <c r="G177" s="6">
        <v>0</v>
      </c>
      <c r="H177" s="12">
        <f>tbl_base_ni_ri[[#This Row],[ni_total]]+tbl_base_ni_ri[[#This Row],[ri_total]]</f>
        <v>0</v>
      </c>
      <c r="I177" s="6" t="str">
        <f t="shared" si="2"/>
        <v>OK</v>
      </c>
      <c r="J177" s="7"/>
    </row>
    <row r="178" spans="1:10">
      <c r="A178" s="5">
        <v>2038</v>
      </c>
      <c r="B178" s="3" t="s">
        <v>47</v>
      </c>
      <c r="C178" s="6" t="s">
        <v>79</v>
      </c>
      <c r="D178" s="3" t="s">
        <v>45</v>
      </c>
      <c r="E178" s="3" t="s">
        <v>46</v>
      </c>
      <c r="F178" s="12">
        <v>0</v>
      </c>
      <c r="G178" s="6">
        <v>0</v>
      </c>
      <c r="H178" s="12">
        <f>tbl_base_ni_ri[[#This Row],[ni_total]]+tbl_base_ni_ri[[#This Row],[ri_total]]</f>
        <v>0</v>
      </c>
      <c r="I178" s="6" t="str">
        <f t="shared" si="2"/>
        <v>OK</v>
      </c>
      <c r="J178" s="7"/>
    </row>
    <row r="179" spans="1:10">
      <c r="A179" s="5">
        <v>2039</v>
      </c>
      <c r="B179" s="3" t="s">
        <v>47</v>
      </c>
      <c r="C179" s="6" t="s">
        <v>79</v>
      </c>
      <c r="D179" s="3" t="s">
        <v>45</v>
      </c>
      <c r="E179" s="3" t="s">
        <v>46</v>
      </c>
      <c r="F179" s="12">
        <v>0</v>
      </c>
      <c r="G179" s="6">
        <v>0</v>
      </c>
      <c r="H179" s="12">
        <f>tbl_base_ni_ri[[#This Row],[ni_total]]+tbl_base_ni_ri[[#This Row],[ri_total]]</f>
        <v>0</v>
      </c>
      <c r="I179" s="6" t="str">
        <f t="shared" si="2"/>
        <v>OK</v>
      </c>
      <c r="J179" s="7"/>
    </row>
    <row r="180" spans="1:10">
      <c r="A180" s="5">
        <v>2040</v>
      </c>
      <c r="B180" s="3" t="s">
        <v>47</v>
      </c>
      <c r="C180" s="6" t="s">
        <v>79</v>
      </c>
      <c r="D180" s="3" t="s">
        <v>45</v>
      </c>
      <c r="E180" s="3" t="s">
        <v>46</v>
      </c>
      <c r="F180" s="12">
        <v>0</v>
      </c>
      <c r="G180" s="6">
        <v>0</v>
      </c>
      <c r="H180" s="12">
        <f>tbl_base_ni_ri[[#This Row],[ni_total]]+tbl_base_ni_ri[[#This Row],[ri_total]]</f>
        <v>0</v>
      </c>
      <c r="I180" s="6" t="str">
        <f t="shared" si="2"/>
        <v>OK</v>
      </c>
      <c r="J180" s="7"/>
    </row>
    <row r="181" spans="1:10">
      <c r="A181" s="5">
        <v>2030</v>
      </c>
      <c r="B181" s="3" t="s">
        <v>47</v>
      </c>
      <c r="C181" s="6" t="s">
        <v>80</v>
      </c>
      <c r="D181" s="3" t="s">
        <v>45</v>
      </c>
      <c r="E181" s="3" t="s">
        <v>46</v>
      </c>
      <c r="F181" s="12">
        <v>168.3</v>
      </c>
      <c r="G181" s="6">
        <v>290</v>
      </c>
      <c r="H181" s="12">
        <f>tbl_base_ni_ri[[#This Row],[ni_total]]+tbl_base_ni_ri[[#This Row],[ri_total]]</f>
        <v>458.3</v>
      </c>
      <c r="I181" s="6" t="str">
        <f t="shared" si="2"/>
        <v>OK</v>
      </c>
      <c r="J181" s="7"/>
    </row>
    <row r="182" spans="1:10">
      <c r="A182" s="5">
        <v>2031</v>
      </c>
      <c r="B182" s="3" t="s">
        <v>47</v>
      </c>
      <c r="C182" s="6" t="s">
        <v>80</v>
      </c>
      <c r="D182" s="3" t="s">
        <v>45</v>
      </c>
      <c r="E182" s="3" t="s">
        <v>46</v>
      </c>
      <c r="F182" s="12">
        <v>171.66600000000003</v>
      </c>
      <c r="G182" s="6">
        <v>298</v>
      </c>
      <c r="H182" s="12">
        <f>tbl_base_ni_ri[[#This Row],[ni_total]]+tbl_base_ni_ri[[#This Row],[ri_total]]</f>
        <v>469.66600000000005</v>
      </c>
      <c r="I182" s="6" t="str">
        <f t="shared" si="2"/>
        <v>OK</v>
      </c>
      <c r="J182" s="7"/>
    </row>
    <row r="183" spans="1:10">
      <c r="A183" s="5">
        <v>2032</v>
      </c>
      <c r="B183" s="3" t="s">
        <v>47</v>
      </c>
      <c r="C183" s="6" t="s">
        <v>80</v>
      </c>
      <c r="D183" s="3" t="s">
        <v>45</v>
      </c>
      <c r="E183" s="3" t="s">
        <v>46</v>
      </c>
      <c r="F183" s="12">
        <v>175.09932000000003</v>
      </c>
      <c r="G183" s="6">
        <v>308</v>
      </c>
      <c r="H183" s="12">
        <f>tbl_base_ni_ri[[#This Row],[ni_total]]+tbl_base_ni_ri[[#This Row],[ri_total]]</f>
        <v>483.09932000000003</v>
      </c>
      <c r="I183" s="6" t="str">
        <f t="shared" si="2"/>
        <v>OK</v>
      </c>
      <c r="J183" s="7"/>
    </row>
    <row r="184" spans="1:10">
      <c r="A184" s="5">
        <v>2033</v>
      </c>
      <c r="B184" s="3" t="s">
        <v>47</v>
      </c>
      <c r="C184" s="6" t="s">
        <v>80</v>
      </c>
      <c r="D184" s="3" t="s">
        <v>45</v>
      </c>
      <c r="E184" s="3" t="s">
        <v>46</v>
      </c>
      <c r="F184" s="12">
        <v>178.60130640000003</v>
      </c>
      <c r="G184" s="6">
        <v>318</v>
      </c>
      <c r="H184" s="12">
        <f>tbl_base_ni_ri[[#This Row],[ni_total]]+tbl_base_ni_ri[[#This Row],[ri_total]]</f>
        <v>496.6013064</v>
      </c>
      <c r="I184" s="6" t="str">
        <f t="shared" si="2"/>
        <v>OK</v>
      </c>
      <c r="J184" s="7"/>
    </row>
    <row r="185" spans="1:10">
      <c r="A185" s="5">
        <v>2034</v>
      </c>
      <c r="B185" s="3" t="s">
        <v>47</v>
      </c>
      <c r="C185" s="6" t="s">
        <v>80</v>
      </c>
      <c r="D185" s="3" t="s">
        <v>45</v>
      </c>
      <c r="E185" s="3" t="s">
        <v>46</v>
      </c>
      <c r="F185" s="12">
        <v>182.17333252800003</v>
      </c>
      <c r="G185" s="6">
        <v>329</v>
      </c>
      <c r="H185" s="12">
        <f>tbl_base_ni_ri[[#This Row],[ni_total]]+tbl_base_ni_ri[[#This Row],[ri_total]]</f>
        <v>511.17333252800006</v>
      </c>
      <c r="I185" s="6" t="str">
        <f t="shared" si="2"/>
        <v>OK</v>
      </c>
      <c r="J185" s="7"/>
    </row>
    <row r="186" spans="1:10">
      <c r="A186" s="5">
        <v>2035</v>
      </c>
      <c r="B186" s="3" t="s">
        <v>47</v>
      </c>
      <c r="C186" s="6" t="s">
        <v>80</v>
      </c>
      <c r="D186" s="3" t="s">
        <v>45</v>
      </c>
      <c r="E186" s="3" t="s">
        <v>46</v>
      </c>
      <c r="F186" s="12">
        <v>185.81679917856005</v>
      </c>
      <c r="G186" s="6">
        <v>341</v>
      </c>
      <c r="H186" s="12">
        <f>tbl_base_ni_ri[[#This Row],[ni_total]]+tbl_base_ni_ri[[#This Row],[ri_total]]</f>
        <v>526.81679917856002</v>
      </c>
      <c r="I186" s="6" t="str">
        <f t="shared" si="2"/>
        <v>OK</v>
      </c>
      <c r="J186" s="7"/>
    </row>
    <row r="187" spans="1:10">
      <c r="A187" s="5">
        <v>2036</v>
      </c>
      <c r="B187" s="3" t="s">
        <v>47</v>
      </c>
      <c r="C187" s="6" t="s">
        <v>80</v>
      </c>
      <c r="D187" s="3" t="s">
        <v>45</v>
      </c>
      <c r="E187" s="3" t="s">
        <v>46</v>
      </c>
      <c r="F187" s="12">
        <v>189.53313516213126</v>
      </c>
      <c r="G187" s="6">
        <v>348</v>
      </c>
      <c r="H187" s="12">
        <f>tbl_base_ni_ri[[#This Row],[ni_total]]+tbl_base_ni_ri[[#This Row],[ri_total]]</f>
        <v>537.5331351621312</v>
      </c>
      <c r="I187" s="6" t="str">
        <f t="shared" si="2"/>
        <v>OK</v>
      </c>
      <c r="J187" s="7"/>
    </row>
    <row r="188" spans="1:10">
      <c r="A188" s="5">
        <v>2037</v>
      </c>
      <c r="B188" s="3" t="s">
        <v>47</v>
      </c>
      <c r="C188" s="6" t="s">
        <v>80</v>
      </c>
      <c r="D188" s="3" t="s">
        <v>45</v>
      </c>
      <c r="E188" s="3" t="s">
        <v>46</v>
      </c>
      <c r="F188" s="12">
        <v>191.99706591923893</v>
      </c>
      <c r="G188" s="6">
        <v>359</v>
      </c>
      <c r="H188" s="12">
        <f>tbl_base_ni_ri[[#This Row],[ni_total]]+tbl_base_ni_ri[[#This Row],[ri_total]]</f>
        <v>550.99706591923893</v>
      </c>
      <c r="I188" s="6" t="str">
        <f t="shared" si="2"/>
        <v>OK</v>
      </c>
      <c r="J188" s="7"/>
    </row>
    <row r="189" spans="1:10">
      <c r="A189" s="5">
        <v>2038</v>
      </c>
      <c r="B189" s="3" t="s">
        <v>47</v>
      </c>
      <c r="C189" s="6" t="s">
        <v>80</v>
      </c>
      <c r="D189" s="3" t="s">
        <v>45</v>
      </c>
      <c r="E189" s="3" t="s">
        <v>46</v>
      </c>
      <c r="F189" s="12">
        <v>194.49302777618902</v>
      </c>
      <c r="G189" s="6">
        <v>369</v>
      </c>
      <c r="H189" s="12">
        <f>tbl_base_ni_ri[[#This Row],[ni_total]]+tbl_base_ni_ri[[#This Row],[ri_total]]</f>
        <v>563.49302777618902</v>
      </c>
      <c r="I189" s="6" t="str">
        <f t="shared" si="2"/>
        <v>OK</v>
      </c>
      <c r="J189" s="7"/>
    </row>
    <row r="190" spans="1:10">
      <c r="A190" s="5">
        <v>2039</v>
      </c>
      <c r="B190" s="3" t="s">
        <v>47</v>
      </c>
      <c r="C190" s="6" t="s">
        <v>80</v>
      </c>
      <c r="D190" s="3" t="s">
        <v>45</v>
      </c>
      <c r="E190" s="3" t="s">
        <v>46</v>
      </c>
      <c r="F190" s="12">
        <v>197.02143713727946</v>
      </c>
      <c r="G190" s="6">
        <v>381</v>
      </c>
      <c r="H190" s="12">
        <f>tbl_base_ni_ri[[#This Row],[ni_total]]+tbl_base_ni_ri[[#This Row],[ri_total]]</f>
        <v>578.02143713727946</v>
      </c>
      <c r="I190" s="6" t="str">
        <f t="shared" si="2"/>
        <v>OK</v>
      </c>
      <c r="J190" s="7"/>
    </row>
    <row r="191" spans="1:10">
      <c r="A191" s="5">
        <v>2040</v>
      </c>
      <c r="B191" s="3" t="s">
        <v>47</v>
      </c>
      <c r="C191" s="6" t="s">
        <v>80</v>
      </c>
      <c r="D191" s="3" t="s">
        <v>45</v>
      </c>
      <c r="E191" s="3" t="s">
        <v>46</v>
      </c>
      <c r="F191" s="12">
        <v>200</v>
      </c>
      <c r="G191" s="6">
        <v>390</v>
      </c>
      <c r="H191" s="12">
        <f>tbl_base_ni_ri[[#This Row],[ni_total]]+tbl_base_ni_ri[[#This Row],[ri_total]]</f>
        <v>590</v>
      </c>
      <c r="I191" s="6" t="str">
        <f t="shared" si="2"/>
        <v>OK</v>
      </c>
      <c r="J191" s="7"/>
    </row>
    <row r="192" spans="1:10">
      <c r="A192" s="5">
        <v>2030</v>
      </c>
      <c r="B192" s="3" t="s">
        <v>47</v>
      </c>
      <c r="C192" s="6" t="s">
        <v>81</v>
      </c>
      <c r="D192" s="3" t="s">
        <v>45</v>
      </c>
      <c r="E192" s="3" t="s">
        <v>46</v>
      </c>
      <c r="F192" s="12">
        <v>232.3</v>
      </c>
      <c r="G192" s="6">
        <v>364</v>
      </c>
      <c r="H192" s="12">
        <f>tbl_base_ni_ri[[#This Row],[ni_total]]+tbl_base_ni_ri[[#This Row],[ri_total]]</f>
        <v>596.29999999999995</v>
      </c>
      <c r="I192" s="6" t="str">
        <f t="shared" si="2"/>
        <v>OK</v>
      </c>
      <c r="J192" s="7"/>
    </row>
    <row r="193" spans="1:10">
      <c r="A193" s="5">
        <v>2031</v>
      </c>
      <c r="B193" s="3" t="s">
        <v>47</v>
      </c>
      <c r="C193" s="6" t="s">
        <v>81</v>
      </c>
      <c r="D193" s="3" t="s">
        <v>45</v>
      </c>
      <c r="E193" s="3" t="s">
        <v>46</v>
      </c>
      <c r="F193" s="12">
        <v>234.62300000000002</v>
      </c>
      <c r="G193" s="6">
        <v>369</v>
      </c>
      <c r="H193" s="12">
        <f>tbl_base_ni_ri[[#This Row],[ni_total]]+tbl_base_ni_ri[[#This Row],[ri_total]]</f>
        <v>603.62300000000005</v>
      </c>
      <c r="I193" s="6" t="str">
        <f t="shared" si="2"/>
        <v>OK</v>
      </c>
      <c r="J193" s="7"/>
    </row>
    <row r="194" spans="1:10">
      <c r="A194" s="5">
        <v>2032</v>
      </c>
      <c r="B194" s="3" t="s">
        <v>47</v>
      </c>
      <c r="C194" s="6" t="s">
        <v>81</v>
      </c>
      <c r="D194" s="3" t="s">
        <v>45</v>
      </c>
      <c r="E194" s="3" t="s">
        <v>46</v>
      </c>
      <c r="F194" s="12">
        <v>236.96923000000001</v>
      </c>
      <c r="G194" s="6">
        <v>382</v>
      </c>
      <c r="H194" s="12">
        <f>tbl_base_ni_ri[[#This Row],[ni_total]]+tbl_base_ni_ri[[#This Row],[ri_total]]</f>
        <v>618.96923000000004</v>
      </c>
      <c r="I194" s="6" t="str">
        <f t="shared" si="2"/>
        <v>OK</v>
      </c>
      <c r="J194" s="7"/>
    </row>
    <row r="195" spans="1:10">
      <c r="A195" s="5">
        <v>2033</v>
      </c>
      <c r="B195" s="3" t="s">
        <v>47</v>
      </c>
      <c r="C195" s="6" t="s">
        <v>81</v>
      </c>
      <c r="D195" s="3" t="s">
        <v>45</v>
      </c>
      <c r="E195" s="3" t="s">
        <v>46</v>
      </c>
      <c r="F195" s="12">
        <v>239.33892230000001</v>
      </c>
      <c r="G195" s="6">
        <v>395</v>
      </c>
      <c r="H195" s="12">
        <f>tbl_base_ni_ri[[#This Row],[ni_total]]+tbl_base_ni_ri[[#This Row],[ri_total]]</f>
        <v>634.33892230000004</v>
      </c>
      <c r="I195" s="6" t="str">
        <f t="shared" si="2"/>
        <v>OK</v>
      </c>
      <c r="J195" s="7"/>
    </row>
    <row r="196" spans="1:10">
      <c r="A196" s="5">
        <v>2034</v>
      </c>
      <c r="B196" s="3" t="s">
        <v>47</v>
      </c>
      <c r="C196" s="6" t="s">
        <v>81</v>
      </c>
      <c r="D196" s="3" t="s">
        <v>45</v>
      </c>
      <c r="E196" s="3" t="s">
        <v>46</v>
      </c>
      <c r="F196" s="12">
        <v>241.73231152300002</v>
      </c>
      <c r="G196" s="6">
        <v>408</v>
      </c>
      <c r="H196" s="12">
        <f>tbl_base_ni_ri[[#This Row],[ni_total]]+tbl_base_ni_ri[[#This Row],[ri_total]]</f>
        <v>649.73231152300002</v>
      </c>
      <c r="I196" s="6" t="str">
        <f t="shared" si="2"/>
        <v>OK</v>
      </c>
      <c r="J196" s="7"/>
    </row>
    <row r="197" spans="1:10">
      <c r="A197" s="5">
        <v>2035</v>
      </c>
      <c r="B197" s="3" t="s">
        <v>47</v>
      </c>
      <c r="C197" s="6" t="s">
        <v>81</v>
      </c>
      <c r="D197" s="3" t="s">
        <v>45</v>
      </c>
      <c r="E197" s="3" t="s">
        <v>46</v>
      </c>
      <c r="F197" s="12">
        <v>244.14963463823003</v>
      </c>
      <c r="G197" s="6">
        <v>419</v>
      </c>
      <c r="H197" s="12">
        <f>tbl_base_ni_ri[[#This Row],[ni_total]]+tbl_base_ni_ri[[#This Row],[ri_total]]</f>
        <v>663.14963463823005</v>
      </c>
      <c r="I197" s="6" t="str">
        <f t="shared" ref="I197:I260" si="3">IF(OR(F197="",G197="",H197=""),"",IF(ABS(H197-F197-G197)&lt;0.01,"OK","Revisar MT"))</f>
        <v>OK</v>
      </c>
      <c r="J197" s="7"/>
    </row>
    <row r="198" spans="1:10">
      <c r="A198" s="5">
        <v>2036</v>
      </c>
      <c r="B198" s="3" t="s">
        <v>47</v>
      </c>
      <c r="C198" s="6" t="s">
        <v>81</v>
      </c>
      <c r="D198" s="3" t="s">
        <v>45</v>
      </c>
      <c r="E198" s="3" t="s">
        <v>46</v>
      </c>
      <c r="F198" s="12">
        <v>246.59113098461233</v>
      </c>
      <c r="G198" s="6">
        <v>428</v>
      </c>
      <c r="H198" s="12">
        <f>tbl_base_ni_ri[[#This Row],[ni_total]]+tbl_base_ni_ri[[#This Row],[ri_total]]</f>
        <v>674.59113098461239</v>
      </c>
      <c r="I198" s="6" t="str">
        <f t="shared" si="3"/>
        <v>OK</v>
      </c>
      <c r="J198" s="7"/>
    </row>
    <row r="199" spans="1:10">
      <c r="A199" s="5">
        <v>2037</v>
      </c>
      <c r="B199" s="3" t="s">
        <v>47</v>
      </c>
      <c r="C199" s="6" t="s">
        <v>81</v>
      </c>
      <c r="D199" s="3" t="s">
        <v>45</v>
      </c>
      <c r="E199" s="3" t="s">
        <v>46</v>
      </c>
      <c r="F199" s="12">
        <v>249.05704229445845</v>
      </c>
      <c r="G199" s="6">
        <v>439</v>
      </c>
      <c r="H199" s="12">
        <f>tbl_base_ni_ri[[#This Row],[ni_total]]+tbl_base_ni_ri[[#This Row],[ri_total]]</f>
        <v>688.05704229445848</v>
      </c>
      <c r="I199" s="6" t="str">
        <f t="shared" si="3"/>
        <v>OK</v>
      </c>
      <c r="J199" s="7"/>
    </row>
    <row r="200" spans="1:10">
      <c r="A200" s="5">
        <v>2038</v>
      </c>
      <c r="B200" s="3" t="s">
        <v>47</v>
      </c>
      <c r="C200" s="6" t="s">
        <v>81</v>
      </c>
      <c r="D200" s="3" t="s">
        <v>45</v>
      </c>
      <c r="E200" s="3" t="s">
        <v>46</v>
      </c>
      <c r="F200" s="12">
        <v>251.54761271740304</v>
      </c>
      <c r="G200" s="6">
        <v>451</v>
      </c>
      <c r="H200" s="12">
        <f>tbl_base_ni_ri[[#This Row],[ni_total]]+tbl_base_ni_ri[[#This Row],[ri_total]]</f>
        <v>702.54761271740301</v>
      </c>
      <c r="I200" s="6" t="str">
        <f t="shared" si="3"/>
        <v>OK</v>
      </c>
      <c r="J200" s="7"/>
    </row>
    <row r="201" spans="1:10">
      <c r="A201" s="5">
        <v>2039</v>
      </c>
      <c r="B201" s="3" t="s">
        <v>47</v>
      </c>
      <c r="C201" s="6" t="s">
        <v>81</v>
      </c>
      <c r="D201" s="3" t="s">
        <v>45</v>
      </c>
      <c r="E201" s="3" t="s">
        <v>46</v>
      </c>
      <c r="F201" s="12">
        <v>254.06308884457707</v>
      </c>
      <c r="G201" s="6">
        <v>462</v>
      </c>
      <c r="H201" s="12">
        <f>tbl_base_ni_ri[[#This Row],[ni_total]]+tbl_base_ni_ri[[#This Row],[ri_total]]</f>
        <v>716.06308884457712</v>
      </c>
      <c r="I201" s="6" t="str">
        <f t="shared" si="3"/>
        <v>OK</v>
      </c>
      <c r="J201" s="7"/>
    </row>
    <row r="202" spans="1:10">
      <c r="A202" s="5">
        <v>2040</v>
      </c>
      <c r="B202" s="3" t="s">
        <v>47</v>
      </c>
      <c r="C202" s="6" t="s">
        <v>81</v>
      </c>
      <c r="D202" s="3" t="s">
        <v>45</v>
      </c>
      <c r="E202" s="3" t="s">
        <v>46</v>
      </c>
      <c r="F202" s="12">
        <v>256.60371973302284</v>
      </c>
      <c r="G202" s="6">
        <v>477</v>
      </c>
      <c r="H202" s="12">
        <f>tbl_base_ni_ri[[#This Row],[ni_total]]+tbl_base_ni_ri[[#This Row],[ri_total]]</f>
        <v>733.6037197330229</v>
      </c>
      <c r="I202" s="6" t="str">
        <f t="shared" si="3"/>
        <v>OK</v>
      </c>
      <c r="J202" s="7"/>
    </row>
    <row r="203" spans="1:10">
      <c r="A203" s="5">
        <v>2030</v>
      </c>
      <c r="B203" s="3" t="s">
        <v>47</v>
      </c>
      <c r="C203" s="6" t="s">
        <v>82</v>
      </c>
      <c r="D203" s="3" t="s">
        <v>45</v>
      </c>
      <c r="E203" s="3" t="s">
        <v>46</v>
      </c>
      <c r="F203" s="12">
        <v>125.46000000000001</v>
      </c>
      <c r="G203" s="6">
        <v>129</v>
      </c>
      <c r="H203" s="12">
        <f>tbl_base_ni_ri[[#This Row],[ni_total]]+tbl_base_ni_ri[[#This Row],[ri_total]]</f>
        <v>254.46</v>
      </c>
      <c r="I203" s="6" t="str">
        <f t="shared" si="3"/>
        <v>OK</v>
      </c>
      <c r="J203" s="7"/>
    </row>
    <row r="204" spans="1:10">
      <c r="A204" s="5">
        <v>2031</v>
      </c>
      <c r="B204" s="3" t="s">
        <v>47</v>
      </c>
      <c r="C204" s="6" t="s">
        <v>82</v>
      </c>
      <c r="D204" s="3" t="s">
        <v>45</v>
      </c>
      <c r="E204" s="3" t="s">
        <v>46</v>
      </c>
      <c r="F204" s="12">
        <v>127.96920000000001</v>
      </c>
      <c r="G204" s="6">
        <v>135</v>
      </c>
      <c r="H204" s="12">
        <f>tbl_base_ni_ri[[#This Row],[ni_total]]+tbl_base_ni_ri[[#This Row],[ri_total]]</f>
        <v>262.9692</v>
      </c>
      <c r="I204" s="6" t="str">
        <f t="shared" si="3"/>
        <v>OK</v>
      </c>
      <c r="J204" s="7"/>
    </row>
    <row r="205" spans="1:10">
      <c r="A205" s="5">
        <v>2032</v>
      </c>
      <c r="B205" s="3" t="s">
        <v>47</v>
      </c>
      <c r="C205" s="6" t="s">
        <v>82</v>
      </c>
      <c r="D205" s="3" t="s">
        <v>45</v>
      </c>
      <c r="E205" s="3" t="s">
        <v>46</v>
      </c>
      <c r="F205" s="12">
        <v>130.52858400000002</v>
      </c>
      <c r="G205" s="6">
        <v>143</v>
      </c>
      <c r="H205" s="12">
        <f>tbl_base_ni_ri[[#This Row],[ni_total]]+tbl_base_ni_ri[[#This Row],[ri_total]]</f>
        <v>273.52858400000002</v>
      </c>
      <c r="I205" s="6" t="str">
        <f t="shared" si="3"/>
        <v>OK</v>
      </c>
      <c r="J205" s="7"/>
    </row>
    <row r="206" spans="1:10">
      <c r="A206" s="5">
        <v>2033</v>
      </c>
      <c r="B206" s="3" t="s">
        <v>47</v>
      </c>
      <c r="C206" s="6" t="s">
        <v>82</v>
      </c>
      <c r="D206" s="3" t="s">
        <v>45</v>
      </c>
      <c r="E206" s="3" t="s">
        <v>46</v>
      </c>
      <c r="F206" s="12">
        <v>133.13915568000002</v>
      </c>
      <c r="G206" s="6">
        <v>156</v>
      </c>
      <c r="H206" s="12">
        <f>tbl_base_ni_ri[[#This Row],[ni_total]]+tbl_base_ni_ri[[#This Row],[ri_total]]</f>
        <v>289.13915568000004</v>
      </c>
      <c r="I206" s="6" t="str">
        <f t="shared" si="3"/>
        <v>OK</v>
      </c>
      <c r="J206" s="7"/>
    </row>
    <row r="207" spans="1:10">
      <c r="A207" s="5">
        <v>2034</v>
      </c>
      <c r="B207" s="3" t="s">
        <v>47</v>
      </c>
      <c r="C207" s="6" t="s">
        <v>82</v>
      </c>
      <c r="D207" s="3" t="s">
        <v>45</v>
      </c>
      <c r="E207" s="3" t="s">
        <v>46</v>
      </c>
      <c r="F207" s="12">
        <v>134.33740808112</v>
      </c>
      <c r="G207" s="6">
        <v>165</v>
      </c>
      <c r="H207" s="12">
        <f>tbl_base_ni_ri[[#This Row],[ni_total]]+tbl_base_ni_ri[[#This Row],[ri_total]]</f>
        <v>299.33740808111997</v>
      </c>
      <c r="I207" s="6" t="str">
        <f t="shared" si="3"/>
        <v>OK</v>
      </c>
      <c r="J207" s="7"/>
    </row>
    <row r="208" spans="1:10">
      <c r="A208" s="5">
        <v>2035</v>
      </c>
      <c r="B208" s="3" t="s">
        <v>47</v>
      </c>
      <c r="C208" s="6" t="s">
        <v>82</v>
      </c>
      <c r="D208" s="3" t="s">
        <v>45</v>
      </c>
      <c r="E208" s="3" t="s">
        <v>46</v>
      </c>
      <c r="F208" s="12">
        <v>135.54644475385007</v>
      </c>
      <c r="G208" s="6">
        <v>174</v>
      </c>
      <c r="H208" s="12">
        <f>tbl_base_ni_ri[[#This Row],[ni_total]]+tbl_base_ni_ri[[#This Row],[ri_total]]</f>
        <v>309.5464447538501</v>
      </c>
      <c r="I208" s="6" t="str">
        <f t="shared" si="3"/>
        <v>OK</v>
      </c>
      <c r="J208" s="7"/>
    </row>
    <row r="209" spans="1:10">
      <c r="A209" s="5">
        <v>2036</v>
      </c>
      <c r="B209" s="3" t="s">
        <v>47</v>
      </c>
      <c r="C209" s="6" t="s">
        <v>82</v>
      </c>
      <c r="D209" s="3" t="s">
        <v>45</v>
      </c>
      <c r="E209" s="3" t="s">
        <v>46</v>
      </c>
      <c r="F209" s="12">
        <v>136.76636275663469</v>
      </c>
      <c r="G209" s="6">
        <v>185</v>
      </c>
      <c r="H209" s="12">
        <f>tbl_base_ni_ri[[#This Row],[ni_total]]+tbl_base_ni_ri[[#This Row],[ri_total]]</f>
        <v>321.76636275663469</v>
      </c>
      <c r="I209" s="6" t="str">
        <f t="shared" si="3"/>
        <v>OK</v>
      </c>
      <c r="J209" s="7"/>
    </row>
    <row r="210" spans="1:10">
      <c r="A210" s="5">
        <v>2037</v>
      </c>
      <c r="B210" s="3" t="s">
        <v>47</v>
      </c>
      <c r="C210" s="6" t="s">
        <v>82</v>
      </c>
      <c r="D210" s="3" t="s">
        <v>45</v>
      </c>
      <c r="E210" s="3" t="s">
        <v>46</v>
      </c>
      <c r="F210" s="12">
        <v>137.58696093317451</v>
      </c>
      <c r="G210" s="6">
        <v>195</v>
      </c>
      <c r="H210" s="12">
        <f>tbl_base_ni_ri[[#This Row],[ni_total]]+tbl_base_ni_ri[[#This Row],[ri_total]]</f>
        <v>332.58696093317451</v>
      </c>
      <c r="I210" s="6" t="str">
        <f t="shared" si="3"/>
        <v>OK</v>
      </c>
      <c r="J210" s="7"/>
    </row>
    <row r="211" spans="1:10">
      <c r="A211" s="5">
        <v>2038</v>
      </c>
      <c r="B211" s="3" t="s">
        <v>47</v>
      </c>
      <c r="C211" s="6" t="s">
        <v>82</v>
      </c>
      <c r="D211" s="3" t="s">
        <v>45</v>
      </c>
      <c r="E211" s="3" t="s">
        <v>46</v>
      </c>
      <c r="F211" s="12">
        <v>138.41248269877354</v>
      </c>
      <c r="G211" s="6">
        <v>213</v>
      </c>
      <c r="H211" s="12">
        <f>tbl_base_ni_ri[[#This Row],[ni_total]]+tbl_base_ni_ri[[#This Row],[ri_total]]</f>
        <v>351.41248269877354</v>
      </c>
      <c r="I211" s="6" t="str">
        <f t="shared" si="3"/>
        <v>OK</v>
      </c>
      <c r="J211" s="7"/>
    </row>
    <row r="212" spans="1:10">
      <c r="A212" s="5">
        <v>2039</v>
      </c>
      <c r="B212" s="3" t="s">
        <v>47</v>
      </c>
      <c r="C212" s="6" t="s">
        <v>82</v>
      </c>
      <c r="D212" s="3" t="s">
        <v>45</v>
      </c>
      <c r="E212" s="3" t="s">
        <v>46</v>
      </c>
      <c r="F212" s="12">
        <v>139.24295759496619</v>
      </c>
      <c r="G212" s="6">
        <v>234</v>
      </c>
      <c r="H212" s="12">
        <f>tbl_base_ni_ri[[#This Row],[ni_total]]+tbl_base_ni_ri[[#This Row],[ri_total]]</f>
        <v>373.24295759496619</v>
      </c>
      <c r="I212" s="6" t="str">
        <f t="shared" si="3"/>
        <v>OK</v>
      </c>
      <c r="J212" s="7"/>
    </row>
    <row r="213" spans="1:10">
      <c r="A213" s="5">
        <v>2040</v>
      </c>
      <c r="B213" s="3" t="s">
        <v>47</v>
      </c>
      <c r="C213" s="6" t="s">
        <v>82</v>
      </c>
      <c r="D213" s="3" t="s">
        <v>45</v>
      </c>
      <c r="E213" s="3" t="s">
        <v>46</v>
      </c>
      <c r="F213" s="12">
        <v>140</v>
      </c>
      <c r="G213" s="6">
        <v>266</v>
      </c>
      <c r="H213" s="12">
        <f>tbl_base_ni_ri[[#This Row],[ni_total]]+tbl_base_ni_ri[[#This Row],[ri_total]]</f>
        <v>406</v>
      </c>
      <c r="I213" s="6" t="str">
        <f t="shared" si="3"/>
        <v>OK</v>
      </c>
      <c r="J213" s="7"/>
    </row>
    <row r="214" spans="1:10">
      <c r="A214" s="5">
        <v>2030</v>
      </c>
      <c r="B214" s="3" t="s">
        <v>47</v>
      </c>
      <c r="C214" s="6" t="s">
        <v>83</v>
      </c>
      <c r="D214" s="3" t="s">
        <v>45</v>
      </c>
      <c r="E214" s="3" t="s">
        <v>46</v>
      </c>
      <c r="F214" s="12">
        <v>0</v>
      </c>
      <c r="G214" s="6">
        <v>0</v>
      </c>
      <c r="H214" s="12">
        <f>tbl_base_ni_ri[[#This Row],[ni_total]]+tbl_base_ni_ri[[#This Row],[ri_total]]</f>
        <v>0</v>
      </c>
      <c r="I214" s="6" t="str">
        <f t="shared" si="3"/>
        <v>OK</v>
      </c>
      <c r="J214" s="7"/>
    </row>
    <row r="215" spans="1:10">
      <c r="A215" s="5">
        <v>2031</v>
      </c>
      <c r="B215" s="3" t="s">
        <v>47</v>
      </c>
      <c r="C215" s="6" t="s">
        <v>83</v>
      </c>
      <c r="D215" s="3" t="s">
        <v>45</v>
      </c>
      <c r="E215" s="3" t="s">
        <v>46</v>
      </c>
      <c r="F215" s="12">
        <v>0</v>
      </c>
      <c r="G215" s="6">
        <v>0</v>
      </c>
      <c r="H215" s="12">
        <f>tbl_base_ni_ri[[#This Row],[ni_total]]+tbl_base_ni_ri[[#This Row],[ri_total]]</f>
        <v>0</v>
      </c>
      <c r="I215" s="6" t="str">
        <f t="shared" si="3"/>
        <v>OK</v>
      </c>
      <c r="J215" s="7"/>
    </row>
    <row r="216" spans="1:10">
      <c r="A216" s="5">
        <v>2032</v>
      </c>
      <c r="B216" s="3" t="s">
        <v>47</v>
      </c>
      <c r="C216" s="6" t="s">
        <v>83</v>
      </c>
      <c r="D216" s="3" t="s">
        <v>45</v>
      </c>
      <c r="E216" s="3" t="s">
        <v>46</v>
      </c>
      <c r="F216" s="12">
        <v>0</v>
      </c>
      <c r="G216" s="6">
        <v>0</v>
      </c>
      <c r="H216" s="12">
        <f>tbl_base_ni_ri[[#This Row],[ni_total]]+tbl_base_ni_ri[[#This Row],[ri_total]]</f>
        <v>0</v>
      </c>
      <c r="I216" s="6" t="str">
        <f t="shared" si="3"/>
        <v>OK</v>
      </c>
      <c r="J216" s="7"/>
    </row>
    <row r="217" spans="1:10">
      <c r="A217" s="5">
        <v>2033</v>
      </c>
      <c r="B217" s="3" t="s">
        <v>47</v>
      </c>
      <c r="C217" s="6" t="s">
        <v>83</v>
      </c>
      <c r="D217" s="3" t="s">
        <v>45</v>
      </c>
      <c r="E217" s="3" t="s">
        <v>46</v>
      </c>
      <c r="F217" s="12">
        <v>0</v>
      </c>
      <c r="G217" s="6">
        <v>0</v>
      </c>
      <c r="H217" s="12">
        <f>tbl_base_ni_ri[[#This Row],[ni_total]]+tbl_base_ni_ri[[#This Row],[ri_total]]</f>
        <v>0</v>
      </c>
      <c r="I217" s="6" t="str">
        <f t="shared" si="3"/>
        <v>OK</v>
      </c>
      <c r="J217" s="7"/>
    </row>
    <row r="218" spans="1:10">
      <c r="A218" s="5">
        <v>2034</v>
      </c>
      <c r="B218" s="3" t="s">
        <v>47</v>
      </c>
      <c r="C218" s="6" t="s">
        <v>83</v>
      </c>
      <c r="D218" s="3" t="s">
        <v>45</v>
      </c>
      <c r="E218" s="3" t="s">
        <v>46</v>
      </c>
      <c r="F218" s="12">
        <v>0</v>
      </c>
      <c r="G218" s="6">
        <v>0</v>
      </c>
      <c r="H218" s="12">
        <f>tbl_base_ni_ri[[#This Row],[ni_total]]+tbl_base_ni_ri[[#This Row],[ri_total]]</f>
        <v>0</v>
      </c>
      <c r="I218" s="6" t="str">
        <f t="shared" si="3"/>
        <v>OK</v>
      </c>
      <c r="J218" s="7"/>
    </row>
    <row r="219" spans="1:10">
      <c r="A219" s="5">
        <v>2035</v>
      </c>
      <c r="B219" s="3" t="s">
        <v>47</v>
      </c>
      <c r="C219" s="6" t="s">
        <v>83</v>
      </c>
      <c r="D219" s="3" t="s">
        <v>45</v>
      </c>
      <c r="E219" s="3" t="s">
        <v>46</v>
      </c>
      <c r="F219" s="12">
        <v>0</v>
      </c>
      <c r="G219" s="6">
        <v>0</v>
      </c>
      <c r="H219" s="12">
        <f>tbl_base_ni_ri[[#This Row],[ni_total]]+tbl_base_ni_ri[[#This Row],[ri_total]]</f>
        <v>0</v>
      </c>
      <c r="I219" s="6" t="str">
        <f t="shared" si="3"/>
        <v>OK</v>
      </c>
      <c r="J219" s="7"/>
    </row>
    <row r="220" spans="1:10">
      <c r="A220" s="5">
        <v>2036</v>
      </c>
      <c r="B220" s="3" t="s">
        <v>47</v>
      </c>
      <c r="C220" s="6" t="s">
        <v>83</v>
      </c>
      <c r="D220" s="3" t="s">
        <v>45</v>
      </c>
      <c r="E220" s="3" t="s">
        <v>46</v>
      </c>
      <c r="F220" s="12">
        <v>0</v>
      </c>
      <c r="G220" s="6">
        <v>0</v>
      </c>
      <c r="H220" s="12">
        <f>tbl_base_ni_ri[[#This Row],[ni_total]]+tbl_base_ni_ri[[#This Row],[ri_total]]</f>
        <v>0</v>
      </c>
      <c r="I220" s="6" t="str">
        <f t="shared" si="3"/>
        <v>OK</v>
      </c>
      <c r="J220" s="7"/>
    </row>
    <row r="221" spans="1:10">
      <c r="A221" s="5">
        <v>2037</v>
      </c>
      <c r="B221" s="3" t="s">
        <v>47</v>
      </c>
      <c r="C221" s="6" t="s">
        <v>83</v>
      </c>
      <c r="D221" s="3" t="s">
        <v>45</v>
      </c>
      <c r="E221" s="3" t="s">
        <v>46</v>
      </c>
      <c r="F221" s="12">
        <v>0</v>
      </c>
      <c r="G221" s="6">
        <v>0</v>
      </c>
      <c r="H221" s="12">
        <f>tbl_base_ni_ri[[#This Row],[ni_total]]+tbl_base_ni_ri[[#This Row],[ri_total]]</f>
        <v>0</v>
      </c>
      <c r="I221" s="6" t="str">
        <f t="shared" si="3"/>
        <v>OK</v>
      </c>
      <c r="J221" s="7"/>
    </row>
    <row r="222" spans="1:10">
      <c r="A222" s="5">
        <v>2038</v>
      </c>
      <c r="B222" s="3" t="s">
        <v>47</v>
      </c>
      <c r="C222" s="6" t="s">
        <v>83</v>
      </c>
      <c r="D222" s="3" t="s">
        <v>45</v>
      </c>
      <c r="E222" s="3" t="s">
        <v>46</v>
      </c>
      <c r="F222" s="12">
        <v>0</v>
      </c>
      <c r="G222" s="6">
        <v>0</v>
      </c>
      <c r="H222" s="12">
        <f>tbl_base_ni_ri[[#This Row],[ni_total]]+tbl_base_ni_ri[[#This Row],[ri_total]]</f>
        <v>0</v>
      </c>
      <c r="I222" s="6" t="str">
        <f t="shared" si="3"/>
        <v>OK</v>
      </c>
      <c r="J222" s="7"/>
    </row>
    <row r="223" spans="1:10">
      <c r="A223" s="5">
        <v>2039</v>
      </c>
      <c r="B223" s="3" t="s">
        <v>47</v>
      </c>
      <c r="C223" s="6" t="s">
        <v>83</v>
      </c>
      <c r="D223" s="3" t="s">
        <v>45</v>
      </c>
      <c r="E223" s="3" t="s">
        <v>46</v>
      </c>
      <c r="F223" s="12">
        <v>0</v>
      </c>
      <c r="G223" s="6">
        <v>0</v>
      </c>
      <c r="H223" s="12">
        <f>tbl_base_ni_ri[[#This Row],[ni_total]]+tbl_base_ni_ri[[#This Row],[ri_total]]</f>
        <v>0</v>
      </c>
      <c r="I223" s="6" t="str">
        <f t="shared" si="3"/>
        <v>OK</v>
      </c>
      <c r="J223" s="7"/>
    </row>
    <row r="224" spans="1:10">
      <c r="A224" s="5">
        <v>2040</v>
      </c>
      <c r="B224" s="3" t="s">
        <v>47</v>
      </c>
      <c r="C224" s="6" t="s">
        <v>83</v>
      </c>
      <c r="D224" s="3" t="s">
        <v>45</v>
      </c>
      <c r="E224" s="3" t="s">
        <v>46</v>
      </c>
      <c r="F224" s="12">
        <v>0</v>
      </c>
      <c r="G224" s="6">
        <v>0</v>
      </c>
      <c r="H224" s="12">
        <f>tbl_base_ni_ri[[#This Row],[ni_total]]+tbl_base_ni_ri[[#This Row],[ri_total]]</f>
        <v>0</v>
      </c>
      <c r="I224" s="6" t="str">
        <f t="shared" si="3"/>
        <v>OK</v>
      </c>
      <c r="J224" s="7"/>
    </row>
    <row r="225" spans="1:10">
      <c r="A225" s="5">
        <v>2030</v>
      </c>
      <c r="B225" s="3" t="s">
        <v>47</v>
      </c>
      <c r="C225" s="6" t="s">
        <v>84</v>
      </c>
      <c r="D225" s="3" t="s">
        <v>45</v>
      </c>
      <c r="E225" s="3" t="s">
        <v>46</v>
      </c>
      <c r="F225" s="12">
        <v>296.40000000000003</v>
      </c>
      <c r="G225" s="6">
        <v>446</v>
      </c>
      <c r="H225" s="12">
        <f>tbl_base_ni_ri[[#This Row],[ni_total]]+tbl_base_ni_ri[[#This Row],[ri_total]]</f>
        <v>742.40000000000009</v>
      </c>
      <c r="I225" s="6" t="str">
        <f t="shared" si="3"/>
        <v>OK</v>
      </c>
      <c r="J225" s="7"/>
    </row>
    <row r="226" spans="1:10">
      <c r="A226" s="5">
        <v>2031</v>
      </c>
      <c r="B226" s="3" t="s">
        <v>47</v>
      </c>
      <c r="C226" s="6" t="s">
        <v>84</v>
      </c>
      <c r="D226" s="3" t="s">
        <v>45</v>
      </c>
      <c r="E226" s="3" t="s">
        <v>46</v>
      </c>
      <c r="F226" s="12">
        <v>308.25600000000003</v>
      </c>
      <c r="G226" s="6">
        <v>476</v>
      </c>
      <c r="H226" s="12">
        <f>tbl_base_ni_ri[[#This Row],[ni_total]]+tbl_base_ni_ri[[#This Row],[ri_total]]</f>
        <v>784.25600000000009</v>
      </c>
      <c r="I226" s="6" t="str">
        <f t="shared" si="3"/>
        <v>OK</v>
      </c>
      <c r="J226" s="7"/>
    </row>
    <row r="227" spans="1:10">
      <c r="A227" s="5">
        <v>2032</v>
      </c>
      <c r="B227" s="3" t="s">
        <v>47</v>
      </c>
      <c r="C227" s="6" t="s">
        <v>84</v>
      </c>
      <c r="D227" s="3" t="s">
        <v>45</v>
      </c>
      <c r="E227" s="3" t="s">
        <v>46</v>
      </c>
      <c r="F227" s="12">
        <v>320.58624000000003</v>
      </c>
      <c r="G227" s="6">
        <v>504</v>
      </c>
      <c r="H227" s="12">
        <f>tbl_base_ni_ri[[#This Row],[ni_total]]+tbl_base_ni_ri[[#This Row],[ri_total]]</f>
        <v>824.58624000000009</v>
      </c>
      <c r="I227" s="6" t="str">
        <f t="shared" si="3"/>
        <v>OK</v>
      </c>
      <c r="J227" s="7"/>
    </row>
    <row r="228" spans="1:10">
      <c r="A228" s="5">
        <v>2033</v>
      </c>
      <c r="B228" s="3" t="s">
        <v>47</v>
      </c>
      <c r="C228" s="6" t="s">
        <v>84</v>
      </c>
      <c r="D228" s="3" t="s">
        <v>45</v>
      </c>
      <c r="E228" s="3" t="s">
        <v>46</v>
      </c>
      <c r="F228" s="12">
        <v>333.40968960000004</v>
      </c>
      <c r="G228" s="6">
        <v>530</v>
      </c>
      <c r="H228" s="12">
        <f>tbl_base_ni_ri[[#This Row],[ni_total]]+tbl_base_ni_ri[[#This Row],[ri_total]]</f>
        <v>863.40968960000009</v>
      </c>
      <c r="I228" s="6" t="str">
        <f t="shared" si="3"/>
        <v>OK</v>
      </c>
      <c r="J228" s="7"/>
    </row>
    <row r="229" spans="1:10">
      <c r="A229" s="5">
        <v>2034</v>
      </c>
      <c r="B229" s="3" t="s">
        <v>47</v>
      </c>
      <c r="C229" s="6" t="s">
        <v>84</v>
      </c>
      <c r="D229" s="3" t="s">
        <v>45</v>
      </c>
      <c r="E229" s="3" t="s">
        <v>46</v>
      </c>
      <c r="F229" s="12">
        <v>343.41198028800005</v>
      </c>
      <c r="G229" s="6">
        <v>547</v>
      </c>
      <c r="H229" s="12">
        <f>tbl_base_ni_ri[[#This Row],[ni_total]]+tbl_base_ni_ri[[#This Row],[ri_total]]</f>
        <v>890.411980288</v>
      </c>
      <c r="I229" s="6" t="str">
        <f t="shared" si="3"/>
        <v>OK</v>
      </c>
      <c r="J229" s="7"/>
    </row>
    <row r="230" spans="1:10">
      <c r="A230" s="5">
        <v>2035</v>
      </c>
      <c r="B230" s="3" t="s">
        <v>47</v>
      </c>
      <c r="C230" s="6" t="s">
        <v>84</v>
      </c>
      <c r="D230" s="3" t="s">
        <v>45</v>
      </c>
      <c r="E230" s="3" t="s">
        <v>46</v>
      </c>
      <c r="F230" s="12">
        <v>353.71433969664008</v>
      </c>
      <c r="G230" s="6">
        <v>564</v>
      </c>
      <c r="H230" s="12">
        <f>tbl_base_ni_ri[[#This Row],[ni_total]]+tbl_base_ni_ri[[#This Row],[ri_total]]</f>
        <v>917.71433969664008</v>
      </c>
      <c r="I230" s="6" t="str">
        <f t="shared" si="3"/>
        <v>OK</v>
      </c>
      <c r="J230" s="7"/>
    </row>
    <row r="231" spans="1:10">
      <c r="A231" s="5">
        <v>2036</v>
      </c>
      <c r="B231" s="3" t="s">
        <v>47</v>
      </c>
      <c r="C231" s="6" t="s">
        <v>84</v>
      </c>
      <c r="D231" s="3" t="s">
        <v>45</v>
      </c>
      <c r="E231" s="3" t="s">
        <v>46</v>
      </c>
      <c r="F231" s="12">
        <v>364.32576988753931</v>
      </c>
      <c r="G231" s="6">
        <v>585</v>
      </c>
      <c r="H231" s="12">
        <f>tbl_base_ni_ri[[#This Row],[ni_total]]+tbl_base_ni_ri[[#This Row],[ri_total]]</f>
        <v>949.32576988753931</v>
      </c>
      <c r="I231" s="6" t="str">
        <f t="shared" si="3"/>
        <v>OK</v>
      </c>
      <c r="J231" s="7"/>
    </row>
    <row r="232" spans="1:10">
      <c r="A232" s="5">
        <v>2037</v>
      </c>
      <c r="B232" s="3" t="s">
        <v>47</v>
      </c>
      <c r="C232" s="6" t="s">
        <v>84</v>
      </c>
      <c r="D232" s="3" t="s">
        <v>45</v>
      </c>
      <c r="E232" s="3" t="s">
        <v>46</v>
      </c>
      <c r="F232" s="12">
        <v>371.61228528529011</v>
      </c>
      <c r="G232" s="6">
        <v>604</v>
      </c>
      <c r="H232" s="12">
        <f>tbl_base_ni_ri[[#This Row],[ni_total]]+tbl_base_ni_ri[[#This Row],[ri_total]]</f>
        <v>975.61228528529011</v>
      </c>
      <c r="I232" s="6" t="str">
        <f t="shared" si="3"/>
        <v>OK</v>
      </c>
      <c r="J232" s="7"/>
    </row>
    <row r="233" spans="1:10">
      <c r="A233" s="5">
        <v>2038</v>
      </c>
      <c r="B233" s="3" t="s">
        <v>47</v>
      </c>
      <c r="C233" s="6" t="s">
        <v>84</v>
      </c>
      <c r="D233" s="3" t="s">
        <v>45</v>
      </c>
      <c r="E233" s="3" t="s">
        <v>46</v>
      </c>
      <c r="F233" s="12">
        <v>379.0445309909959</v>
      </c>
      <c r="G233" s="6">
        <v>621</v>
      </c>
      <c r="H233" s="12">
        <f>tbl_base_ni_ri[[#This Row],[ni_total]]+tbl_base_ni_ri[[#This Row],[ri_total]]</f>
        <v>1000.0445309909959</v>
      </c>
      <c r="I233" s="6" t="str">
        <f t="shared" si="3"/>
        <v>OK</v>
      </c>
      <c r="J233" s="7"/>
    </row>
    <row r="234" spans="1:10">
      <c r="A234" s="5">
        <v>2039</v>
      </c>
      <c r="B234" s="3" t="s">
        <v>47</v>
      </c>
      <c r="C234" s="6" t="s">
        <v>84</v>
      </c>
      <c r="D234" s="3" t="s">
        <v>45</v>
      </c>
      <c r="E234" s="3" t="s">
        <v>46</v>
      </c>
      <c r="F234" s="12">
        <v>386.62542161081581</v>
      </c>
      <c r="G234" s="6">
        <v>642</v>
      </c>
      <c r="H234" s="12">
        <f>tbl_base_ni_ri[[#This Row],[ni_total]]+tbl_base_ni_ri[[#This Row],[ri_total]]</f>
        <v>1028.6254216108159</v>
      </c>
      <c r="I234" s="6" t="str">
        <f t="shared" si="3"/>
        <v>OK</v>
      </c>
      <c r="J234" s="7"/>
    </row>
    <row r="235" spans="1:10">
      <c r="A235" s="5">
        <v>2040</v>
      </c>
      <c r="B235" s="3" t="s">
        <v>47</v>
      </c>
      <c r="C235" s="6" t="s">
        <v>84</v>
      </c>
      <c r="D235" s="3" t="s">
        <v>45</v>
      </c>
      <c r="E235" s="3" t="s">
        <v>46</v>
      </c>
      <c r="F235" s="12">
        <v>394.35793004303213</v>
      </c>
      <c r="G235" s="6">
        <v>663</v>
      </c>
      <c r="H235" s="12">
        <f>tbl_base_ni_ri[[#This Row],[ni_total]]+tbl_base_ni_ri[[#This Row],[ri_total]]</f>
        <v>1057.3579300430322</v>
      </c>
      <c r="I235" s="6" t="str">
        <f t="shared" si="3"/>
        <v>OK</v>
      </c>
      <c r="J235" s="7"/>
    </row>
    <row r="236" spans="1:10">
      <c r="A236" s="5">
        <v>2030</v>
      </c>
      <c r="B236" s="3" t="s">
        <v>47</v>
      </c>
      <c r="C236" s="6" t="s">
        <v>85</v>
      </c>
      <c r="D236" s="3" t="s">
        <v>45</v>
      </c>
      <c r="E236" s="3" t="s">
        <v>46</v>
      </c>
      <c r="F236" s="12">
        <v>390.66</v>
      </c>
      <c r="G236" s="6">
        <v>716</v>
      </c>
      <c r="H236" s="12">
        <f>tbl_base_ni_ri[[#This Row],[ni_total]]+tbl_base_ni_ri[[#This Row],[ri_total]]</f>
        <v>1106.6600000000001</v>
      </c>
      <c r="I236" s="6" t="str">
        <f t="shared" si="3"/>
        <v>OK</v>
      </c>
      <c r="J236" s="7"/>
    </row>
    <row r="237" spans="1:10">
      <c r="A237" s="5">
        <v>2031</v>
      </c>
      <c r="B237" s="3" t="s">
        <v>47</v>
      </c>
      <c r="C237" s="6" t="s">
        <v>85</v>
      </c>
      <c r="D237" s="3" t="s">
        <v>45</v>
      </c>
      <c r="E237" s="3" t="s">
        <v>46</v>
      </c>
      <c r="F237" s="12">
        <v>398.47320000000002</v>
      </c>
      <c r="G237" s="6">
        <v>739</v>
      </c>
      <c r="H237" s="12">
        <f>tbl_base_ni_ri[[#This Row],[ni_total]]+tbl_base_ni_ri[[#This Row],[ri_total]]</f>
        <v>1137.4731999999999</v>
      </c>
      <c r="I237" s="6" t="str">
        <f t="shared" si="3"/>
        <v>OK</v>
      </c>
      <c r="J237" s="7"/>
    </row>
    <row r="238" spans="1:10">
      <c r="A238" s="5">
        <v>2032</v>
      </c>
      <c r="B238" s="3" t="s">
        <v>47</v>
      </c>
      <c r="C238" s="6" t="s">
        <v>85</v>
      </c>
      <c r="D238" s="3" t="s">
        <v>45</v>
      </c>
      <c r="E238" s="3" t="s">
        <v>46</v>
      </c>
      <c r="F238" s="12">
        <v>406.44266400000004</v>
      </c>
      <c r="G238" s="6">
        <v>765</v>
      </c>
      <c r="H238" s="12">
        <f>tbl_base_ni_ri[[#This Row],[ni_total]]+tbl_base_ni_ri[[#This Row],[ri_total]]</f>
        <v>1171.4426640000001</v>
      </c>
      <c r="I238" s="6" t="str">
        <f t="shared" si="3"/>
        <v>OK</v>
      </c>
      <c r="J238" s="7"/>
    </row>
    <row r="239" spans="1:10">
      <c r="A239" s="5">
        <v>2033</v>
      </c>
      <c r="B239" s="3" t="s">
        <v>47</v>
      </c>
      <c r="C239" s="6" t="s">
        <v>85</v>
      </c>
      <c r="D239" s="3" t="s">
        <v>45</v>
      </c>
      <c r="E239" s="3" t="s">
        <v>46</v>
      </c>
      <c r="F239" s="12">
        <v>414.57151728000002</v>
      </c>
      <c r="G239" s="6">
        <v>793</v>
      </c>
      <c r="H239" s="12">
        <f>tbl_base_ni_ri[[#This Row],[ni_total]]+tbl_base_ni_ri[[#This Row],[ri_total]]</f>
        <v>1207.5715172800001</v>
      </c>
      <c r="I239" s="6" t="str">
        <f t="shared" si="3"/>
        <v>OK</v>
      </c>
      <c r="J239" s="7"/>
    </row>
    <row r="240" spans="1:10">
      <c r="A240" s="5">
        <v>2034</v>
      </c>
      <c r="B240" s="3" t="s">
        <v>47</v>
      </c>
      <c r="C240" s="6" t="s">
        <v>85</v>
      </c>
      <c r="D240" s="3" t="s">
        <v>45</v>
      </c>
      <c r="E240" s="3" t="s">
        <v>46</v>
      </c>
      <c r="F240" s="12">
        <v>420.37551852192001</v>
      </c>
      <c r="G240" s="6">
        <v>825</v>
      </c>
      <c r="H240" s="12">
        <f>tbl_base_ni_ri[[#This Row],[ni_total]]+tbl_base_ni_ri[[#This Row],[ri_total]]</f>
        <v>1245.37551852192</v>
      </c>
      <c r="I240" s="6" t="str">
        <f t="shared" si="3"/>
        <v>OK</v>
      </c>
      <c r="J240" s="7"/>
    </row>
    <row r="241" spans="1:10">
      <c r="A241" s="5">
        <v>2035</v>
      </c>
      <c r="B241" s="3" t="s">
        <v>47</v>
      </c>
      <c r="C241" s="6" t="s">
        <v>85</v>
      </c>
      <c r="D241" s="3" t="s">
        <v>45</v>
      </c>
      <c r="E241" s="3" t="s">
        <v>46</v>
      </c>
      <c r="F241" s="12">
        <v>426.26077578122693</v>
      </c>
      <c r="G241" s="6">
        <v>852</v>
      </c>
      <c r="H241" s="12">
        <f>tbl_base_ni_ri[[#This Row],[ni_total]]+tbl_base_ni_ri[[#This Row],[ri_total]]</f>
        <v>1278.260775781227</v>
      </c>
      <c r="I241" s="6" t="str">
        <f t="shared" si="3"/>
        <v>OK</v>
      </c>
      <c r="J241" s="7"/>
    </row>
    <row r="242" spans="1:10">
      <c r="A242" s="5">
        <v>2036</v>
      </c>
      <c r="B242" s="3" t="s">
        <v>47</v>
      </c>
      <c r="C242" s="6" t="s">
        <v>85</v>
      </c>
      <c r="D242" s="3" t="s">
        <v>45</v>
      </c>
      <c r="E242" s="3" t="s">
        <v>46</v>
      </c>
      <c r="F242" s="12">
        <v>432.2284266421641</v>
      </c>
      <c r="G242" s="6">
        <v>883</v>
      </c>
      <c r="H242" s="12">
        <f>tbl_base_ni_ri[[#This Row],[ni_total]]+tbl_base_ni_ri[[#This Row],[ri_total]]</f>
        <v>1315.2284266421641</v>
      </c>
      <c r="I242" s="6" t="str">
        <f t="shared" si="3"/>
        <v>OK</v>
      </c>
      <c r="J242" s="7"/>
    </row>
    <row r="243" spans="1:10">
      <c r="A243" s="5">
        <v>2037</v>
      </c>
      <c r="B243" s="3" t="s">
        <v>47</v>
      </c>
      <c r="C243" s="6" t="s">
        <v>85</v>
      </c>
      <c r="D243" s="3" t="s">
        <v>45</v>
      </c>
      <c r="E243" s="3" t="s">
        <v>46</v>
      </c>
      <c r="F243" s="12">
        <v>436.55071090858576</v>
      </c>
      <c r="G243" s="6">
        <v>907</v>
      </c>
      <c r="H243" s="12">
        <f>tbl_base_ni_ri[[#This Row],[ni_total]]+tbl_base_ni_ri[[#This Row],[ri_total]]</f>
        <v>1343.5507109085856</v>
      </c>
      <c r="I243" s="6" t="str">
        <f t="shared" si="3"/>
        <v>OK</v>
      </c>
      <c r="J243" s="7"/>
    </row>
    <row r="244" spans="1:10">
      <c r="A244" s="5">
        <v>2038</v>
      </c>
      <c r="B244" s="3" t="s">
        <v>47</v>
      </c>
      <c r="C244" s="6" t="s">
        <v>85</v>
      </c>
      <c r="D244" s="3" t="s">
        <v>45</v>
      </c>
      <c r="E244" s="3" t="s">
        <v>46</v>
      </c>
      <c r="F244" s="12">
        <v>440.91621801767161</v>
      </c>
      <c r="G244" s="6">
        <v>936</v>
      </c>
      <c r="H244" s="12">
        <f>tbl_base_ni_ri[[#This Row],[ni_total]]+tbl_base_ni_ri[[#This Row],[ri_total]]</f>
        <v>1376.9162180176716</v>
      </c>
      <c r="I244" s="6" t="str">
        <f t="shared" si="3"/>
        <v>OK</v>
      </c>
      <c r="J244" s="7"/>
    </row>
    <row r="245" spans="1:10">
      <c r="A245" s="5">
        <v>2039</v>
      </c>
      <c r="B245" s="3" t="s">
        <v>47</v>
      </c>
      <c r="C245" s="6" t="s">
        <v>85</v>
      </c>
      <c r="D245" s="3" t="s">
        <v>45</v>
      </c>
      <c r="E245" s="3" t="s">
        <v>46</v>
      </c>
      <c r="F245" s="12">
        <v>445.32538019784835</v>
      </c>
      <c r="G245" s="6">
        <v>952</v>
      </c>
      <c r="H245" s="12">
        <f>tbl_base_ni_ri[[#This Row],[ni_total]]+tbl_base_ni_ri[[#This Row],[ri_total]]</f>
        <v>1397.3253801978483</v>
      </c>
      <c r="I245" s="6" t="str">
        <f t="shared" si="3"/>
        <v>OK</v>
      </c>
      <c r="J245" s="7"/>
    </row>
    <row r="246" spans="1:10">
      <c r="A246" s="5">
        <v>2040</v>
      </c>
      <c r="B246" s="3" t="s">
        <v>47</v>
      </c>
      <c r="C246" s="6" t="s">
        <v>85</v>
      </c>
      <c r="D246" s="3" t="s">
        <v>45</v>
      </c>
      <c r="E246" s="3" t="s">
        <v>46</v>
      </c>
      <c r="F246" s="12">
        <v>450</v>
      </c>
      <c r="G246" s="6">
        <v>978</v>
      </c>
      <c r="H246" s="12">
        <f>tbl_base_ni_ri[[#This Row],[ni_total]]+tbl_base_ni_ri[[#This Row],[ri_total]]</f>
        <v>1428</v>
      </c>
      <c r="I246" s="6" t="str">
        <f t="shared" si="3"/>
        <v>OK</v>
      </c>
      <c r="J246" s="7"/>
    </row>
    <row r="247" spans="1:10">
      <c r="A247" s="5">
        <v>2030</v>
      </c>
      <c r="B247" s="3" t="s">
        <v>47</v>
      </c>
      <c r="C247" s="6" t="s">
        <v>86</v>
      </c>
      <c r="D247" s="3" t="s">
        <v>45</v>
      </c>
      <c r="E247" s="3" t="s">
        <v>46</v>
      </c>
      <c r="F247" s="12">
        <v>202</v>
      </c>
      <c r="G247" s="6">
        <v>343</v>
      </c>
      <c r="H247" s="12">
        <f>tbl_base_ni_ri[[#This Row],[ni_total]]+tbl_base_ni_ri[[#This Row],[ri_total]]</f>
        <v>545</v>
      </c>
      <c r="I247" s="6" t="str">
        <f t="shared" si="3"/>
        <v>OK</v>
      </c>
      <c r="J247" s="7"/>
    </row>
    <row r="248" spans="1:10">
      <c r="A248" s="5">
        <v>2031</v>
      </c>
      <c r="B248" s="3" t="s">
        <v>47</v>
      </c>
      <c r="C248" s="6" t="s">
        <v>86</v>
      </c>
      <c r="D248" s="3" t="s">
        <v>45</v>
      </c>
      <c r="E248" s="3" t="s">
        <v>46</v>
      </c>
      <c r="F248" s="12">
        <v>204.02</v>
      </c>
      <c r="G248" s="6">
        <v>353</v>
      </c>
      <c r="H248" s="12">
        <f>tbl_base_ni_ri[[#This Row],[ni_total]]+tbl_base_ni_ri[[#This Row],[ri_total]]</f>
        <v>557.02</v>
      </c>
      <c r="I248" s="6" t="str">
        <f t="shared" si="3"/>
        <v>OK</v>
      </c>
      <c r="J248" s="7"/>
    </row>
    <row r="249" spans="1:10">
      <c r="A249" s="5">
        <v>2032</v>
      </c>
      <c r="B249" s="3" t="s">
        <v>47</v>
      </c>
      <c r="C249" s="6" t="s">
        <v>86</v>
      </c>
      <c r="D249" s="3" t="s">
        <v>45</v>
      </c>
      <c r="E249" s="3" t="s">
        <v>46</v>
      </c>
      <c r="F249" s="12">
        <v>206.06020000000001</v>
      </c>
      <c r="G249" s="6">
        <v>358</v>
      </c>
      <c r="H249" s="12">
        <f>tbl_base_ni_ri[[#This Row],[ni_total]]+tbl_base_ni_ri[[#This Row],[ri_total]]</f>
        <v>564.06020000000001</v>
      </c>
      <c r="I249" s="6" t="str">
        <f t="shared" si="3"/>
        <v>OK</v>
      </c>
      <c r="J249" s="7"/>
    </row>
    <row r="250" spans="1:10">
      <c r="A250" s="5">
        <v>2033</v>
      </c>
      <c r="B250" s="3" t="s">
        <v>47</v>
      </c>
      <c r="C250" s="6" t="s">
        <v>86</v>
      </c>
      <c r="D250" s="3" t="s">
        <v>45</v>
      </c>
      <c r="E250" s="3" t="s">
        <v>46</v>
      </c>
      <c r="F250" s="12">
        <v>208.120802</v>
      </c>
      <c r="G250" s="6">
        <v>360</v>
      </c>
      <c r="H250" s="12">
        <f>tbl_base_ni_ri[[#This Row],[ni_total]]+tbl_base_ni_ri[[#This Row],[ri_total]]</f>
        <v>568.12080200000003</v>
      </c>
      <c r="I250" s="6" t="str">
        <f t="shared" si="3"/>
        <v>OK</v>
      </c>
      <c r="J250" s="7"/>
    </row>
    <row r="251" spans="1:10">
      <c r="A251" s="5">
        <v>2034</v>
      </c>
      <c r="B251" s="3" t="s">
        <v>47</v>
      </c>
      <c r="C251" s="6" t="s">
        <v>86</v>
      </c>
      <c r="D251" s="3" t="s">
        <v>45</v>
      </c>
      <c r="E251" s="3" t="s">
        <v>46</v>
      </c>
      <c r="F251" s="12">
        <v>209.57764761399997</v>
      </c>
      <c r="G251" s="6">
        <v>367</v>
      </c>
      <c r="H251" s="12">
        <f>tbl_base_ni_ri[[#This Row],[ni_total]]+tbl_base_ni_ri[[#This Row],[ri_total]]</f>
        <v>576.57764761399994</v>
      </c>
      <c r="I251" s="6" t="str">
        <f t="shared" si="3"/>
        <v>OK</v>
      </c>
      <c r="J251" s="7"/>
    </row>
    <row r="252" spans="1:10">
      <c r="A252" s="5">
        <v>2035</v>
      </c>
      <c r="B252" s="3" t="s">
        <v>47</v>
      </c>
      <c r="C252" s="6" t="s">
        <v>86</v>
      </c>
      <c r="D252" s="3" t="s">
        <v>45</v>
      </c>
      <c r="E252" s="3" t="s">
        <v>46</v>
      </c>
      <c r="F252" s="12">
        <v>211.04469114729795</v>
      </c>
      <c r="G252" s="6">
        <v>374</v>
      </c>
      <c r="H252" s="12">
        <f>tbl_base_ni_ri[[#This Row],[ni_total]]+tbl_base_ni_ri[[#This Row],[ri_total]]</f>
        <v>585.04469114729795</v>
      </c>
      <c r="I252" s="6" t="str">
        <f t="shared" si="3"/>
        <v>OK</v>
      </c>
      <c r="J252" s="7"/>
    </row>
    <row r="253" spans="1:10">
      <c r="A253" s="5">
        <v>2036</v>
      </c>
      <c r="B253" s="3" t="s">
        <v>47</v>
      </c>
      <c r="C253" s="6" t="s">
        <v>86</v>
      </c>
      <c r="D253" s="3" t="s">
        <v>45</v>
      </c>
      <c r="E253" s="3" t="s">
        <v>46</v>
      </c>
      <c r="F253" s="12">
        <v>212.52200398532901</v>
      </c>
      <c r="G253" s="6">
        <v>379</v>
      </c>
      <c r="H253" s="12">
        <f>tbl_base_ni_ri[[#This Row],[ni_total]]+tbl_base_ni_ri[[#This Row],[ri_total]]</f>
        <v>591.52200398532898</v>
      </c>
      <c r="I253" s="6" t="str">
        <f t="shared" si="3"/>
        <v>OK</v>
      </c>
      <c r="J253" s="7"/>
    </row>
    <row r="254" spans="1:10">
      <c r="A254" s="5">
        <v>2037</v>
      </c>
      <c r="B254" s="3" t="s">
        <v>47</v>
      </c>
      <c r="C254" s="6" t="s">
        <v>86</v>
      </c>
      <c r="D254" s="3" t="s">
        <v>45</v>
      </c>
      <c r="E254" s="3" t="s">
        <v>46</v>
      </c>
      <c r="F254" s="12">
        <v>214.43470202119696</v>
      </c>
      <c r="G254" s="6">
        <v>385</v>
      </c>
      <c r="H254" s="12">
        <f>tbl_base_ni_ri[[#This Row],[ni_total]]+tbl_base_ni_ri[[#This Row],[ri_total]]</f>
        <v>599.43470202119693</v>
      </c>
      <c r="I254" s="6" t="str">
        <f t="shared" si="3"/>
        <v>OK</v>
      </c>
      <c r="J254" s="7"/>
    </row>
    <row r="255" spans="1:10">
      <c r="A255" s="5">
        <v>2038</v>
      </c>
      <c r="B255" s="3" t="s">
        <v>47</v>
      </c>
      <c r="C255" s="6" t="s">
        <v>86</v>
      </c>
      <c r="D255" s="3" t="s">
        <v>45</v>
      </c>
      <c r="E255" s="3" t="s">
        <v>46</v>
      </c>
      <c r="F255" s="12">
        <v>216.36461433938771</v>
      </c>
      <c r="G255" s="6">
        <v>392</v>
      </c>
      <c r="H255" s="12">
        <f>tbl_base_ni_ri[[#This Row],[ni_total]]+tbl_base_ni_ri[[#This Row],[ri_total]]</f>
        <v>608.36461433938769</v>
      </c>
      <c r="I255" s="6" t="str">
        <f t="shared" si="3"/>
        <v>OK</v>
      </c>
      <c r="J255" s="7"/>
    </row>
    <row r="256" spans="1:10">
      <c r="A256" s="5">
        <v>2039</v>
      </c>
      <c r="B256" s="3" t="s">
        <v>47</v>
      </c>
      <c r="C256" s="6" t="s">
        <v>86</v>
      </c>
      <c r="D256" s="3" t="s">
        <v>45</v>
      </c>
      <c r="E256" s="3" t="s">
        <v>46</v>
      </c>
      <c r="F256" s="12">
        <v>218.31189586844218</v>
      </c>
      <c r="G256" s="6">
        <v>399</v>
      </c>
      <c r="H256" s="12">
        <f>tbl_base_ni_ri[[#This Row],[ni_total]]+tbl_base_ni_ri[[#This Row],[ri_total]]</f>
        <v>617.31189586844221</v>
      </c>
      <c r="I256" s="6" t="str">
        <f t="shared" si="3"/>
        <v>OK</v>
      </c>
      <c r="J256" s="7"/>
    </row>
    <row r="257" spans="1:10">
      <c r="A257" s="5">
        <v>2040</v>
      </c>
      <c r="B257" s="3" t="s">
        <v>47</v>
      </c>
      <c r="C257" s="6" t="s">
        <v>86</v>
      </c>
      <c r="D257" s="3" t="s">
        <v>45</v>
      </c>
      <c r="E257" s="3" t="s">
        <v>46</v>
      </c>
      <c r="F257" s="12">
        <v>220.27670293125814</v>
      </c>
      <c r="G257" s="6">
        <v>418</v>
      </c>
      <c r="H257" s="12">
        <f>tbl_base_ni_ri[[#This Row],[ni_total]]+tbl_base_ni_ri[[#This Row],[ri_total]]</f>
        <v>638.27670293125811</v>
      </c>
      <c r="I257" s="6" t="str">
        <f t="shared" si="3"/>
        <v>OK</v>
      </c>
      <c r="J257" s="7"/>
    </row>
    <row r="258" spans="1:10">
      <c r="A258" s="5">
        <v>2030</v>
      </c>
      <c r="B258" s="3" t="s">
        <v>47</v>
      </c>
      <c r="C258" s="6" t="s">
        <v>87</v>
      </c>
      <c r="D258" s="3" t="s">
        <v>45</v>
      </c>
      <c r="E258" s="3" t="s">
        <v>46</v>
      </c>
      <c r="F258" s="12">
        <v>296.94</v>
      </c>
      <c r="G258" s="6">
        <v>490</v>
      </c>
      <c r="H258" s="12">
        <f>tbl_base_ni_ri[[#This Row],[ni_total]]+tbl_base_ni_ri[[#This Row],[ri_total]]</f>
        <v>786.94</v>
      </c>
      <c r="I258" s="6" t="str">
        <f t="shared" si="3"/>
        <v>OK</v>
      </c>
      <c r="J258" s="7"/>
    </row>
    <row r="259" spans="1:10">
      <c r="A259" s="5">
        <v>2031</v>
      </c>
      <c r="B259" s="3" t="s">
        <v>47</v>
      </c>
      <c r="C259" s="6" t="s">
        <v>87</v>
      </c>
      <c r="D259" s="3" t="s">
        <v>45</v>
      </c>
      <c r="E259" s="3" t="s">
        <v>46</v>
      </c>
      <c r="F259" s="12">
        <v>299.90940000000001</v>
      </c>
      <c r="G259" s="6">
        <v>491</v>
      </c>
      <c r="H259" s="12">
        <f>tbl_base_ni_ri[[#This Row],[ni_total]]+tbl_base_ni_ri[[#This Row],[ri_total]]</f>
        <v>790.90940000000001</v>
      </c>
      <c r="I259" s="6" t="str">
        <f t="shared" si="3"/>
        <v>OK</v>
      </c>
      <c r="J259" s="7"/>
    </row>
    <row r="260" spans="1:10">
      <c r="A260" s="5">
        <v>2032</v>
      </c>
      <c r="B260" s="3" t="s">
        <v>47</v>
      </c>
      <c r="C260" s="6" t="s">
        <v>87</v>
      </c>
      <c r="D260" s="3" t="s">
        <v>45</v>
      </c>
      <c r="E260" s="3" t="s">
        <v>46</v>
      </c>
      <c r="F260" s="12">
        <v>302.90849400000002</v>
      </c>
      <c r="G260" s="6">
        <v>501</v>
      </c>
      <c r="H260" s="12">
        <f>tbl_base_ni_ri[[#This Row],[ni_total]]+tbl_base_ni_ri[[#This Row],[ri_total]]</f>
        <v>803.90849400000002</v>
      </c>
      <c r="I260" s="6" t="str">
        <f t="shared" si="3"/>
        <v>OK</v>
      </c>
      <c r="J260" s="7"/>
    </row>
    <row r="261" spans="1:10">
      <c r="A261" s="5">
        <v>2033</v>
      </c>
      <c r="B261" s="3" t="s">
        <v>47</v>
      </c>
      <c r="C261" s="6" t="s">
        <v>87</v>
      </c>
      <c r="D261" s="3" t="s">
        <v>45</v>
      </c>
      <c r="E261" s="3" t="s">
        <v>46</v>
      </c>
      <c r="F261" s="12">
        <v>305.93757894000004</v>
      </c>
      <c r="G261" s="6">
        <v>509</v>
      </c>
      <c r="H261" s="12">
        <f>tbl_base_ni_ri[[#This Row],[ni_total]]+tbl_base_ni_ri[[#This Row],[ri_total]]</f>
        <v>814.93757894000009</v>
      </c>
      <c r="I261" s="6" t="str">
        <f t="shared" ref="I261:I324" si="4">IF(OR(F261="",G261="",H261=""),"",IF(ABS(H261-F261-G261)&lt;0.01,"OK","Revisar MT"))</f>
        <v>OK</v>
      </c>
      <c r="J261" s="7"/>
    </row>
    <row r="262" spans="1:10">
      <c r="A262" s="5">
        <v>2034</v>
      </c>
      <c r="B262" s="3" t="s">
        <v>47</v>
      </c>
      <c r="C262" s="6" t="s">
        <v>87</v>
      </c>
      <c r="D262" s="3" t="s">
        <v>45</v>
      </c>
      <c r="E262" s="3" t="s">
        <v>46</v>
      </c>
      <c r="F262" s="12">
        <v>308.99695472940004</v>
      </c>
      <c r="G262" s="6">
        <v>515</v>
      </c>
      <c r="H262" s="12">
        <f>tbl_base_ni_ri[[#This Row],[ni_total]]+tbl_base_ni_ri[[#This Row],[ri_total]]</f>
        <v>823.99695472940004</v>
      </c>
      <c r="I262" s="6" t="str">
        <f t="shared" si="4"/>
        <v>OK</v>
      </c>
      <c r="J262" s="7"/>
    </row>
    <row r="263" spans="1:10">
      <c r="A263" s="5">
        <v>2035</v>
      </c>
      <c r="B263" s="3" t="s">
        <v>47</v>
      </c>
      <c r="C263" s="6" t="s">
        <v>87</v>
      </c>
      <c r="D263" s="3" t="s">
        <v>45</v>
      </c>
      <c r="E263" s="3" t="s">
        <v>46</v>
      </c>
      <c r="F263" s="12">
        <v>312.08692427669405</v>
      </c>
      <c r="G263" s="6">
        <v>519</v>
      </c>
      <c r="H263" s="12">
        <f>tbl_base_ni_ri[[#This Row],[ni_total]]+tbl_base_ni_ri[[#This Row],[ri_total]]</f>
        <v>831.08692427669405</v>
      </c>
      <c r="I263" s="6" t="str">
        <f t="shared" si="4"/>
        <v>OK</v>
      </c>
      <c r="J263" s="7"/>
    </row>
    <row r="264" spans="1:10">
      <c r="A264" s="5">
        <v>2036</v>
      </c>
      <c r="B264" s="3" t="s">
        <v>47</v>
      </c>
      <c r="C264" s="6" t="s">
        <v>87</v>
      </c>
      <c r="D264" s="3" t="s">
        <v>45</v>
      </c>
      <c r="E264" s="3" t="s">
        <v>46</v>
      </c>
      <c r="F264" s="12">
        <v>315.20779351946101</v>
      </c>
      <c r="G264" s="6">
        <v>523</v>
      </c>
      <c r="H264" s="12">
        <f>tbl_base_ni_ri[[#This Row],[ni_total]]+tbl_base_ni_ri[[#This Row],[ri_total]]</f>
        <v>838.20779351946101</v>
      </c>
      <c r="I264" s="6" t="str">
        <f t="shared" si="4"/>
        <v>OK</v>
      </c>
      <c r="J264" s="7"/>
    </row>
    <row r="265" spans="1:10">
      <c r="A265" s="5">
        <v>2037</v>
      </c>
      <c r="B265" s="3" t="s">
        <v>47</v>
      </c>
      <c r="C265" s="6" t="s">
        <v>87</v>
      </c>
      <c r="D265" s="3" t="s">
        <v>45</v>
      </c>
      <c r="E265" s="3" t="s">
        <v>46</v>
      </c>
      <c r="F265" s="12">
        <v>318.83268314493483</v>
      </c>
      <c r="G265" s="6">
        <v>524</v>
      </c>
      <c r="H265" s="12">
        <f>tbl_base_ni_ri[[#This Row],[ni_total]]+tbl_base_ni_ri[[#This Row],[ri_total]]</f>
        <v>842.83268314493489</v>
      </c>
      <c r="I265" s="6" t="str">
        <f t="shared" si="4"/>
        <v>OK</v>
      </c>
      <c r="J265" s="7"/>
    </row>
    <row r="266" spans="1:10">
      <c r="A266" s="5">
        <v>2038</v>
      </c>
      <c r="B266" s="3" t="s">
        <v>47</v>
      </c>
      <c r="C266" s="6" t="s">
        <v>87</v>
      </c>
      <c r="D266" s="3" t="s">
        <v>45</v>
      </c>
      <c r="E266" s="3" t="s">
        <v>46</v>
      </c>
      <c r="F266" s="12">
        <v>322.49925900110162</v>
      </c>
      <c r="G266" s="6">
        <v>526</v>
      </c>
      <c r="H266" s="12">
        <f>tbl_base_ni_ri[[#This Row],[ni_total]]+tbl_base_ni_ri[[#This Row],[ri_total]]</f>
        <v>848.49925900110156</v>
      </c>
      <c r="I266" s="6" t="str">
        <f t="shared" si="4"/>
        <v>OK</v>
      </c>
      <c r="J266" s="7"/>
    </row>
    <row r="267" spans="1:10">
      <c r="A267" s="5">
        <v>2039</v>
      </c>
      <c r="B267" s="3" t="s">
        <v>47</v>
      </c>
      <c r="C267" s="6" t="s">
        <v>87</v>
      </c>
      <c r="D267" s="3" t="s">
        <v>45</v>
      </c>
      <c r="E267" s="3" t="s">
        <v>46</v>
      </c>
      <c r="F267" s="12">
        <v>326.20800047961433</v>
      </c>
      <c r="G267" s="6">
        <v>527</v>
      </c>
      <c r="H267" s="12">
        <f>tbl_base_ni_ri[[#This Row],[ni_total]]+tbl_base_ni_ri[[#This Row],[ri_total]]</f>
        <v>853.20800047961438</v>
      </c>
      <c r="I267" s="6" t="str">
        <f t="shared" si="4"/>
        <v>OK</v>
      </c>
      <c r="J267" s="7"/>
    </row>
    <row r="268" spans="1:10">
      <c r="A268" s="5">
        <v>2040</v>
      </c>
      <c r="B268" s="3" t="s">
        <v>47</v>
      </c>
      <c r="C268" s="6" t="s">
        <v>87</v>
      </c>
      <c r="D268" s="3" t="s">
        <v>45</v>
      </c>
      <c r="E268" s="3" t="s">
        <v>46</v>
      </c>
      <c r="F268" s="12">
        <v>330</v>
      </c>
      <c r="G268" s="6">
        <v>529</v>
      </c>
      <c r="H268" s="12">
        <f>tbl_base_ni_ri[[#This Row],[ni_total]]+tbl_base_ni_ri[[#This Row],[ri_total]]</f>
        <v>859</v>
      </c>
      <c r="I268" s="6" t="str">
        <f t="shared" si="4"/>
        <v>OK</v>
      </c>
      <c r="J268" s="7"/>
    </row>
    <row r="269" spans="1:10">
      <c r="A269" s="5">
        <v>2030</v>
      </c>
      <c r="B269" s="3" t="s">
        <v>47</v>
      </c>
      <c r="C269" s="6" t="s">
        <v>88</v>
      </c>
      <c r="D269" s="3" t="s">
        <v>45</v>
      </c>
      <c r="E269" s="3" t="s">
        <v>46</v>
      </c>
      <c r="F269" s="12">
        <v>370.74</v>
      </c>
      <c r="G269" s="6">
        <v>533</v>
      </c>
      <c r="H269" s="12">
        <f>tbl_base_ni_ri[[#This Row],[ni_total]]+tbl_base_ni_ri[[#This Row],[ri_total]]</f>
        <v>903.74</v>
      </c>
      <c r="I269" s="6" t="str">
        <f t="shared" si="4"/>
        <v>OK</v>
      </c>
      <c r="J269" s="7"/>
    </row>
    <row r="270" spans="1:10">
      <c r="A270" s="5">
        <v>2031</v>
      </c>
      <c r="B270" s="3" t="s">
        <v>47</v>
      </c>
      <c r="C270" s="6" t="s">
        <v>88</v>
      </c>
      <c r="D270" s="3" t="s">
        <v>45</v>
      </c>
      <c r="E270" s="3" t="s">
        <v>46</v>
      </c>
      <c r="F270" s="12">
        <v>371.48148000000003</v>
      </c>
      <c r="G270" s="6">
        <v>554</v>
      </c>
      <c r="H270" s="12">
        <f>tbl_base_ni_ri[[#This Row],[ni_total]]+tbl_base_ni_ri[[#This Row],[ri_total]]</f>
        <v>925.48148000000003</v>
      </c>
      <c r="I270" s="6" t="str">
        <f t="shared" si="4"/>
        <v>OK</v>
      </c>
      <c r="J270" s="7"/>
    </row>
    <row r="271" spans="1:10">
      <c r="A271" s="5">
        <v>2032</v>
      </c>
      <c r="B271" s="3" t="s">
        <v>47</v>
      </c>
      <c r="C271" s="6" t="s">
        <v>88</v>
      </c>
      <c r="D271" s="3" t="s">
        <v>45</v>
      </c>
      <c r="E271" s="3" t="s">
        <v>46</v>
      </c>
      <c r="F271" s="12">
        <v>372.22444296000003</v>
      </c>
      <c r="G271" s="6">
        <v>568</v>
      </c>
      <c r="H271" s="12">
        <f>tbl_base_ni_ri[[#This Row],[ni_total]]+tbl_base_ni_ri[[#This Row],[ri_total]]</f>
        <v>940.22444296000003</v>
      </c>
      <c r="I271" s="6" t="str">
        <f t="shared" si="4"/>
        <v>OK</v>
      </c>
      <c r="J271" s="7"/>
    </row>
    <row r="272" spans="1:10">
      <c r="A272" s="5">
        <v>2033</v>
      </c>
      <c r="B272" s="3" t="s">
        <v>47</v>
      </c>
      <c r="C272" s="6" t="s">
        <v>88</v>
      </c>
      <c r="D272" s="3" t="s">
        <v>45</v>
      </c>
      <c r="E272" s="3" t="s">
        <v>46</v>
      </c>
      <c r="F272" s="12">
        <v>372.96889184592004</v>
      </c>
      <c r="G272" s="6">
        <v>607</v>
      </c>
      <c r="H272" s="12">
        <f>tbl_base_ni_ri[[#This Row],[ni_total]]+tbl_base_ni_ri[[#This Row],[ri_total]]</f>
        <v>979.9688918459201</v>
      </c>
      <c r="I272" s="6" t="str">
        <f t="shared" si="4"/>
        <v>OK</v>
      </c>
      <c r="J272" s="7"/>
    </row>
    <row r="273" spans="1:10">
      <c r="A273" s="5">
        <v>2034</v>
      </c>
      <c r="B273" s="3" t="s">
        <v>47</v>
      </c>
      <c r="C273" s="6" t="s">
        <v>88</v>
      </c>
      <c r="D273" s="3" t="s">
        <v>45</v>
      </c>
      <c r="E273" s="3" t="s">
        <v>46</v>
      </c>
      <c r="F273" s="12">
        <v>373.71482962961187</v>
      </c>
      <c r="G273" s="6">
        <v>634</v>
      </c>
      <c r="H273" s="12">
        <f>tbl_base_ni_ri[[#This Row],[ni_total]]+tbl_base_ni_ri[[#This Row],[ri_total]]</f>
        <v>1007.7148296296118</v>
      </c>
      <c r="I273" s="6" t="str">
        <f t="shared" si="4"/>
        <v>OK</v>
      </c>
      <c r="J273" s="7"/>
    </row>
    <row r="274" spans="1:10">
      <c r="A274" s="5">
        <v>2035</v>
      </c>
      <c r="B274" s="3" t="s">
        <v>47</v>
      </c>
      <c r="C274" s="6" t="s">
        <v>88</v>
      </c>
      <c r="D274" s="3" t="s">
        <v>45</v>
      </c>
      <c r="E274" s="3" t="s">
        <v>46</v>
      </c>
      <c r="F274" s="12">
        <v>374.46225928887111</v>
      </c>
      <c r="G274" s="6">
        <v>654</v>
      </c>
      <c r="H274" s="12">
        <f>tbl_base_ni_ri[[#This Row],[ni_total]]+tbl_base_ni_ri[[#This Row],[ri_total]]</f>
        <v>1028.4622592888711</v>
      </c>
      <c r="I274" s="6" t="str">
        <f t="shared" si="4"/>
        <v>OK</v>
      </c>
      <c r="J274" s="7"/>
    </row>
    <row r="275" spans="1:10">
      <c r="A275" s="5">
        <v>2036</v>
      </c>
      <c r="B275" s="3" t="s">
        <v>47</v>
      </c>
      <c r="C275" s="6" t="s">
        <v>88</v>
      </c>
      <c r="D275" s="3" t="s">
        <v>45</v>
      </c>
      <c r="E275" s="3" t="s">
        <v>46</v>
      </c>
      <c r="F275" s="12">
        <v>375.21118380744883</v>
      </c>
      <c r="G275" s="6">
        <v>687</v>
      </c>
      <c r="H275" s="12">
        <f>tbl_base_ni_ri[[#This Row],[ni_total]]+tbl_base_ni_ri[[#This Row],[ri_total]]</f>
        <v>1062.2111838074488</v>
      </c>
      <c r="I275" s="6" t="str">
        <f t="shared" si="4"/>
        <v>OK</v>
      </c>
      <c r="J275" s="7"/>
    </row>
    <row r="276" spans="1:10">
      <c r="A276" s="5">
        <v>2037</v>
      </c>
      <c r="B276" s="3" t="s">
        <v>47</v>
      </c>
      <c r="C276" s="6" t="s">
        <v>88</v>
      </c>
      <c r="D276" s="3" t="s">
        <v>45</v>
      </c>
      <c r="E276" s="3" t="s">
        <v>46</v>
      </c>
      <c r="F276" s="12">
        <v>376.33681735887114</v>
      </c>
      <c r="G276" s="6">
        <v>701</v>
      </c>
      <c r="H276" s="12">
        <f>tbl_base_ni_ri[[#This Row],[ni_total]]+tbl_base_ni_ri[[#This Row],[ri_total]]</f>
        <v>1077.336817358871</v>
      </c>
      <c r="I276" s="6" t="str">
        <f t="shared" si="4"/>
        <v>OK</v>
      </c>
      <c r="J276" s="7"/>
    </row>
    <row r="277" spans="1:10">
      <c r="A277" s="5">
        <v>2038</v>
      </c>
      <c r="B277" s="3" t="s">
        <v>47</v>
      </c>
      <c r="C277" s="6" t="s">
        <v>88</v>
      </c>
      <c r="D277" s="3" t="s">
        <v>45</v>
      </c>
      <c r="E277" s="3" t="s">
        <v>46</v>
      </c>
      <c r="F277" s="12">
        <v>377.4658278109477</v>
      </c>
      <c r="G277" s="6">
        <v>710</v>
      </c>
      <c r="H277" s="12">
        <f>tbl_base_ni_ri[[#This Row],[ni_total]]+tbl_base_ni_ri[[#This Row],[ri_total]]</f>
        <v>1087.4658278109478</v>
      </c>
      <c r="I277" s="6" t="str">
        <f t="shared" si="4"/>
        <v>OK</v>
      </c>
      <c r="J277" s="7"/>
    </row>
    <row r="278" spans="1:10">
      <c r="A278" s="5">
        <v>2039</v>
      </c>
      <c r="B278" s="3" t="s">
        <v>47</v>
      </c>
      <c r="C278" s="6" t="s">
        <v>88</v>
      </c>
      <c r="D278" s="3" t="s">
        <v>45</v>
      </c>
      <c r="E278" s="3" t="s">
        <v>46</v>
      </c>
      <c r="F278" s="12">
        <v>378.59822529438048</v>
      </c>
      <c r="G278" s="6">
        <v>715</v>
      </c>
      <c r="H278" s="12">
        <f>tbl_base_ni_ri[[#This Row],[ni_total]]+tbl_base_ni_ri[[#This Row],[ri_total]]</f>
        <v>1093.5982252943804</v>
      </c>
      <c r="I278" s="6" t="str">
        <f t="shared" si="4"/>
        <v>OK</v>
      </c>
      <c r="J278" s="7"/>
    </row>
    <row r="279" spans="1:10">
      <c r="A279" s="5">
        <v>2040</v>
      </c>
      <c r="B279" s="3" t="s">
        <v>47</v>
      </c>
      <c r="C279" s="6" t="s">
        <v>88</v>
      </c>
      <c r="D279" s="3" t="s">
        <v>45</v>
      </c>
      <c r="E279" s="3" t="s">
        <v>46</v>
      </c>
      <c r="F279" s="12">
        <v>380</v>
      </c>
      <c r="G279" s="6">
        <v>722</v>
      </c>
      <c r="H279" s="12">
        <f>tbl_base_ni_ri[[#This Row],[ni_total]]+tbl_base_ni_ri[[#This Row],[ri_total]]</f>
        <v>1102</v>
      </c>
      <c r="I279" s="6" t="str">
        <f t="shared" si="4"/>
        <v>OK</v>
      </c>
      <c r="J279" s="7"/>
    </row>
    <row r="280" spans="1:10">
      <c r="A280" s="5">
        <v>2030</v>
      </c>
      <c r="B280" s="3" t="s">
        <v>47</v>
      </c>
      <c r="C280" s="6" t="s">
        <v>89</v>
      </c>
      <c r="D280" s="3" t="s">
        <v>45</v>
      </c>
      <c r="E280" s="3" t="s">
        <v>46</v>
      </c>
      <c r="F280" s="12">
        <v>473.28000000000003</v>
      </c>
      <c r="G280" s="6">
        <v>793</v>
      </c>
      <c r="H280" s="12">
        <f>tbl_base_ni_ri[[#This Row],[ni_total]]+tbl_base_ni_ri[[#This Row],[ri_total]]</f>
        <v>1266.28</v>
      </c>
      <c r="I280" s="6" t="str">
        <f t="shared" si="4"/>
        <v>OK</v>
      </c>
      <c r="J280" s="7"/>
    </row>
    <row r="281" spans="1:10">
      <c r="A281" s="5">
        <v>2031</v>
      </c>
      <c r="B281" s="3" t="s">
        <v>47</v>
      </c>
      <c r="C281" s="6" t="s">
        <v>89</v>
      </c>
      <c r="D281" s="3" t="s">
        <v>45</v>
      </c>
      <c r="E281" s="3" t="s">
        <v>46</v>
      </c>
      <c r="F281" s="12">
        <v>482.74560000000002</v>
      </c>
      <c r="G281" s="6">
        <v>834</v>
      </c>
      <c r="H281" s="12">
        <f>tbl_base_ni_ri[[#This Row],[ni_total]]+tbl_base_ni_ri[[#This Row],[ri_total]]</f>
        <v>1316.7456</v>
      </c>
      <c r="I281" s="6" t="str">
        <f t="shared" si="4"/>
        <v>OK</v>
      </c>
      <c r="J281" s="7"/>
    </row>
    <row r="282" spans="1:10">
      <c r="A282" s="5">
        <v>2032</v>
      </c>
      <c r="B282" s="3" t="s">
        <v>47</v>
      </c>
      <c r="C282" s="6" t="s">
        <v>89</v>
      </c>
      <c r="D282" s="3" t="s">
        <v>45</v>
      </c>
      <c r="E282" s="3" t="s">
        <v>46</v>
      </c>
      <c r="F282" s="12">
        <v>492.40051200000005</v>
      </c>
      <c r="G282" s="6">
        <v>867</v>
      </c>
      <c r="H282" s="12">
        <f>tbl_base_ni_ri[[#This Row],[ni_total]]+tbl_base_ni_ri[[#This Row],[ri_total]]</f>
        <v>1359.4005120000002</v>
      </c>
      <c r="I282" s="6" t="str">
        <f t="shared" si="4"/>
        <v>OK</v>
      </c>
      <c r="J282" s="7"/>
    </row>
    <row r="283" spans="1:10">
      <c r="A283" s="5">
        <v>2033</v>
      </c>
      <c r="B283" s="3" t="s">
        <v>47</v>
      </c>
      <c r="C283" s="6" t="s">
        <v>89</v>
      </c>
      <c r="D283" s="3" t="s">
        <v>45</v>
      </c>
      <c r="E283" s="3" t="s">
        <v>46</v>
      </c>
      <c r="F283" s="12">
        <v>502.24852224000006</v>
      </c>
      <c r="G283" s="6">
        <v>904</v>
      </c>
      <c r="H283" s="12">
        <f>tbl_base_ni_ri[[#This Row],[ni_total]]+tbl_base_ni_ri[[#This Row],[ri_total]]</f>
        <v>1406.2485222400001</v>
      </c>
      <c r="I283" s="6" t="str">
        <f t="shared" si="4"/>
        <v>OK</v>
      </c>
      <c r="J283" s="7"/>
    </row>
    <row r="284" spans="1:10">
      <c r="A284" s="5">
        <v>2034</v>
      </c>
      <c r="B284" s="3" t="s">
        <v>47</v>
      </c>
      <c r="C284" s="6" t="s">
        <v>89</v>
      </c>
      <c r="D284" s="3" t="s">
        <v>45</v>
      </c>
      <c r="E284" s="3" t="s">
        <v>46</v>
      </c>
      <c r="F284" s="12">
        <v>507.27100746240006</v>
      </c>
      <c r="G284" s="6">
        <v>936</v>
      </c>
      <c r="H284" s="12">
        <f>tbl_base_ni_ri[[#This Row],[ni_total]]+tbl_base_ni_ri[[#This Row],[ri_total]]</f>
        <v>1443.2710074624001</v>
      </c>
      <c r="I284" s="6" t="str">
        <f t="shared" si="4"/>
        <v>OK</v>
      </c>
      <c r="J284" s="7"/>
    </row>
    <row r="285" spans="1:10">
      <c r="A285" s="5">
        <v>2035</v>
      </c>
      <c r="B285" s="3" t="s">
        <v>47</v>
      </c>
      <c r="C285" s="6" t="s">
        <v>89</v>
      </c>
      <c r="D285" s="3" t="s">
        <v>45</v>
      </c>
      <c r="E285" s="3" t="s">
        <v>46</v>
      </c>
      <c r="F285" s="12">
        <v>512.34371753702408</v>
      </c>
      <c r="G285" s="6">
        <v>978</v>
      </c>
      <c r="H285" s="12">
        <f>tbl_base_ni_ri[[#This Row],[ni_total]]+tbl_base_ni_ri[[#This Row],[ri_total]]</f>
        <v>1490.3437175370241</v>
      </c>
      <c r="I285" s="6" t="str">
        <f t="shared" si="4"/>
        <v>OK</v>
      </c>
      <c r="J285" s="7"/>
    </row>
    <row r="286" spans="1:10">
      <c r="A286" s="5">
        <v>2036</v>
      </c>
      <c r="B286" s="3" t="s">
        <v>47</v>
      </c>
      <c r="C286" s="6" t="s">
        <v>89</v>
      </c>
      <c r="D286" s="3" t="s">
        <v>45</v>
      </c>
      <c r="E286" s="3" t="s">
        <v>46</v>
      </c>
      <c r="F286" s="12">
        <v>517.46715471239429</v>
      </c>
      <c r="G286" s="6">
        <v>1034</v>
      </c>
      <c r="H286" s="12">
        <f>tbl_base_ni_ri[[#This Row],[ni_total]]+tbl_base_ni_ri[[#This Row],[ri_total]]</f>
        <v>1551.4671547123944</v>
      </c>
      <c r="I286" s="6" t="str">
        <f t="shared" si="4"/>
        <v>OK</v>
      </c>
      <c r="J286" s="7"/>
    </row>
    <row r="287" spans="1:10">
      <c r="A287" s="5">
        <v>2037</v>
      </c>
      <c r="B287" s="3" t="s">
        <v>47</v>
      </c>
      <c r="C287" s="6" t="s">
        <v>89</v>
      </c>
      <c r="D287" s="3" t="s">
        <v>45</v>
      </c>
      <c r="E287" s="3" t="s">
        <v>46</v>
      </c>
      <c r="F287" s="12">
        <v>522.64182625951821</v>
      </c>
      <c r="G287" s="6">
        <v>1078</v>
      </c>
      <c r="H287" s="12">
        <f>tbl_base_ni_ri[[#This Row],[ni_total]]+tbl_base_ni_ri[[#This Row],[ri_total]]</f>
        <v>1600.6418262595182</v>
      </c>
      <c r="I287" s="6" t="str">
        <f t="shared" si="4"/>
        <v>OK</v>
      </c>
      <c r="J287" s="7"/>
    </row>
    <row r="288" spans="1:10">
      <c r="A288" s="5">
        <v>2038</v>
      </c>
      <c r="B288" s="3" t="s">
        <v>47</v>
      </c>
      <c r="C288" s="6" t="s">
        <v>89</v>
      </c>
      <c r="D288" s="3" t="s">
        <v>45</v>
      </c>
      <c r="E288" s="3" t="s">
        <v>46</v>
      </c>
      <c r="F288" s="12">
        <v>527.8682445221134</v>
      </c>
      <c r="G288" s="6">
        <v>1106</v>
      </c>
      <c r="H288" s="12">
        <f>tbl_base_ni_ri[[#This Row],[ni_total]]+tbl_base_ni_ri[[#This Row],[ri_total]]</f>
        <v>1633.8682445221134</v>
      </c>
      <c r="I288" s="6" t="str">
        <f t="shared" si="4"/>
        <v>OK</v>
      </c>
      <c r="J288" s="7"/>
    </row>
    <row r="289" spans="1:10">
      <c r="A289" s="5">
        <v>2039</v>
      </c>
      <c r="B289" s="3" t="s">
        <v>47</v>
      </c>
      <c r="C289" s="6" t="s">
        <v>89</v>
      </c>
      <c r="D289" s="3" t="s">
        <v>45</v>
      </c>
      <c r="E289" s="3" t="s">
        <v>46</v>
      </c>
      <c r="F289" s="12">
        <v>533.14692696733459</v>
      </c>
      <c r="G289" s="6">
        <v>1143</v>
      </c>
      <c r="H289" s="12">
        <f>tbl_base_ni_ri[[#This Row],[ni_total]]+tbl_base_ni_ri[[#This Row],[ri_total]]</f>
        <v>1676.1469269673346</v>
      </c>
      <c r="I289" s="6" t="str">
        <f t="shared" si="4"/>
        <v>OK</v>
      </c>
      <c r="J289" s="7"/>
    </row>
    <row r="290" spans="1:10">
      <c r="A290" s="5">
        <v>2040</v>
      </c>
      <c r="B290" s="3" t="s">
        <v>47</v>
      </c>
      <c r="C290" s="6" t="s">
        <v>89</v>
      </c>
      <c r="D290" s="3" t="s">
        <v>45</v>
      </c>
      <c r="E290" s="3" t="s">
        <v>46</v>
      </c>
      <c r="F290" s="12">
        <v>538.47839623700793</v>
      </c>
      <c r="G290" s="6">
        <v>1167</v>
      </c>
      <c r="H290" s="12">
        <f>tbl_base_ni_ri[[#This Row],[ni_total]]+tbl_base_ni_ri[[#This Row],[ri_total]]</f>
        <v>1705.4783962370079</v>
      </c>
      <c r="I290" s="6" t="str">
        <f t="shared" si="4"/>
        <v>OK</v>
      </c>
      <c r="J290" s="7"/>
    </row>
    <row r="291" spans="1:10">
      <c r="A291" s="5">
        <v>2030</v>
      </c>
      <c r="B291" s="3" t="s">
        <v>47</v>
      </c>
      <c r="C291" s="6" t="s">
        <v>90</v>
      </c>
      <c r="D291" s="3" t="s">
        <v>45</v>
      </c>
      <c r="E291" s="3" t="s">
        <v>46</v>
      </c>
      <c r="F291" s="12">
        <v>213.11</v>
      </c>
      <c r="G291" s="6">
        <v>334</v>
      </c>
      <c r="H291" s="12">
        <f>tbl_base_ni_ri[[#This Row],[ni_total]]+tbl_base_ni_ri[[#This Row],[ri_total]]</f>
        <v>547.11</v>
      </c>
      <c r="I291" s="6" t="str">
        <f t="shared" si="4"/>
        <v>OK</v>
      </c>
      <c r="J291" s="7"/>
    </row>
    <row r="292" spans="1:10">
      <c r="A292" s="5">
        <v>2031</v>
      </c>
      <c r="B292" s="3" t="s">
        <v>47</v>
      </c>
      <c r="C292" s="6" t="s">
        <v>90</v>
      </c>
      <c r="D292" s="3" t="s">
        <v>45</v>
      </c>
      <c r="E292" s="3" t="s">
        <v>46</v>
      </c>
      <c r="F292" s="12">
        <v>215.24110000000002</v>
      </c>
      <c r="G292" s="6">
        <v>330</v>
      </c>
      <c r="H292" s="12">
        <f>tbl_base_ni_ri[[#This Row],[ni_total]]+tbl_base_ni_ri[[#This Row],[ri_total]]</f>
        <v>545.24109999999996</v>
      </c>
      <c r="I292" s="6" t="str">
        <f t="shared" si="4"/>
        <v>OK</v>
      </c>
      <c r="J292" s="7"/>
    </row>
    <row r="293" spans="1:10">
      <c r="A293" s="5">
        <v>2032</v>
      </c>
      <c r="B293" s="3" t="s">
        <v>47</v>
      </c>
      <c r="C293" s="6" t="s">
        <v>90</v>
      </c>
      <c r="D293" s="3" t="s">
        <v>45</v>
      </c>
      <c r="E293" s="3" t="s">
        <v>46</v>
      </c>
      <c r="F293" s="12">
        <v>217.39351100000002</v>
      </c>
      <c r="G293" s="6">
        <v>334</v>
      </c>
      <c r="H293" s="12">
        <f>tbl_base_ni_ri[[#This Row],[ni_total]]+tbl_base_ni_ri[[#This Row],[ri_total]]</f>
        <v>551.39351099999999</v>
      </c>
      <c r="I293" s="6" t="str">
        <f t="shared" si="4"/>
        <v>OK</v>
      </c>
      <c r="J293" s="7"/>
    </row>
    <row r="294" spans="1:10">
      <c r="A294" s="5">
        <v>2033</v>
      </c>
      <c r="B294" s="3" t="s">
        <v>47</v>
      </c>
      <c r="C294" s="6" t="s">
        <v>90</v>
      </c>
      <c r="D294" s="3" t="s">
        <v>45</v>
      </c>
      <c r="E294" s="3" t="s">
        <v>46</v>
      </c>
      <c r="F294" s="12">
        <v>219.56744611000002</v>
      </c>
      <c r="G294" s="6">
        <v>345</v>
      </c>
      <c r="H294" s="12">
        <f>tbl_base_ni_ri[[#This Row],[ni_total]]+tbl_base_ni_ri[[#This Row],[ri_total]]</f>
        <v>564.56744610999999</v>
      </c>
      <c r="I294" s="6" t="str">
        <f t="shared" si="4"/>
        <v>OK</v>
      </c>
      <c r="J294" s="7"/>
    </row>
    <row r="295" spans="1:10">
      <c r="A295" s="5">
        <v>2034</v>
      </c>
      <c r="B295" s="3" t="s">
        <v>47</v>
      </c>
      <c r="C295" s="6" t="s">
        <v>90</v>
      </c>
      <c r="D295" s="3" t="s">
        <v>45</v>
      </c>
      <c r="E295" s="3" t="s">
        <v>46</v>
      </c>
      <c r="F295" s="12">
        <v>221.76312057110002</v>
      </c>
      <c r="G295" s="6">
        <v>365</v>
      </c>
      <c r="H295" s="12">
        <f>tbl_base_ni_ri[[#This Row],[ni_total]]+tbl_base_ni_ri[[#This Row],[ri_total]]</f>
        <v>586.76312057109999</v>
      </c>
      <c r="I295" s="6" t="str">
        <f t="shared" si="4"/>
        <v>OK</v>
      </c>
      <c r="J295" s="7"/>
    </row>
    <row r="296" spans="1:10">
      <c r="A296" s="5">
        <v>2035</v>
      </c>
      <c r="B296" s="3" t="s">
        <v>47</v>
      </c>
      <c r="C296" s="6" t="s">
        <v>90</v>
      </c>
      <c r="D296" s="3" t="s">
        <v>45</v>
      </c>
      <c r="E296" s="3" t="s">
        <v>46</v>
      </c>
      <c r="F296" s="12">
        <v>223.98075177681102</v>
      </c>
      <c r="G296" s="6">
        <v>376</v>
      </c>
      <c r="H296" s="12">
        <f>tbl_base_ni_ri[[#This Row],[ni_total]]+tbl_base_ni_ri[[#This Row],[ri_total]]</f>
        <v>599.98075177681108</v>
      </c>
      <c r="I296" s="6" t="str">
        <f t="shared" si="4"/>
        <v>OK</v>
      </c>
      <c r="J296" s="7"/>
    </row>
    <row r="297" spans="1:10">
      <c r="A297" s="5">
        <v>2036</v>
      </c>
      <c r="B297" s="3" t="s">
        <v>47</v>
      </c>
      <c r="C297" s="6" t="s">
        <v>90</v>
      </c>
      <c r="D297" s="3" t="s">
        <v>45</v>
      </c>
      <c r="E297" s="3" t="s">
        <v>46</v>
      </c>
      <c r="F297" s="12">
        <v>226.22055929457912</v>
      </c>
      <c r="G297" s="6">
        <v>389</v>
      </c>
      <c r="H297" s="12">
        <f>tbl_base_ni_ri[[#This Row],[ni_total]]+tbl_base_ni_ri[[#This Row],[ri_total]]</f>
        <v>615.22055929457906</v>
      </c>
      <c r="I297" s="6" t="str">
        <f t="shared" si="4"/>
        <v>OK</v>
      </c>
      <c r="J297" s="7"/>
    </row>
    <row r="298" spans="1:10">
      <c r="A298" s="5">
        <v>2037</v>
      </c>
      <c r="B298" s="3" t="s">
        <v>47</v>
      </c>
      <c r="C298" s="6" t="s">
        <v>90</v>
      </c>
      <c r="D298" s="3" t="s">
        <v>45</v>
      </c>
      <c r="E298" s="3" t="s">
        <v>46</v>
      </c>
      <c r="F298" s="12">
        <v>228.48276488752492</v>
      </c>
      <c r="G298" s="6">
        <v>401</v>
      </c>
      <c r="H298" s="12">
        <f>tbl_base_ni_ri[[#This Row],[ni_total]]+tbl_base_ni_ri[[#This Row],[ri_total]]</f>
        <v>629.48276488752492</v>
      </c>
      <c r="I298" s="6" t="str">
        <f t="shared" si="4"/>
        <v>OK</v>
      </c>
      <c r="J298" s="7"/>
    </row>
    <row r="299" spans="1:10">
      <c r="A299" s="5">
        <v>2038</v>
      </c>
      <c r="B299" s="3" t="s">
        <v>47</v>
      </c>
      <c r="C299" s="6" t="s">
        <v>90</v>
      </c>
      <c r="D299" s="3" t="s">
        <v>45</v>
      </c>
      <c r="E299" s="3" t="s">
        <v>46</v>
      </c>
      <c r="F299" s="12">
        <v>230.76759253640017</v>
      </c>
      <c r="G299" s="6">
        <v>415</v>
      </c>
      <c r="H299" s="12">
        <f>tbl_base_ni_ri[[#This Row],[ni_total]]+tbl_base_ni_ri[[#This Row],[ri_total]]</f>
        <v>645.76759253640012</v>
      </c>
      <c r="I299" s="6" t="str">
        <f t="shared" si="4"/>
        <v>OK</v>
      </c>
      <c r="J299" s="7"/>
    </row>
    <row r="300" spans="1:10">
      <c r="A300" s="5">
        <v>2039</v>
      </c>
      <c r="B300" s="3" t="s">
        <v>47</v>
      </c>
      <c r="C300" s="6" t="s">
        <v>90</v>
      </c>
      <c r="D300" s="3" t="s">
        <v>45</v>
      </c>
      <c r="E300" s="3" t="s">
        <v>46</v>
      </c>
      <c r="F300" s="12">
        <v>233.07526846176418</v>
      </c>
      <c r="G300" s="6">
        <v>427</v>
      </c>
      <c r="H300" s="12">
        <f>tbl_base_ni_ri[[#This Row],[ni_total]]+tbl_base_ni_ri[[#This Row],[ri_total]]</f>
        <v>660.07526846176415</v>
      </c>
      <c r="I300" s="6" t="str">
        <f t="shared" si="4"/>
        <v>OK</v>
      </c>
      <c r="J300" s="7"/>
    </row>
    <row r="301" spans="1:10">
      <c r="A301" s="5">
        <v>2040</v>
      </c>
      <c r="B301" s="3" t="s">
        <v>47</v>
      </c>
      <c r="C301" s="6" t="s">
        <v>90</v>
      </c>
      <c r="D301" s="3" t="s">
        <v>45</v>
      </c>
      <c r="E301" s="3" t="s">
        <v>46</v>
      </c>
      <c r="F301" s="12">
        <v>235.40602114638182</v>
      </c>
      <c r="G301" s="6">
        <v>436</v>
      </c>
      <c r="H301" s="12">
        <f>tbl_base_ni_ri[[#This Row],[ni_total]]+tbl_base_ni_ri[[#This Row],[ri_total]]</f>
        <v>671.40602114638182</v>
      </c>
      <c r="I301" s="6" t="str">
        <f t="shared" si="4"/>
        <v>OK</v>
      </c>
      <c r="J301" s="7"/>
    </row>
    <row r="302" spans="1:10">
      <c r="A302" s="5">
        <v>2030</v>
      </c>
      <c r="B302" s="3" t="s">
        <v>47</v>
      </c>
      <c r="C302" s="6" t="s">
        <v>91</v>
      </c>
      <c r="D302" s="3" t="s">
        <v>45</v>
      </c>
      <c r="E302" s="3" t="s">
        <v>46</v>
      </c>
      <c r="F302" s="12">
        <v>271.69</v>
      </c>
      <c r="G302" s="6">
        <v>460</v>
      </c>
      <c r="H302" s="12">
        <f>tbl_base_ni_ri[[#This Row],[ni_total]]+tbl_base_ni_ri[[#This Row],[ri_total]]</f>
        <v>731.69</v>
      </c>
      <c r="I302" s="6" t="str">
        <f t="shared" si="4"/>
        <v>OK</v>
      </c>
      <c r="J302" s="7"/>
    </row>
    <row r="303" spans="1:10">
      <c r="A303" s="5">
        <v>2031</v>
      </c>
      <c r="B303" s="3" t="s">
        <v>47</v>
      </c>
      <c r="C303" s="6" t="s">
        <v>91</v>
      </c>
      <c r="D303" s="3" t="s">
        <v>45</v>
      </c>
      <c r="E303" s="3" t="s">
        <v>46</v>
      </c>
      <c r="F303" s="12">
        <v>274.40690000000001</v>
      </c>
      <c r="G303" s="6">
        <v>481</v>
      </c>
      <c r="H303" s="12">
        <f>tbl_base_ni_ri[[#This Row],[ni_total]]+tbl_base_ni_ri[[#This Row],[ri_total]]</f>
        <v>755.40689999999995</v>
      </c>
      <c r="I303" s="6" t="str">
        <f t="shared" si="4"/>
        <v>OK</v>
      </c>
      <c r="J303" s="7"/>
    </row>
    <row r="304" spans="1:10">
      <c r="A304" s="5">
        <v>2032</v>
      </c>
      <c r="B304" s="3" t="s">
        <v>47</v>
      </c>
      <c r="C304" s="6" t="s">
        <v>91</v>
      </c>
      <c r="D304" s="3" t="s">
        <v>45</v>
      </c>
      <c r="E304" s="3" t="s">
        <v>46</v>
      </c>
      <c r="F304" s="12">
        <v>277.15096900000003</v>
      </c>
      <c r="G304" s="6">
        <v>497</v>
      </c>
      <c r="H304" s="12">
        <f>tbl_base_ni_ri[[#This Row],[ni_total]]+tbl_base_ni_ri[[#This Row],[ri_total]]</f>
        <v>774.15096900000003</v>
      </c>
      <c r="I304" s="6" t="str">
        <f t="shared" si="4"/>
        <v>OK</v>
      </c>
      <c r="J304" s="7"/>
    </row>
    <row r="305" spans="1:10">
      <c r="A305" s="5">
        <v>2033</v>
      </c>
      <c r="B305" s="3" t="s">
        <v>47</v>
      </c>
      <c r="C305" s="6" t="s">
        <v>91</v>
      </c>
      <c r="D305" s="3" t="s">
        <v>45</v>
      </c>
      <c r="E305" s="3" t="s">
        <v>46</v>
      </c>
      <c r="F305" s="12">
        <v>279.92247869000005</v>
      </c>
      <c r="G305" s="6">
        <v>517</v>
      </c>
      <c r="H305" s="12">
        <f>tbl_base_ni_ri[[#This Row],[ni_total]]+tbl_base_ni_ri[[#This Row],[ri_total]]</f>
        <v>796.92247869000005</v>
      </c>
      <c r="I305" s="6" t="str">
        <f t="shared" si="4"/>
        <v>OK</v>
      </c>
      <c r="J305" s="7"/>
    </row>
    <row r="306" spans="1:10">
      <c r="A306" s="5">
        <v>2034</v>
      </c>
      <c r="B306" s="3" t="s">
        <v>47</v>
      </c>
      <c r="C306" s="6" t="s">
        <v>91</v>
      </c>
      <c r="D306" s="3" t="s">
        <v>45</v>
      </c>
      <c r="E306" s="3" t="s">
        <v>46</v>
      </c>
      <c r="F306" s="12">
        <v>282.72170347690007</v>
      </c>
      <c r="G306" s="6">
        <v>542</v>
      </c>
      <c r="H306" s="12">
        <f>tbl_base_ni_ri[[#This Row],[ni_total]]+tbl_base_ni_ri[[#This Row],[ri_total]]</f>
        <v>824.72170347690007</v>
      </c>
      <c r="I306" s="6" t="str">
        <f t="shared" si="4"/>
        <v>OK</v>
      </c>
      <c r="J306" s="7"/>
    </row>
    <row r="307" spans="1:10">
      <c r="A307" s="5">
        <v>2035</v>
      </c>
      <c r="B307" s="3" t="s">
        <v>47</v>
      </c>
      <c r="C307" s="6" t="s">
        <v>91</v>
      </c>
      <c r="D307" s="3" t="s">
        <v>45</v>
      </c>
      <c r="E307" s="3" t="s">
        <v>46</v>
      </c>
      <c r="F307" s="12">
        <v>285.54892051166905</v>
      </c>
      <c r="G307" s="6">
        <v>562</v>
      </c>
      <c r="H307" s="12">
        <f>tbl_base_ni_ri[[#This Row],[ni_total]]+tbl_base_ni_ri[[#This Row],[ri_total]]</f>
        <v>847.54892051166905</v>
      </c>
      <c r="I307" s="6" t="str">
        <f t="shared" si="4"/>
        <v>OK</v>
      </c>
      <c r="J307" s="7"/>
    </row>
    <row r="308" spans="1:10">
      <c r="A308" s="5">
        <v>2036</v>
      </c>
      <c r="B308" s="3" t="s">
        <v>47</v>
      </c>
      <c r="C308" s="6" t="s">
        <v>91</v>
      </c>
      <c r="D308" s="3" t="s">
        <v>45</v>
      </c>
      <c r="E308" s="3" t="s">
        <v>46</v>
      </c>
      <c r="F308" s="12">
        <v>288.40440971678572</v>
      </c>
      <c r="G308" s="6">
        <v>583</v>
      </c>
      <c r="H308" s="12">
        <f>tbl_base_ni_ri[[#This Row],[ni_total]]+tbl_base_ni_ri[[#This Row],[ri_total]]</f>
        <v>871.40440971678572</v>
      </c>
      <c r="I308" s="6" t="str">
        <f t="shared" si="4"/>
        <v>OK</v>
      </c>
      <c r="J308" s="7"/>
    </row>
    <row r="309" spans="1:10">
      <c r="A309" s="5">
        <v>2037</v>
      </c>
      <c r="B309" s="3" t="s">
        <v>47</v>
      </c>
      <c r="C309" s="6" t="s">
        <v>91</v>
      </c>
      <c r="D309" s="3" t="s">
        <v>45</v>
      </c>
      <c r="E309" s="3" t="s">
        <v>46</v>
      </c>
      <c r="F309" s="12">
        <v>291.28845381395359</v>
      </c>
      <c r="G309" s="6">
        <v>604</v>
      </c>
      <c r="H309" s="12">
        <f>tbl_base_ni_ri[[#This Row],[ni_total]]+tbl_base_ni_ri[[#This Row],[ri_total]]</f>
        <v>895.28845381395354</v>
      </c>
      <c r="I309" s="6" t="str">
        <f t="shared" si="4"/>
        <v>OK</v>
      </c>
      <c r="J309" s="7"/>
    </row>
    <row r="310" spans="1:10">
      <c r="A310" s="5">
        <v>2038</v>
      </c>
      <c r="B310" s="3" t="s">
        <v>47</v>
      </c>
      <c r="C310" s="6" t="s">
        <v>91</v>
      </c>
      <c r="D310" s="3" t="s">
        <v>45</v>
      </c>
      <c r="E310" s="3" t="s">
        <v>46</v>
      </c>
      <c r="F310" s="12">
        <v>294.20133835209316</v>
      </c>
      <c r="G310" s="6">
        <v>622</v>
      </c>
      <c r="H310" s="12">
        <f>tbl_base_ni_ri[[#This Row],[ni_total]]+tbl_base_ni_ri[[#This Row],[ri_total]]</f>
        <v>916.20133835209322</v>
      </c>
      <c r="I310" s="6" t="str">
        <f t="shared" si="4"/>
        <v>OK</v>
      </c>
      <c r="J310" s="7"/>
    </row>
    <row r="311" spans="1:10">
      <c r="A311" s="5">
        <v>2039</v>
      </c>
      <c r="B311" s="3" t="s">
        <v>47</v>
      </c>
      <c r="C311" s="6" t="s">
        <v>91</v>
      </c>
      <c r="D311" s="3" t="s">
        <v>45</v>
      </c>
      <c r="E311" s="3" t="s">
        <v>46</v>
      </c>
      <c r="F311" s="12">
        <v>297.14335173561409</v>
      </c>
      <c r="G311" s="6">
        <v>640</v>
      </c>
      <c r="H311" s="12">
        <f>tbl_base_ni_ri[[#This Row],[ni_total]]+tbl_base_ni_ri[[#This Row],[ri_total]]</f>
        <v>937.14335173561403</v>
      </c>
      <c r="I311" s="6" t="str">
        <f t="shared" si="4"/>
        <v>OK</v>
      </c>
      <c r="J311" s="7"/>
    </row>
    <row r="312" spans="1:10">
      <c r="A312" s="5">
        <v>2040</v>
      </c>
      <c r="B312" s="3" t="s">
        <v>47</v>
      </c>
      <c r="C312" s="6" t="s">
        <v>91</v>
      </c>
      <c r="D312" s="3" t="s">
        <v>45</v>
      </c>
      <c r="E312" s="3" t="s">
        <v>46</v>
      </c>
      <c r="F312" s="12">
        <v>300.11478525297025</v>
      </c>
      <c r="G312" s="6">
        <v>657</v>
      </c>
      <c r="H312" s="12">
        <f>tbl_base_ni_ri[[#This Row],[ni_total]]+tbl_base_ni_ri[[#This Row],[ri_total]]</f>
        <v>957.11478525297025</v>
      </c>
      <c r="I312" s="6" t="str">
        <f t="shared" si="4"/>
        <v>OK</v>
      </c>
      <c r="J312" s="7"/>
    </row>
    <row r="313" spans="1:10">
      <c r="A313" s="5">
        <v>2030</v>
      </c>
      <c r="B313" s="3" t="s">
        <v>47</v>
      </c>
      <c r="C313" s="6" t="s">
        <v>92</v>
      </c>
      <c r="D313" s="3" t="s">
        <v>45</v>
      </c>
      <c r="E313" s="3" t="s">
        <v>46</v>
      </c>
      <c r="F313" s="12">
        <v>385.56</v>
      </c>
      <c r="G313" s="6">
        <v>697</v>
      </c>
      <c r="H313" s="12">
        <f>tbl_base_ni_ri[[#This Row],[ni_total]]+tbl_base_ni_ri[[#This Row],[ri_total]]</f>
        <v>1082.56</v>
      </c>
      <c r="I313" s="6" t="str">
        <f t="shared" si="4"/>
        <v>OK</v>
      </c>
      <c r="J313" s="7"/>
    </row>
    <row r="314" spans="1:10">
      <c r="A314" s="5">
        <v>2031</v>
      </c>
      <c r="B314" s="3" t="s">
        <v>47</v>
      </c>
      <c r="C314" s="6" t="s">
        <v>92</v>
      </c>
      <c r="D314" s="3" t="s">
        <v>45</v>
      </c>
      <c r="E314" s="3" t="s">
        <v>46</v>
      </c>
      <c r="F314" s="12">
        <v>393.27120000000002</v>
      </c>
      <c r="G314" s="6">
        <v>714</v>
      </c>
      <c r="H314" s="12">
        <f>tbl_base_ni_ri[[#This Row],[ni_total]]+tbl_base_ni_ri[[#This Row],[ri_total]]</f>
        <v>1107.2712000000001</v>
      </c>
      <c r="I314" s="6" t="str">
        <f t="shared" si="4"/>
        <v>OK</v>
      </c>
      <c r="J314" s="7"/>
    </row>
    <row r="315" spans="1:10">
      <c r="A315" s="5">
        <v>2032</v>
      </c>
      <c r="B315" s="3" t="s">
        <v>47</v>
      </c>
      <c r="C315" s="6" t="s">
        <v>92</v>
      </c>
      <c r="D315" s="3" t="s">
        <v>45</v>
      </c>
      <c r="E315" s="3" t="s">
        <v>46</v>
      </c>
      <c r="F315" s="12">
        <v>412.93476000000004</v>
      </c>
      <c r="G315" s="6">
        <v>735</v>
      </c>
      <c r="H315" s="12">
        <f>tbl_base_ni_ri[[#This Row],[ni_total]]+tbl_base_ni_ri[[#This Row],[ri_total]]</f>
        <v>1147.9347600000001</v>
      </c>
      <c r="I315" s="6" t="str">
        <f t="shared" si="4"/>
        <v>OK</v>
      </c>
      <c r="J315" s="7"/>
    </row>
    <row r="316" spans="1:10">
      <c r="A316" s="5">
        <v>2033</v>
      </c>
      <c r="B316" s="3" t="s">
        <v>47</v>
      </c>
      <c r="C316" s="6" t="s">
        <v>92</v>
      </c>
      <c r="D316" s="3" t="s">
        <v>45</v>
      </c>
      <c r="E316" s="3" t="s">
        <v>46</v>
      </c>
      <c r="F316" s="12">
        <v>433.58149800000007</v>
      </c>
      <c r="G316" s="6">
        <v>752</v>
      </c>
      <c r="H316" s="12">
        <f>tbl_base_ni_ri[[#This Row],[ni_total]]+tbl_base_ni_ri[[#This Row],[ri_total]]</f>
        <v>1185.581498</v>
      </c>
      <c r="I316" s="6" t="str">
        <f t="shared" si="4"/>
        <v>OK</v>
      </c>
      <c r="J316" s="7"/>
    </row>
    <row r="317" spans="1:10">
      <c r="A317" s="5">
        <v>2034</v>
      </c>
      <c r="B317" s="3" t="s">
        <v>47</v>
      </c>
      <c r="C317" s="6" t="s">
        <v>92</v>
      </c>
      <c r="D317" s="3" t="s">
        <v>45</v>
      </c>
      <c r="E317" s="3" t="s">
        <v>46</v>
      </c>
      <c r="F317" s="12">
        <v>455.26057290000011</v>
      </c>
      <c r="G317" s="6">
        <v>774</v>
      </c>
      <c r="H317" s="12">
        <f>tbl_base_ni_ri[[#This Row],[ni_total]]+tbl_base_ni_ri[[#This Row],[ri_total]]</f>
        <v>1229.2605729000002</v>
      </c>
      <c r="I317" s="6" t="str">
        <f t="shared" si="4"/>
        <v>OK</v>
      </c>
      <c r="J317" s="7"/>
    </row>
    <row r="318" spans="1:10">
      <c r="A318" s="5">
        <v>2035</v>
      </c>
      <c r="B318" s="3" t="s">
        <v>47</v>
      </c>
      <c r="C318" s="6" t="s">
        <v>92</v>
      </c>
      <c r="D318" s="3" t="s">
        <v>45</v>
      </c>
      <c r="E318" s="3" t="s">
        <v>46</v>
      </c>
      <c r="F318" s="12">
        <v>462.36263783724013</v>
      </c>
      <c r="G318" s="6">
        <v>793</v>
      </c>
      <c r="H318" s="12">
        <f>tbl_base_ni_ri[[#This Row],[ni_total]]+tbl_base_ni_ri[[#This Row],[ri_total]]</f>
        <v>1255.3626378372401</v>
      </c>
      <c r="I318" s="6" t="str">
        <f t="shared" si="4"/>
        <v>OK</v>
      </c>
      <c r="J318" s="7"/>
    </row>
    <row r="319" spans="1:10">
      <c r="A319" s="5">
        <v>2036</v>
      </c>
      <c r="B319" s="3" t="s">
        <v>47</v>
      </c>
      <c r="C319" s="6" t="s">
        <v>92</v>
      </c>
      <c r="D319" s="3" t="s">
        <v>45</v>
      </c>
      <c r="E319" s="3" t="s">
        <v>46</v>
      </c>
      <c r="F319" s="12">
        <v>469.57549498750109</v>
      </c>
      <c r="G319" s="6">
        <v>816</v>
      </c>
      <c r="H319" s="12">
        <f>tbl_base_ni_ri[[#This Row],[ni_total]]+tbl_base_ni_ri[[#This Row],[ri_total]]</f>
        <v>1285.5754949875011</v>
      </c>
      <c r="I319" s="6" t="str">
        <f t="shared" si="4"/>
        <v>OK</v>
      </c>
      <c r="J319" s="7"/>
    </row>
    <row r="320" spans="1:10">
      <c r="A320" s="5">
        <v>2037</v>
      </c>
      <c r="B320" s="3" t="s">
        <v>47</v>
      </c>
      <c r="C320" s="6" t="s">
        <v>92</v>
      </c>
      <c r="D320" s="3" t="s">
        <v>45</v>
      </c>
      <c r="E320" s="3" t="s">
        <v>46</v>
      </c>
      <c r="F320" s="12">
        <v>476.90087270930616</v>
      </c>
      <c r="G320" s="6">
        <v>839</v>
      </c>
      <c r="H320" s="12">
        <f>tbl_base_ni_ri[[#This Row],[ni_total]]+tbl_base_ni_ri[[#This Row],[ri_total]]</f>
        <v>1315.9008727093062</v>
      </c>
      <c r="I320" s="6" t="str">
        <f t="shared" si="4"/>
        <v>OK</v>
      </c>
      <c r="J320" s="7"/>
    </row>
    <row r="321" spans="1:10">
      <c r="A321" s="5">
        <v>2038</v>
      </c>
      <c r="B321" s="3" t="s">
        <v>47</v>
      </c>
      <c r="C321" s="6" t="s">
        <v>92</v>
      </c>
      <c r="D321" s="3" t="s">
        <v>45</v>
      </c>
      <c r="E321" s="3" t="s">
        <v>46</v>
      </c>
      <c r="F321" s="12">
        <v>484.34052632357134</v>
      </c>
      <c r="G321" s="6">
        <v>851</v>
      </c>
      <c r="H321" s="12">
        <f>tbl_base_ni_ri[[#This Row],[ni_total]]+tbl_base_ni_ri[[#This Row],[ri_total]]</f>
        <v>1335.3405263235713</v>
      </c>
      <c r="I321" s="6" t="str">
        <f t="shared" si="4"/>
        <v>OK</v>
      </c>
      <c r="J321" s="7"/>
    </row>
    <row r="322" spans="1:10">
      <c r="A322" s="5">
        <v>2039</v>
      </c>
      <c r="B322" s="3" t="s">
        <v>47</v>
      </c>
      <c r="C322" s="6" t="s">
        <v>92</v>
      </c>
      <c r="D322" s="3" t="s">
        <v>45</v>
      </c>
      <c r="E322" s="3" t="s">
        <v>46</v>
      </c>
      <c r="F322" s="12">
        <v>491.89623853421909</v>
      </c>
      <c r="G322" s="6">
        <v>872</v>
      </c>
      <c r="H322" s="12">
        <f>tbl_base_ni_ri[[#This Row],[ni_total]]+tbl_base_ni_ri[[#This Row],[ri_total]]</f>
        <v>1363.896238534219</v>
      </c>
      <c r="I322" s="6" t="str">
        <f t="shared" si="4"/>
        <v>OK</v>
      </c>
      <c r="J322" s="7"/>
    </row>
    <row r="323" spans="1:10">
      <c r="A323" s="5">
        <v>2040</v>
      </c>
      <c r="B323" s="3" t="s">
        <v>47</v>
      </c>
      <c r="C323" s="6" t="s">
        <v>92</v>
      </c>
      <c r="D323" s="3" t="s">
        <v>45</v>
      </c>
      <c r="E323" s="3" t="s">
        <v>46</v>
      </c>
      <c r="F323" s="12">
        <v>500</v>
      </c>
      <c r="G323" s="6">
        <v>889</v>
      </c>
      <c r="H323" s="12">
        <f>tbl_base_ni_ri[[#This Row],[ni_total]]+tbl_base_ni_ri[[#This Row],[ri_total]]</f>
        <v>1389</v>
      </c>
      <c r="I323" s="6" t="str">
        <f t="shared" si="4"/>
        <v>OK</v>
      </c>
      <c r="J323" s="7"/>
    </row>
    <row r="324" spans="1:10">
      <c r="A324" s="5">
        <v>2030</v>
      </c>
      <c r="B324" s="3" t="s">
        <v>47</v>
      </c>
      <c r="C324" s="6" t="s">
        <v>93</v>
      </c>
      <c r="D324" s="3" t="s">
        <v>45</v>
      </c>
      <c r="E324" s="3" t="s">
        <v>46</v>
      </c>
      <c r="F324" s="12">
        <v>183.75</v>
      </c>
      <c r="G324" s="6">
        <v>304</v>
      </c>
      <c r="H324" s="12">
        <f>tbl_base_ni_ri[[#This Row],[ni_total]]+tbl_base_ni_ri[[#This Row],[ri_total]]</f>
        <v>487.75</v>
      </c>
      <c r="I324" s="6" t="str">
        <f t="shared" si="4"/>
        <v>OK</v>
      </c>
      <c r="J324" s="7"/>
    </row>
    <row r="325" spans="1:10">
      <c r="A325" s="5">
        <v>2031</v>
      </c>
      <c r="B325" s="3" t="s">
        <v>47</v>
      </c>
      <c r="C325" s="6" t="s">
        <v>93</v>
      </c>
      <c r="D325" s="3" t="s">
        <v>45</v>
      </c>
      <c r="E325" s="3" t="s">
        <v>46</v>
      </c>
      <c r="F325" s="12">
        <v>192.9375</v>
      </c>
      <c r="G325" s="6">
        <v>330</v>
      </c>
      <c r="H325" s="12">
        <f>tbl_base_ni_ri[[#This Row],[ni_total]]+tbl_base_ni_ri[[#This Row],[ri_total]]</f>
        <v>522.9375</v>
      </c>
      <c r="I325" s="6" t="str">
        <f t="shared" ref="I325:I388" si="5">IF(OR(F325="",G325="",H325=""),"",IF(ABS(H325-F325-G325)&lt;0.01,"OK","Revisar MT"))</f>
        <v>OK</v>
      </c>
      <c r="J325" s="7"/>
    </row>
    <row r="326" spans="1:10">
      <c r="A326" s="5">
        <v>2032</v>
      </c>
      <c r="B326" s="3" t="s">
        <v>47</v>
      </c>
      <c r="C326" s="6" t="s">
        <v>93</v>
      </c>
      <c r="D326" s="3" t="s">
        <v>45</v>
      </c>
      <c r="E326" s="3" t="s">
        <v>46</v>
      </c>
      <c r="F326" s="12">
        <v>202.58437500000002</v>
      </c>
      <c r="G326" s="6">
        <v>345</v>
      </c>
      <c r="H326" s="12">
        <f>tbl_base_ni_ri[[#This Row],[ni_total]]+tbl_base_ni_ri[[#This Row],[ri_total]]</f>
        <v>547.58437500000002</v>
      </c>
      <c r="I326" s="6" t="str">
        <f t="shared" si="5"/>
        <v>OK</v>
      </c>
      <c r="J326" s="7"/>
    </row>
    <row r="327" spans="1:10">
      <c r="A327" s="5">
        <v>2033</v>
      </c>
      <c r="B327" s="3" t="s">
        <v>47</v>
      </c>
      <c r="C327" s="6" t="s">
        <v>93</v>
      </c>
      <c r="D327" s="3" t="s">
        <v>45</v>
      </c>
      <c r="E327" s="3" t="s">
        <v>46</v>
      </c>
      <c r="F327" s="12">
        <v>212.71359375000003</v>
      </c>
      <c r="G327" s="6">
        <v>361</v>
      </c>
      <c r="H327" s="12">
        <f>tbl_base_ni_ri[[#This Row],[ni_total]]+tbl_base_ni_ri[[#This Row],[ri_total]]</f>
        <v>573.71359374999997</v>
      </c>
      <c r="I327" s="6" t="str">
        <f t="shared" si="5"/>
        <v>OK</v>
      </c>
      <c r="J327" s="7"/>
    </row>
    <row r="328" spans="1:10">
      <c r="A328" s="5">
        <v>2034</v>
      </c>
      <c r="B328" s="3" t="s">
        <v>47</v>
      </c>
      <c r="C328" s="6" t="s">
        <v>93</v>
      </c>
      <c r="D328" s="3" t="s">
        <v>45</v>
      </c>
      <c r="E328" s="3" t="s">
        <v>46</v>
      </c>
      <c r="F328" s="12">
        <v>219.09500156250004</v>
      </c>
      <c r="G328" s="6">
        <v>378</v>
      </c>
      <c r="H328" s="12">
        <f>tbl_base_ni_ri[[#This Row],[ni_total]]+tbl_base_ni_ri[[#This Row],[ri_total]]</f>
        <v>597.0950015625001</v>
      </c>
      <c r="I328" s="6" t="str">
        <f t="shared" si="5"/>
        <v>OK</v>
      </c>
      <c r="J328" s="7"/>
    </row>
    <row r="329" spans="1:10">
      <c r="A329" s="5">
        <v>2035</v>
      </c>
      <c r="B329" s="3" t="s">
        <v>47</v>
      </c>
      <c r="C329" s="6" t="s">
        <v>93</v>
      </c>
      <c r="D329" s="3" t="s">
        <v>45</v>
      </c>
      <c r="E329" s="3" t="s">
        <v>46</v>
      </c>
      <c r="F329" s="12">
        <v>225.66785160937505</v>
      </c>
      <c r="G329" s="6">
        <v>395</v>
      </c>
      <c r="H329" s="12">
        <f>tbl_base_ni_ri[[#This Row],[ni_total]]+tbl_base_ni_ri[[#This Row],[ri_total]]</f>
        <v>620.66785160937502</v>
      </c>
      <c r="I329" s="6" t="str">
        <f t="shared" si="5"/>
        <v>OK</v>
      </c>
      <c r="J329" s="7"/>
    </row>
    <row r="330" spans="1:10">
      <c r="A330" s="5">
        <v>2036</v>
      </c>
      <c r="B330" s="3" t="s">
        <v>47</v>
      </c>
      <c r="C330" s="6" t="s">
        <v>93</v>
      </c>
      <c r="D330" s="3" t="s">
        <v>45</v>
      </c>
      <c r="E330" s="3" t="s">
        <v>46</v>
      </c>
      <c r="F330" s="12">
        <v>232.43788715765632</v>
      </c>
      <c r="G330" s="6">
        <v>412</v>
      </c>
      <c r="H330" s="12">
        <f>tbl_base_ni_ri[[#This Row],[ni_total]]+tbl_base_ni_ri[[#This Row],[ri_total]]</f>
        <v>644.43788715765629</v>
      </c>
      <c r="I330" s="6" t="str">
        <f t="shared" si="5"/>
        <v>OK</v>
      </c>
      <c r="J330" s="7"/>
    </row>
    <row r="331" spans="1:10">
      <c r="A331" s="5">
        <v>2037</v>
      </c>
      <c r="B331" s="3" t="s">
        <v>47</v>
      </c>
      <c r="C331" s="6" t="s">
        <v>93</v>
      </c>
      <c r="D331" s="3" t="s">
        <v>45</v>
      </c>
      <c r="E331" s="3" t="s">
        <v>46</v>
      </c>
      <c r="F331" s="12">
        <v>237.08664490080946</v>
      </c>
      <c r="G331" s="6">
        <v>430</v>
      </c>
      <c r="H331" s="12">
        <f>tbl_base_ni_ri[[#This Row],[ni_total]]+tbl_base_ni_ri[[#This Row],[ri_total]]</f>
        <v>667.08664490080946</v>
      </c>
      <c r="I331" s="6" t="str">
        <f t="shared" si="5"/>
        <v>OK</v>
      </c>
      <c r="J331" s="7"/>
    </row>
    <row r="332" spans="1:10">
      <c r="A332" s="5">
        <v>2038</v>
      </c>
      <c r="B332" s="3" t="s">
        <v>47</v>
      </c>
      <c r="C332" s="6" t="s">
        <v>93</v>
      </c>
      <c r="D332" s="3" t="s">
        <v>45</v>
      </c>
      <c r="E332" s="3" t="s">
        <v>46</v>
      </c>
      <c r="F332" s="12">
        <v>241.82837779882564</v>
      </c>
      <c r="G332" s="6">
        <v>448</v>
      </c>
      <c r="H332" s="12">
        <f>tbl_base_ni_ri[[#This Row],[ni_total]]+tbl_base_ni_ri[[#This Row],[ri_total]]</f>
        <v>689.82837779882561</v>
      </c>
      <c r="I332" s="6" t="str">
        <f t="shared" si="5"/>
        <v>OK</v>
      </c>
      <c r="J332" s="7"/>
    </row>
    <row r="333" spans="1:10">
      <c r="A333" s="5">
        <v>2039</v>
      </c>
      <c r="B333" s="3" t="s">
        <v>47</v>
      </c>
      <c r="C333" s="6" t="s">
        <v>93</v>
      </c>
      <c r="D333" s="3" t="s">
        <v>45</v>
      </c>
      <c r="E333" s="3" t="s">
        <v>46</v>
      </c>
      <c r="F333" s="12">
        <v>246.66494535480217</v>
      </c>
      <c r="G333" s="6">
        <v>466</v>
      </c>
      <c r="H333" s="12">
        <f>tbl_base_ni_ri[[#This Row],[ni_total]]+tbl_base_ni_ri[[#This Row],[ri_total]]</f>
        <v>712.66494535480217</v>
      </c>
      <c r="I333" s="6" t="str">
        <f t="shared" si="5"/>
        <v>OK</v>
      </c>
      <c r="J333" s="7"/>
    </row>
    <row r="334" spans="1:10">
      <c r="A334" s="5">
        <v>2040</v>
      </c>
      <c r="B334" s="3" t="s">
        <v>47</v>
      </c>
      <c r="C334" s="6" t="s">
        <v>93</v>
      </c>
      <c r="D334" s="3" t="s">
        <v>45</v>
      </c>
      <c r="E334" s="3" t="s">
        <v>46</v>
      </c>
      <c r="F334" s="12">
        <v>250</v>
      </c>
      <c r="G334" s="6">
        <v>484</v>
      </c>
      <c r="H334" s="12">
        <f>tbl_base_ni_ri[[#This Row],[ni_total]]+tbl_base_ni_ri[[#This Row],[ri_total]]</f>
        <v>734</v>
      </c>
      <c r="I334" s="6" t="str">
        <f t="shared" si="5"/>
        <v>OK</v>
      </c>
      <c r="J334" s="7"/>
    </row>
    <row r="335" spans="1:10">
      <c r="A335" s="5">
        <v>2030</v>
      </c>
      <c r="B335" s="3" t="s">
        <v>47</v>
      </c>
      <c r="C335" s="6" t="s">
        <v>94</v>
      </c>
      <c r="D335" s="3" t="s">
        <v>45</v>
      </c>
      <c r="E335" s="3" t="s">
        <v>46</v>
      </c>
      <c r="F335" s="12">
        <v>271.81299999999999</v>
      </c>
      <c r="G335" s="6">
        <v>391</v>
      </c>
      <c r="H335" s="12">
        <f>tbl_base_ni_ri[[#This Row],[ni_total]]+tbl_base_ni_ri[[#This Row],[ri_total]]</f>
        <v>662.81299999999999</v>
      </c>
      <c r="I335" s="6" t="str">
        <f t="shared" si="5"/>
        <v>OK</v>
      </c>
      <c r="J335" s="7"/>
    </row>
    <row r="336" spans="1:10">
      <c r="A336" s="5">
        <v>2031</v>
      </c>
      <c r="B336" s="3" t="s">
        <v>47</v>
      </c>
      <c r="C336" s="6" t="s">
        <v>94</v>
      </c>
      <c r="D336" s="3" t="s">
        <v>45</v>
      </c>
      <c r="E336" s="3" t="s">
        <v>46</v>
      </c>
      <c r="F336" s="12">
        <v>272.62843899999996</v>
      </c>
      <c r="G336" s="6">
        <v>401</v>
      </c>
      <c r="H336" s="12">
        <f>tbl_base_ni_ri[[#This Row],[ni_total]]+tbl_base_ni_ri[[#This Row],[ri_total]]</f>
        <v>673.62843899999996</v>
      </c>
      <c r="I336" s="6" t="str">
        <f t="shared" si="5"/>
        <v>OK</v>
      </c>
      <c r="J336" s="7"/>
    </row>
    <row r="337" spans="1:10">
      <c r="A337" s="5">
        <v>2032</v>
      </c>
      <c r="B337" s="3" t="s">
        <v>47</v>
      </c>
      <c r="C337" s="6" t="s">
        <v>94</v>
      </c>
      <c r="D337" s="3" t="s">
        <v>45</v>
      </c>
      <c r="E337" s="3" t="s">
        <v>46</v>
      </c>
      <c r="F337" s="12">
        <v>273.44632431699995</v>
      </c>
      <c r="G337" s="6">
        <v>418</v>
      </c>
      <c r="H337" s="12">
        <f>tbl_base_ni_ri[[#This Row],[ni_total]]+tbl_base_ni_ri[[#This Row],[ri_total]]</f>
        <v>691.44632431699995</v>
      </c>
      <c r="I337" s="6" t="str">
        <f t="shared" si="5"/>
        <v>OK</v>
      </c>
      <c r="J337" s="7"/>
    </row>
    <row r="338" spans="1:10">
      <c r="A338" s="5">
        <v>2033</v>
      </c>
      <c r="B338" s="3" t="s">
        <v>47</v>
      </c>
      <c r="C338" s="6" t="s">
        <v>94</v>
      </c>
      <c r="D338" s="3" t="s">
        <v>45</v>
      </c>
      <c r="E338" s="3" t="s">
        <v>46</v>
      </c>
      <c r="F338" s="12">
        <v>274.26666328995094</v>
      </c>
      <c r="G338" s="6">
        <v>429</v>
      </c>
      <c r="H338" s="12">
        <f>tbl_base_ni_ri[[#This Row],[ni_total]]+tbl_base_ni_ri[[#This Row],[ri_total]]</f>
        <v>703.26666328995088</v>
      </c>
      <c r="I338" s="6" t="str">
        <f t="shared" si="5"/>
        <v>OK</v>
      </c>
      <c r="J338" s="7"/>
    </row>
    <row r="339" spans="1:10">
      <c r="A339" s="5">
        <v>2034</v>
      </c>
      <c r="B339" s="3" t="s">
        <v>47</v>
      </c>
      <c r="C339" s="6" t="s">
        <v>94</v>
      </c>
      <c r="D339" s="3" t="s">
        <v>45</v>
      </c>
      <c r="E339" s="3" t="s">
        <v>46</v>
      </c>
      <c r="F339" s="12">
        <v>274.81519661653084</v>
      </c>
      <c r="G339" s="6">
        <v>444</v>
      </c>
      <c r="H339" s="12">
        <f>tbl_base_ni_ri[[#This Row],[ni_total]]+tbl_base_ni_ri[[#This Row],[ri_total]]</f>
        <v>718.81519661653078</v>
      </c>
      <c r="I339" s="6" t="str">
        <f t="shared" si="5"/>
        <v>OK</v>
      </c>
      <c r="J339" s="7"/>
    </row>
    <row r="340" spans="1:10">
      <c r="A340" s="5">
        <v>2035</v>
      </c>
      <c r="B340" s="3" t="s">
        <v>47</v>
      </c>
      <c r="C340" s="6" t="s">
        <v>94</v>
      </c>
      <c r="D340" s="3" t="s">
        <v>45</v>
      </c>
      <c r="E340" s="3" t="s">
        <v>46</v>
      </c>
      <c r="F340" s="12">
        <v>275.36482700976393</v>
      </c>
      <c r="G340" s="6">
        <v>457</v>
      </c>
      <c r="H340" s="12">
        <f>tbl_base_ni_ri[[#This Row],[ni_total]]+tbl_base_ni_ri[[#This Row],[ri_total]]</f>
        <v>732.36482700976399</v>
      </c>
      <c r="I340" s="6" t="str">
        <f t="shared" si="5"/>
        <v>OK</v>
      </c>
      <c r="J340" s="7"/>
    </row>
    <row r="341" spans="1:10">
      <c r="A341" s="5">
        <v>2036</v>
      </c>
      <c r="B341" s="3" t="s">
        <v>47</v>
      </c>
      <c r="C341" s="6" t="s">
        <v>94</v>
      </c>
      <c r="D341" s="3" t="s">
        <v>45</v>
      </c>
      <c r="E341" s="3" t="s">
        <v>46</v>
      </c>
      <c r="F341" s="12">
        <v>275.91555666378343</v>
      </c>
      <c r="G341" s="6">
        <v>465</v>
      </c>
      <c r="H341" s="12">
        <f>tbl_base_ni_ri[[#This Row],[ni_total]]+tbl_base_ni_ri[[#This Row],[ri_total]]</f>
        <v>740.91555666378349</v>
      </c>
      <c r="I341" s="6" t="str">
        <f t="shared" si="5"/>
        <v>OK</v>
      </c>
      <c r="J341" s="7"/>
    </row>
    <row r="342" spans="1:10">
      <c r="A342" s="5">
        <v>2037</v>
      </c>
      <c r="B342" s="3" t="s">
        <v>47</v>
      </c>
      <c r="C342" s="6" t="s">
        <v>94</v>
      </c>
      <c r="D342" s="3" t="s">
        <v>45</v>
      </c>
      <c r="E342" s="3" t="s">
        <v>46</v>
      </c>
      <c r="F342" s="12">
        <v>276.19147222044717</v>
      </c>
      <c r="G342" s="6">
        <v>473</v>
      </c>
      <c r="H342" s="12">
        <f>tbl_base_ni_ri[[#This Row],[ni_total]]+tbl_base_ni_ri[[#This Row],[ri_total]]</f>
        <v>749.19147222044717</v>
      </c>
      <c r="I342" s="6" t="str">
        <f t="shared" si="5"/>
        <v>OK</v>
      </c>
      <c r="J342" s="7"/>
    </row>
    <row r="343" spans="1:10">
      <c r="A343" s="5">
        <v>2038</v>
      </c>
      <c r="B343" s="3" t="s">
        <v>47</v>
      </c>
      <c r="C343" s="6" t="s">
        <v>94</v>
      </c>
      <c r="D343" s="3" t="s">
        <v>45</v>
      </c>
      <c r="E343" s="3" t="s">
        <v>46</v>
      </c>
      <c r="F343" s="12">
        <v>276.4676636926676</v>
      </c>
      <c r="G343" s="6">
        <v>489</v>
      </c>
      <c r="H343" s="12">
        <f>tbl_base_ni_ri[[#This Row],[ni_total]]+tbl_base_ni_ri[[#This Row],[ri_total]]</f>
        <v>765.46766369266766</v>
      </c>
      <c r="I343" s="6" t="str">
        <f t="shared" si="5"/>
        <v>OK</v>
      </c>
      <c r="J343" s="7"/>
    </row>
    <row r="344" spans="1:10">
      <c r="A344" s="5">
        <v>2039</v>
      </c>
      <c r="B344" s="3" t="s">
        <v>47</v>
      </c>
      <c r="C344" s="6" t="s">
        <v>94</v>
      </c>
      <c r="D344" s="3" t="s">
        <v>45</v>
      </c>
      <c r="E344" s="3" t="s">
        <v>46</v>
      </c>
      <c r="F344" s="12">
        <v>276.74413135636024</v>
      </c>
      <c r="G344" s="6">
        <v>512</v>
      </c>
      <c r="H344" s="12">
        <f>tbl_base_ni_ri[[#This Row],[ni_total]]+tbl_base_ni_ri[[#This Row],[ri_total]]</f>
        <v>788.74413135636019</v>
      </c>
      <c r="I344" s="6" t="str">
        <f t="shared" si="5"/>
        <v>OK</v>
      </c>
      <c r="J344" s="7"/>
    </row>
    <row r="345" spans="1:10">
      <c r="A345" s="5">
        <v>2040</v>
      </c>
      <c r="B345" s="3" t="s">
        <v>47</v>
      </c>
      <c r="C345" s="6" t="s">
        <v>94</v>
      </c>
      <c r="D345" s="3" t="s">
        <v>45</v>
      </c>
      <c r="E345" s="3" t="s">
        <v>46</v>
      </c>
      <c r="F345" s="12">
        <v>280</v>
      </c>
      <c r="G345" s="6">
        <v>554</v>
      </c>
      <c r="H345" s="12">
        <f>tbl_base_ni_ri[[#This Row],[ni_total]]+tbl_base_ni_ri[[#This Row],[ri_total]]</f>
        <v>834</v>
      </c>
      <c r="I345" s="6" t="str">
        <f t="shared" si="5"/>
        <v>OK</v>
      </c>
      <c r="J345" s="7"/>
    </row>
    <row r="346" spans="1:10">
      <c r="A346" s="5">
        <v>2030</v>
      </c>
      <c r="B346" s="3" t="s">
        <v>47</v>
      </c>
      <c r="C346" s="6" t="s">
        <v>95</v>
      </c>
      <c r="D346" s="3" t="s">
        <v>45</v>
      </c>
      <c r="E346" s="3" t="s">
        <v>46</v>
      </c>
      <c r="F346" s="12">
        <v>281.84000000000003</v>
      </c>
      <c r="G346" s="6">
        <v>457</v>
      </c>
      <c r="H346" s="12">
        <f>tbl_base_ni_ri[[#This Row],[ni_total]]+tbl_base_ni_ri[[#This Row],[ri_total]]</f>
        <v>738.84</v>
      </c>
      <c r="I346" s="6" t="str">
        <f t="shared" si="5"/>
        <v>OK</v>
      </c>
      <c r="J346" s="7"/>
    </row>
    <row r="347" spans="1:10">
      <c r="A347" s="5">
        <v>2031</v>
      </c>
      <c r="B347" s="3" t="s">
        <v>47</v>
      </c>
      <c r="C347" s="6" t="s">
        <v>95</v>
      </c>
      <c r="D347" s="3" t="s">
        <v>45</v>
      </c>
      <c r="E347" s="3" t="s">
        <v>46</v>
      </c>
      <c r="F347" s="12">
        <v>293.11360000000002</v>
      </c>
      <c r="G347" s="6">
        <v>490</v>
      </c>
      <c r="H347" s="12">
        <f>tbl_base_ni_ri[[#This Row],[ni_total]]+tbl_base_ni_ri[[#This Row],[ri_total]]</f>
        <v>783.11360000000002</v>
      </c>
      <c r="I347" s="6" t="str">
        <f t="shared" si="5"/>
        <v>OK</v>
      </c>
      <c r="J347" s="7"/>
    </row>
    <row r="348" spans="1:10">
      <c r="A348" s="5">
        <v>2032</v>
      </c>
      <c r="B348" s="3" t="s">
        <v>47</v>
      </c>
      <c r="C348" s="6" t="s">
        <v>95</v>
      </c>
      <c r="D348" s="3" t="s">
        <v>45</v>
      </c>
      <c r="E348" s="3" t="s">
        <v>46</v>
      </c>
      <c r="F348" s="12">
        <v>304.83814400000006</v>
      </c>
      <c r="G348" s="6">
        <v>512</v>
      </c>
      <c r="H348" s="12">
        <f>tbl_base_ni_ri[[#This Row],[ni_total]]+tbl_base_ni_ri[[#This Row],[ri_total]]</f>
        <v>816.83814400000006</v>
      </c>
      <c r="I348" s="6" t="str">
        <f t="shared" si="5"/>
        <v>OK</v>
      </c>
      <c r="J348" s="7"/>
    </row>
    <row r="349" spans="1:10">
      <c r="A349" s="5">
        <v>2033</v>
      </c>
      <c r="B349" s="3" t="s">
        <v>47</v>
      </c>
      <c r="C349" s="6" t="s">
        <v>95</v>
      </c>
      <c r="D349" s="3" t="s">
        <v>45</v>
      </c>
      <c r="E349" s="3" t="s">
        <v>46</v>
      </c>
      <c r="F349" s="12">
        <v>317.03166976000006</v>
      </c>
      <c r="G349" s="6">
        <v>540</v>
      </c>
      <c r="H349" s="12">
        <f>tbl_base_ni_ri[[#This Row],[ni_total]]+tbl_base_ni_ri[[#This Row],[ri_total]]</f>
        <v>857.03166976000011</v>
      </c>
      <c r="I349" s="6" t="str">
        <f t="shared" si="5"/>
        <v>OK</v>
      </c>
      <c r="J349" s="7"/>
    </row>
    <row r="350" spans="1:10">
      <c r="A350" s="5">
        <v>2034</v>
      </c>
      <c r="B350" s="3" t="s">
        <v>47</v>
      </c>
      <c r="C350" s="6" t="s">
        <v>95</v>
      </c>
      <c r="D350" s="3" t="s">
        <v>45</v>
      </c>
      <c r="E350" s="3" t="s">
        <v>46</v>
      </c>
      <c r="F350" s="12">
        <v>323.37230315520009</v>
      </c>
      <c r="G350" s="6">
        <v>578</v>
      </c>
      <c r="H350" s="12">
        <f>tbl_base_ni_ri[[#This Row],[ni_total]]+tbl_base_ni_ri[[#This Row],[ri_total]]</f>
        <v>901.37230315520014</v>
      </c>
      <c r="I350" s="6" t="str">
        <f t="shared" si="5"/>
        <v>OK</v>
      </c>
      <c r="J350" s="7"/>
    </row>
    <row r="351" spans="1:10">
      <c r="A351" s="5">
        <v>2035</v>
      </c>
      <c r="B351" s="3" t="s">
        <v>47</v>
      </c>
      <c r="C351" s="6" t="s">
        <v>95</v>
      </c>
      <c r="D351" s="3" t="s">
        <v>45</v>
      </c>
      <c r="E351" s="3" t="s">
        <v>46</v>
      </c>
      <c r="F351" s="12">
        <v>329.83974921830412</v>
      </c>
      <c r="G351" s="6">
        <v>611</v>
      </c>
      <c r="H351" s="12">
        <f>tbl_base_ni_ri[[#This Row],[ni_total]]+tbl_base_ni_ri[[#This Row],[ri_total]]</f>
        <v>940.83974921830418</v>
      </c>
      <c r="I351" s="6" t="str">
        <f t="shared" si="5"/>
        <v>OK</v>
      </c>
      <c r="J351" s="7"/>
    </row>
    <row r="352" spans="1:10">
      <c r="A352" s="5">
        <v>2036</v>
      </c>
      <c r="B352" s="3" t="s">
        <v>47</v>
      </c>
      <c r="C352" s="6" t="s">
        <v>95</v>
      </c>
      <c r="D352" s="3" t="s">
        <v>45</v>
      </c>
      <c r="E352" s="3" t="s">
        <v>46</v>
      </c>
      <c r="F352" s="12">
        <v>336.43654420267023</v>
      </c>
      <c r="G352" s="6">
        <v>646</v>
      </c>
      <c r="H352" s="12">
        <f>tbl_base_ni_ri[[#This Row],[ni_total]]+tbl_base_ni_ri[[#This Row],[ri_total]]</f>
        <v>982.43654420267023</v>
      </c>
      <c r="I352" s="6" t="str">
        <f t="shared" si="5"/>
        <v>OK</v>
      </c>
      <c r="J352" s="7"/>
    </row>
    <row r="353" spans="1:10">
      <c r="A353" s="5">
        <v>2037</v>
      </c>
      <c r="B353" s="3" t="s">
        <v>47</v>
      </c>
      <c r="C353" s="6" t="s">
        <v>95</v>
      </c>
      <c r="D353" s="3" t="s">
        <v>45</v>
      </c>
      <c r="E353" s="3" t="s">
        <v>46</v>
      </c>
      <c r="F353" s="12">
        <v>339.80090964469696</v>
      </c>
      <c r="G353" s="6">
        <v>677</v>
      </c>
      <c r="H353" s="12">
        <f>tbl_base_ni_ri[[#This Row],[ni_total]]+tbl_base_ni_ri[[#This Row],[ri_total]]</f>
        <v>1016.800909644697</v>
      </c>
      <c r="I353" s="6" t="str">
        <f t="shared" si="5"/>
        <v>OK</v>
      </c>
      <c r="J353" s="7"/>
    </row>
    <row r="354" spans="1:10">
      <c r="A354" s="5">
        <v>2038</v>
      </c>
      <c r="B354" s="3" t="s">
        <v>47</v>
      </c>
      <c r="C354" s="6" t="s">
        <v>95</v>
      </c>
      <c r="D354" s="3" t="s">
        <v>45</v>
      </c>
      <c r="E354" s="3" t="s">
        <v>46</v>
      </c>
      <c r="F354" s="12">
        <v>343.19891874114393</v>
      </c>
      <c r="G354" s="6">
        <v>702</v>
      </c>
      <c r="H354" s="12">
        <f>tbl_base_ni_ri[[#This Row],[ni_total]]+tbl_base_ni_ri[[#This Row],[ri_total]]</f>
        <v>1045.1989187411439</v>
      </c>
      <c r="I354" s="6" t="str">
        <f t="shared" si="5"/>
        <v>OK</v>
      </c>
      <c r="J354" s="7"/>
    </row>
    <row r="355" spans="1:10">
      <c r="A355" s="5">
        <v>2039</v>
      </c>
      <c r="B355" s="3" t="s">
        <v>47</v>
      </c>
      <c r="C355" s="6" t="s">
        <v>95</v>
      </c>
      <c r="D355" s="3" t="s">
        <v>45</v>
      </c>
      <c r="E355" s="3" t="s">
        <v>46</v>
      </c>
      <c r="F355" s="12">
        <v>346.63090792855536</v>
      </c>
      <c r="G355" s="6">
        <v>731</v>
      </c>
      <c r="H355" s="12">
        <f>tbl_base_ni_ri[[#This Row],[ni_total]]+tbl_base_ni_ri[[#This Row],[ri_total]]</f>
        <v>1077.6309079285554</v>
      </c>
      <c r="I355" s="6" t="str">
        <f t="shared" si="5"/>
        <v>OK</v>
      </c>
      <c r="J355" s="7"/>
    </row>
    <row r="356" spans="1:10">
      <c r="A356" s="5">
        <v>2040</v>
      </c>
      <c r="B356" s="3" t="s">
        <v>47</v>
      </c>
      <c r="C356" s="6" t="s">
        <v>95</v>
      </c>
      <c r="D356" s="3" t="s">
        <v>45</v>
      </c>
      <c r="E356" s="3" t="s">
        <v>46</v>
      </c>
      <c r="F356" s="12">
        <v>350.09721700784092</v>
      </c>
      <c r="G356" s="6">
        <v>758</v>
      </c>
      <c r="H356" s="12">
        <f>tbl_base_ni_ri[[#This Row],[ni_total]]+tbl_base_ni_ri[[#This Row],[ri_total]]</f>
        <v>1108.097217007841</v>
      </c>
      <c r="I356" s="6" t="str">
        <f t="shared" si="5"/>
        <v>OK</v>
      </c>
      <c r="J356" s="7"/>
    </row>
    <row r="357" spans="1:10">
      <c r="A357">
        <v>2030</v>
      </c>
      <c r="B357" s="3" t="s">
        <v>47</v>
      </c>
      <c r="C357" s="6" t="s">
        <v>56</v>
      </c>
      <c r="D357" s="6" t="s">
        <v>51</v>
      </c>
      <c r="E357" s="6" t="s">
        <v>46</v>
      </c>
      <c r="F357" s="12">
        <v>192.24</v>
      </c>
      <c r="G357" s="6">
        <v>366</v>
      </c>
      <c r="H357" s="12">
        <f>tbl_base_ni_ri[[#This Row],[ni_total]]+tbl_base_ni_ri[[#This Row],[ri_total]]</f>
        <v>558.24</v>
      </c>
      <c r="I357" s="6" t="str">
        <f t="shared" si="5"/>
        <v>OK</v>
      </c>
      <c r="J357" s="7"/>
    </row>
    <row r="358" spans="1:10">
      <c r="A358">
        <v>2031</v>
      </c>
      <c r="B358" s="3" t="s">
        <v>47</v>
      </c>
      <c r="C358" s="6" t="s">
        <v>56</v>
      </c>
      <c r="D358" s="6" t="s">
        <v>51</v>
      </c>
      <c r="E358" s="6" t="s">
        <v>46</v>
      </c>
      <c r="F358" s="12">
        <v>207.61920000000003</v>
      </c>
      <c r="G358" s="6">
        <v>406</v>
      </c>
      <c r="H358" s="12">
        <f>tbl_base_ni_ri[[#This Row],[ni_total]]+tbl_base_ni_ri[[#This Row],[ri_total]]</f>
        <v>613.61920000000009</v>
      </c>
      <c r="I358" s="6" t="str">
        <f t="shared" si="5"/>
        <v>OK</v>
      </c>
      <c r="J358" s="7"/>
    </row>
    <row r="359" spans="1:10">
      <c r="A359">
        <v>2032</v>
      </c>
      <c r="B359" s="3" t="s">
        <v>47</v>
      </c>
      <c r="C359" s="6" t="s">
        <v>56</v>
      </c>
      <c r="D359" s="6" t="s">
        <v>51</v>
      </c>
      <c r="E359" s="6" t="s">
        <v>46</v>
      </c>
      <c r="F359" s="12">
        <v>224.22873600000005</v>
      </c>
      <c r="G359" s="6">
        <v>466</v>
      </c>
      <c r="H359" s="12">
        <f>tbl_base_ni_ri[[#This Row],[ni_total]]+tbl_base_ni_ri[[#This Row],[ri_total]]</f>
        <v>690.22873600000003</v>
      </c>
      <c r="I359" s="6" t="str">
        <f t="shared" si="5"/>
        <v>OK</v>
      </c>
      <c r="J359" s="7"/>
    </row>
    <row r="360" spans="1:10">
      <c r="A360">
        <v>2033</v>
      </c>
      <c r="B360" s="3" t="s">
        <v>47</v>
      </c>
      <c r="C360" s="6" t="s">
        <v>56</v>
      </c>
      <c r="D360" s="6" t="s">
        <v>51</v>
      </c>
      <c r="E360" s="6" t="s">
        <v>46</v>
      </c>
      <c r="F360" s="12">
        <v>242.16703488000007</v>
      </c>
      <c r="G360" s="6">
        <v>514</v>
      </c>
      <c r="H360" s="12">
        <f>tbl_base_ni_ri[[#This Row],[ni_total]]+tbl_base_ni_ri[[#This Row],[ri_total]]</f>
        <v>756.16703488000007</v>
      </c>
      <c r="I360" s="6" t="str">
        <f t="shared" si="5"/>
        <v>OK</v>
      </c>
      <c r="J360" s="7"/>
    </row>
    <row r="361" spans="1:10">
      <c r="A361">
        <v>2034</v>
      </c>
      <c r="B361" s="3" t="s">
        <v>47</v>
      </c>
      <c r="C361" s="6" t="s">
        <v>56</v>
      </c>
      <c r="D361" s="6" t="s">
        <v>51</v>
      </c>
      <c r="E361" s="6" t="s">
        <v>46</v>
      </c>
      <c r="F361" s="12">
        <v>256.69705697280011</v>
      </c>
      <c r="G361" s="6">
        <v>578</v>
      </c>
      <c r="H361" s="12">
        <f>tbl_base_ni_ri[[#This Row],[ni_total]]+tbl_base_ni_ri[[#This Row],[ri_total]]</f>
        <v>834.69705697280006</v>
      </c>
      <c r="I361" s="6" t="str">
        <f t="shared" si="5"/>
        <v>OK</v>
      </c>
      <c r="J361" s="7"/>
    </row>
    <row r="362" spans="1:10">
      <c r="A362">
        <v>2035</v>
      </c>
      <c r="B362" s="3" t="s">
        <v>47</v>
      </c>
      <c r="C362" s="6" t="s">
        <v>56</v>
      </c>
      <c r="D362" s="6" t="s">
        <v>51</v>
      </c>
      <c r="E362" s="6" t="s">
        <v>46</v>
      </c>
      <c r="F362" s="12">
        <v>272.09888039116811</v>
      </c>
      <c r="G362" s="6">
        <v>645</v>
      </c>
      <c r="H362" s="12">
        <f>tbl_base_ni_ri[[#This Row],[ni_total]]+tbl_base_ni_ri[[#This Row],[ri_total]]</f>
        <v>917.09888039116811</v>
      </c>
      <c r="I362" s="6" t="str">
        <f t="shared" si="5"/>
        <v>OK</v>
      </c>
      <c r="J362" s="7"/>
    </row>
    <row r="363" spans="1:10">
      <c r="A363">
        <v>2036</v>
      </c>
      <c r="B363" s="3" t="s">
        <v>47</v>
      </c>
      <c r="C363" s="6" t="s">
        <v>56</v>
      </c>
      <c r="D363" s="6" t="s">
        <v>51</v>
      </c>
      <c r="E363" s="6" t="s">
        <v>46</v>
      </c>
      <c r="F363" s="12">
        <v>288.42481321463822</v>
      </c>
      <c r="G363" s="6">
        <v>704</v>
      </c>
      <c r="H363" s="12">
        <f>tbl_base_ni_ri[[#This Row],[ni_total]]+tbl_base_ni_ri[[#This Row],[ri_total]]</f>
        <v>992.42481321463822</v>
      </c>
      <c r="I363" s="6" t="str">
        <f t="shared" si="5"/>
        <v>OK</v>
      </c>
      <c r="J363" s="7"/>
    </row>
    <row r="364" spans="1:10">
      <c r="A364">
        <v>2037</v>
      </c>
      <c r="B364" s="3" t="s">
        <v>47</v>
      </c>
      <c r="C364" s="6" t="s">
        <v>56</v>
      </c>
      <c r="D364" s="6" t="s">
        <v>51</v>
      </c>
      <c r="E364" s="6" t="s">
        <v>46</v>
      </c>
      <c r="F364" s="12">
        <v>302.70184146876284</v>
      </c>
      <c r="G364" s="6">
        <v>784</v>
      </c>
      <c r="H364" s="12">
        <f>tbl_base_ni_ri[[#This Row],[ni_total]]+tbl_base_ni_ri[[#This Row],[ri_total]]</f>
        <v>1086.7018414687627</v>
      </c>
      <c r="I364" s="6" t="str">
        <f t="shared" si="5"/>
        <v>OK</v>
      </c>
      <c r="J364" s="7"/>
    </row>
    <row r="365" spans="1:10">
      <c r="A365">
        <v>2038</v>
      </c>
      <c r="B365" s="3" t="s">
        <v>47</v>
      </c>
      <c r="C365" s="6" t="s">
        <v>56</v>
      </c>
      <c r="D365" s="6" t="s">
        <v>51</v>
      </c>
      <c r="E365" s="6" t="s">
        <v>46</v>
      </c>
      <c r="F365" s="12">
        <v>317.68558262146661</v>
      </c>
      <c r="G365" s="6">
        <v>845</v>
      </c>
      <c r="H365" s="12">
        <f>tbl_base_ni_ri[[#This Row],[ni_total]]+tbl_base_ni_ri[[#This Row],[ri_total]]</f>
        <v>1162.6855826214667</v>
      </c>
      <c r="I365" s="6" t="str">
        <f t="shared" si="5"/>
        <v>OK</v>
      </c>
      <c r="J365" s="7"/>
    </row>
    <row r="366" spans="1:10">
      <c r="A366">
        <v>2039</v>
      </c>
      <c r="B366" s="3" t="s">
        <v>47</v>
      </c>
      <c r="C366" s="6" t="s">
        <v>56</v>
      </c>
      <c r="D366" s="6" t="s">
        <v>51</v>
      </c>
      <c r="E366" s="6" t="s">
        <v>46</v>
      </c>
      <c r="F366" s="12">
        <v>333.41101896122922</v>
      </c>
      <c r="G366" s="6">
        <v>907</v>
      </c>
      <c r="H366" s="12">
        <f>tbl_base_ni_ri[[#This Row],[ni_total]]+tbl_base_ni_ri[[#This Row],[ri_total]]</f>
        <v>1240.4110189612293</v>
      </c>
      <c r="I366" s="6" t="str">
        <f t="shared" si="5"/>
        <v>OK</v>
      </c>
      <c r="J366" s="7"/>
    </row>
    <row r="367" spans="1:10">
      <c r="A367">
        <v>2040</v>
      </c>
      <c r="B367" s="3" t="s">
        <v>47</v>
      </c>
      <c r="C367" s="6" t="s">
        <v>56</v>
      </c>
      <c r="D367" s="6" t="s">
        <v>51</v>
      </c>
      <c r="E367" s="6" t="s">
        <v>46</v>
      </c>
      <c r="F367" s="12">
        <v>350</v>
      </c>
      <c r="G367" s="6">
        <v>1004</v>
      </c>
      <c r="H367" s="12">
        <f>tbl_base_ni_ri[[#This Row],[ni_total]]+tbl_base_ni_ri[[#This Row],[ri_total]]</f>
        <v>1354</v>
      </c>
      <c r="I367" s="6" t="str">
        <f t="shared" si="5"/>
        <v>OK</v>
      </c>
      <c r="J367" s="7"/>
    </row>
    <row r="368" spans="1:10">
      <c r="A368">
        <v>2030</v>
      </c>
      <c r="B368" s="3" t="s">
        <v>47</v>
      </c>
      <c r="C368" s="6" t="s">
        <v>58</v>
      </c>
      <c r="D368" s="6" t="s">
        <v>51</v>
      </c>
      <c r="E368" s="6" t="s">
        <v>46</v>
      </c>
      <c r="F368" s="12">
        <v>151.97999999999999</v>
      </c>
      <c r="G368" s="6">
        <v>326</v>
      </c>
      <c r="H368" s="12">
        <f>tbl_base_ni_ri[[#This Row],[ni_total]]+tbl_base_ni_ri[[#This Row],[ri_total]]</f>
        <v>477.98</v>
      </c>
      <c r="I368" s="6" t="str">
        <f t="shared" si="5"/>
        <v>OK</v>
      </c>
      <c r="J368" s="7"/>
    </row>
    <row r="369" spans="1:10">
      <c r="A369">
        <v>2031</v>
      </c>
      <c r="B369" s="3" t="s">
        <v>47</v>
      </c>
      <c r="C369" s="6" t="s">
        <v>58</v>
      </c>
      <c r="D369" s="6" t="s">
        <v>51</v>
      </c>
      <c r="E369" s="6" t="s">
        <v>46</v>
      </c>
      <c r="F369" s="12">
        <v>155.0196</v>
      </c>
      <c r="G369" s="6">
        <v>330</v>
      </c>
      <c r="H369" s="12">
        <f>tbl_base_ni_ri[[#This Row],[ni_total]]+tbl_base_ni_ri[[#This Row],[ri_total]]</f>
        <v>485.01959999999997</v>
      </c>
      <c r="I369" s="6" t="str">
        <f t="shared" si="5"/>
        <v>OK</v>
      </c>
      <c r="J369" s="7"/>
    </row>
    <row r="370" spans="1:10">
      <c r="A370">
        <v>2032</v>
      </c>
      <c r="B370" s="3" t="s">
        <v>47</v>
      </c>
      <c r="C370" s="6" t="s">
        <v>58</v>
      </c>
      <c r="D370" s="6" t="s">
        <v>51</v>
      </c>
      <c r="E370" s="6" t="s">
        <v>46</v>
      </c>
      <c r="F370" s="12">
        <v>158.119992</v>
      </c>
      <c r="G370" s="6">
        <v>335</v>
      </c>
      <c r="H370" s="12">
        <f>tbl_base_ni_ri[[#This Row],[ni_total]]+tbl_base_ni_ri[[#This Row],[ri_total]]</f>
        <v>493.11999200000002</v>
      </c>
      <c r="I370" s="6" t="str">
        <f t="shared" si="5"/>
        <v>OK</v>
      </c>
      <c r="J370" s="7"/>
    </row>
    <row r="371" spans="1:10">
      <c r="A371">
        <v>2033</v>
      </c>
      <c r="B371" s="3" t="s">
        <v>47</v>
      </c>
      <c r="C371" s="6" t="s">
        <v>58</v>
      </c>
      <c r="D371" s="6" t="s">
        <v>51</v>
      </c>
      <c r="E371" s="6" t="s">
        <v>46</v>
      </c>
      <c r="F371" s="12">
        <v>161.28239184</v>
      </c>
      <c r="G371" s="6">
        <v>341</v>
      </c>
      <c r="H371" s="12">
        <f>tbl_base_ni_ri[[#This Row],[ni_total]]+tbl_base_ni_ri[[#This Row],[ri_total]]</f>
        <v>502.28239184</v>
      </c>
      <c r="I371" s="6" t="str">
        <f t="shared" si="5"/>
        <v>OK</v>
      </c>
      <c r="J371" s="7"/>
    </row>
    <row r="372" spans="1:10">
      <c r="A372">
        <v>2034</v>
      </c>
      <c r="B372" s="3" t="s">
        <v>47</v>
      </c>
      <c r="C372" s="6" t="s">
        <v>58</v>
      </c>
      <c r="D372" s="6" t="s">
        <v>51</v>
      </c>
      <c r="E372" s="6" t="s">
        <v>46</v>
      </c>
      <c r="F372" s="12">
        <v>164.5080396768</v>
      </c>
      <c r="G372" s="6">
        <v>344</v>
      </c>
      <c r="H372" s="12">
        <f>tbl_base_ni_ri[[#This Row],[ni_total]]+tbl_base_ni_ri[[#This Row],[ri_total]]</f>
        <v>508.50803967679997</v>
      </c>
      <c r="I372" s="6" t="str">
        <f t="shared" si="5"/>
        <v>OK</v>
      </c>
      <c r="J372" s="7"/>
    </row>
    <row r="373" spans="1:10">
      <c r="A373">
        <v>2035</v>
      </c>
      <c r="B373" s="3" t="s">
        <v>47</v>
      </c>
      <c r="C373" s="6" t="s">
        <v>58</v>
      </c>
      <c r="D373" s="6" t="s">
        <v>51</v>
      </c>
      <c r="E373" s="6" t="s">
        <v>46</v>
      </c>
      <c r="F373" s="12">
        <v>167.79820047033598</v>
      </c>
      <c r="G373" s="6">
        <v>349</v>
      </c>
      <c r="H373" s="12">
        <f>tbl_base_ni_ri[[#This Row],[ni_total]]+tbl_base_ni_ri[[#This Row],[ri_total]]</f>
        <v>516.79820047033604</v>
      </c>
      <c r="I373" s="6" t="str">
        <f t="shared" si="5"/>
        <v>OK</v>
      </c>
      <c r="J373" s="7"/>
    </row>
    <row r="374" spans="1:10">
      <c r="A374">
        <v>2036</v>
      </c>
      <c r="B374" s="3" t="s">
        <v>47</v>
      </c>
      <c r="C374" s="6" t="s">
        <v>58</v>
      </c>
      <c r="D374" s="6" t="s">
        <v>51</v>
      </c>
      <c r="E374" s="6" t="s">
        <v>46</v>
      </c>
      <c r="F374" s="12">
        <v>171.15416447974272</v>
      </c>
      <c r="G374" s="6">
        <v>354</v>
      </c>
      <c r="H374" s="12">
        <f>tbl_base_ni_ri[[#This Row],[ni_total]]+tbl_base_ni_ri[[#This Row],[ri_total]]</f>
        <v>525.15416447974269</v>
      </c>
      <c r="I374" s="6" t="str">
        <f t="shared" si="5"/>
        <v>OK</v>
      </c>
      <c r="J374" s="7"/>
    </row>
    <row r="375" spans="1:10">
      <c r="A375">
        <v>2037</v>
      </c>
      <c r="B375" s="3" t="s">
        <v>47</v>
      </c>
      <c r="C375" s="6" t="s">
        <v>58</v>
      </c>
      <c r="D375" s="6" t="s">
        <v>51</v>
      </c>
      <c r="E375" s="6" t="s">
        <v>46</v>
      </c>
      <c r="F375" s="12">
        <v>172.86570612454014</v>
      </c>
      <c r="G375" s="6">
        <v>358</v>
      </c>
      <c r="H375" s="12">
        <f>tbl_base_ni_ri[[#This Row],[ni_total]]+tbl_base_ni_ri[[#This Row],[ri_total]]</f>
        <v>530.86570612454011</v>
      </c>
      <c r="I375" s="6" t="str">
        <f t="shared" si="5"/>
        <v>OK</v>
      </c>
      <c r="J375" s="7"/>
    </row>
    <row r="376" spans="1:10">
      <c r="A376">
        <v>2038</v>
      </c>
      <c r="B376" s="3" t="s">
        <v>47</v>
      </c>
      <c r="C376" s="6" t="s">
        <v>58</v>
      </c>
      <c r="D376" s="6" t="s">
        <v>51</v>
      </c>
      <c r="E376" s="6" t="s">
        <v>46</v>
      </c>
      <c r="F376" s="12">
        <v>174.59436318578554</v>
      </c>
      <c r="G376" s="6">
        <v>361</v>
      </c>
      <c r="H376" s="12">
        <f>tbl_base_ni_ri[[#This Row],[ni_total]]+tbl_base_ni_ri[[#This Row],[ri_total]]</f>
        <v>535.5943631857856</v>
      </c>
      <c r="I376" s="6" t="str">
        <f t="shared" si="5"/>
        <v>OK</v>
      </c>
      <c r="J376" s="7"/>
    </row>
    <row r="377" spans="1:10">
      <c r="A377">
        <v>2039</v>
      </c>
      <c r="B377" s="3" t="s">
        <v>47</v>
      </c>
      <c r="C377" s="6" t="s">
        <v>58</v>
      </c>
      <c r="D377" s="6" t="s">
        <v>51</v>
      </c>
      <c r="E377" s="6" t="s">
        <v>46</v>
      </c>
      <c r="F377" s="12">
        <v>176.34030681764341</v>
      </c>
      <c r="G377" s="6">
        <v>365</v>
      </c>
      <c r="H377" s="12">
        <f>tbl_base_ni_ri[[#This Row],[ni_total]]+tbl_base_ni_ri[[#This Row],[ri_total]]</f>
        <v>541.34030681764341</v>
      </c>
      <c r="I377" s="6" t="str">
        <f t="shared" si="5"/>
        <v>OK</v>
      </c>
      <c r="J377" s="7"/>
    </row>
    <row r="378" spans="1:10">
      <c r="A378">
        <v>2040</v>
      </c>
      <c r="B378" s="3" t="s">
        <v>47</v>
      </c>
      <c r="C378" s="6" t="s">
        <v>58</v>
      </c>
      <c r="D378" s="6" t="s">
        <v>51</v>
      </c>
      <c r="E378" s="6" t="s">
        <v>46</v>
      </c>
      <c r="F378" s="12">
        <v>178.10370988581985</v>
      </c>
      <c r="G378" s="6">
        <v>369</v>
      </c>
      <c r="H378" s="12">
        <f>tbl_base_ni_ri[[#This Row],[ni_total]]+tbl_base_ni_ri[[#This Row],[ri_total]]</f>
        <v>547.10370988581985</v>
      </c>
      <c r="I378" s="6" t="str">
        <f t="shared" si="5"/>
        <v>OK</v>
      </c>
      <c r="J378" s="7"/>
    </row>
    <row r="379" spans="1:10">
      <c r="A379">
        <v>2030</v>
      </c>
      <c r="B379" s="3" t="s">
        <v>47</v>
      </c>
      <c r="C379" s="6" t="s">
        <v>60</v>
      </c>
      <c r="D379" s="6" t="s">
        <v>51</v>
      </c>
      <c r="E379" s="6" t="s">
        <v>46</v>
      </c>
      <c r="F379" s="12">
        <v>164.32</v>
      </c>
      <c r="G379" s="6">
        <v>447</v>
      </c>
      <c r="H379" s="12">
        <f>tbl_base_ni_ri[[#This Row],[ni_total]]+tbl_base_ni_ri[[#This Row],[ri_total]]</f>
        <v>611.31999999999994</v>
      </c>
      <c r="I379" s="6" t="str">
        <f t="shared" si="5"/>
        <v>OK</v>
      </c>
      <c r="J379" s="7"/>
    </row>
    <row r="380" spans="1:10">
      <c r="A380">
        <v>2031</v>
      </c>
      <c r="B380" s="3" t="s">
        <v>47</v>
      </c>
      <c r="C380" s="6" t="s">
        <v>60</v>
      </c>
      <c r="D380" s="6" t="s">
        <v>51</v>
      </c>
      <c r="E380" s="6" t="s">
        <v>46</v>
      </c>
      <c r="F380" s="12">
        <v>170.89279999999999</v>
      </c>
      <c r="G380" s="6">
        <v>471</v>
      </c>
      <c r="H380" s="12">
        <f>tbl_base_ni_ri[[#This Row],[ni_total]]+tbl_base_ni_ri[[#This Row],[ri_total]]</f>
        <v>641.89279999999997</v>
      </c>
      <c r="I380" s="6" t="str">
        <f t="shared" si="5"/>
        <v>OK</v>
      </c>
      <c r="J380" s="7"/>
    </row>
    <row r="381" spans="1:10">
      <c r="A381">
        <v>2032</v>
      </c>
      <c r="B381" s="3" t="s">
        <v>47</v>
      </c>
      <c r="C381" s="6" t="s">
        <v>60</v>
      </c>
      <c r="D381" s="6" t="s">
        <v>51</v>
      </c>
      <c r="E381" s="6" t="s">
        <v>46</v>
      </c>
      <c r="F381" s="12">
        <v>177.72851199999999</v>
      </c>
      <c r="G381" s="6">
        <v>485</v>
      </c>
      <c r="H381" s="12">
        <f>tbl_base_ni_ri[[#This Row],[ni_total]]+tbl_base_ni_ri[[#This Row],[ri_total]]</f>
        <v>662.72851200000002</v>
      </c>
      <c r="I381" s="6" t="str">
        <f t="shared" si="5"/>
        <v>OK</v>
      </c>
      <c r="J381" s="7"/>
    </row>
    <row r="382" spans="1:10">
      <c r="A382">
        <v>2033</v>
      </c>
      <c r="B382" s="3" t="s">
        <v>47</v>
      </c>
      <c r="C382" s="6" t="s">
        <v>60</v>
      </c>
      <c r="D382" s="6" t="s">
        <v>51</v>
      </c>
      <c r="E382" s="6" t="s">
        <v>46</v>
      </c>
      <c r="F382" s="12">
        <v>184.83765248</v>
      </c>
      <c r="G382" s="6">
        <v>504</v>
      </c>
      <c r="H382" s="12">
        <f>tbl_base_ni_ri[[#This Row],[ni_total]]+tbl_base_ni_ri[[#This Row],[ri_total]]</f>
        <v>688.83765247999997</v>
      </c>
      <c r="I382" s="6" t="str">
        <f t="shared" si="5"/>
        <v>OK</v>
      </c>
      <c r="J382" s="7"/>
    </row>
    <row r="383" spans="1:10">
      <c r="A383">
        <v>2034</v>
      </c>
      <c r="B383" s="3" t="s">
        <v>47</v>
      </c>
      <c r="C383" s="6" t="s">
        <v>60</v>
      </c>
      <c r="D383" s="6" t="s">
        <v>51</v>
      </c>
      <c r="E383" s="6" t="s">
        <v>46</v>
      </c>
      <c r="F383" s="12">
        <v>190.3827820544</v>
      </c>
      <c r="G383" s="6">
        <v>531</v>
      </c>
      <c r="H383" s="12">
        <f>tbl_base_ni_ri[[#This Row],[ni_total]]+tbl_base_ni_ri[[#This Row],[ri_total]]</f>
        <v>721.38278205439997</v>
      </c>
      <c r="I383" s="6" t="str">
        <f t="shared" si="5"/>
        <v>OK</v>
      </c>
      <c r="J383" s="7"/>
    </row>
    <row r="384" spans="1:10">
      <c r="A384">
        <v>2035</v>
      </c>
      <c r="B384" s="3" t="s">
        <v>47</v>
      </c>
      <c r="C384" s="6" t="s">
        <v>60</v>
      </c>
      <c r="D384" s="6" t="s">
        <v>51</v>
      </c>
      <c r="E384" s="6" t="s">
        <v>46</v>
      </c>
      <c r="F384" s="12">
        <v>196.09426551603201</v>
      </c>
      <c r="G384" s="6">
        <v>555</v>
      </c>
      <c r="H384" s="12">
        <f>tbl_base_ni_ri[[#This Row],[ni_total]]+tbl_base_ni_ri[[#This Row],[ri_total]]</f>
        <v>751.09426551603201</v>
      </c>
      <c r="I384" s="6" t="str">
        <f t="shared" si="5"/>
        <v>OK</v>
      </c>
      <c r="J384" s="7"/>
    </row>
    <row r="385" spans="1:10">
      <c r="A385">
        <v>2036</v>
      </c>
      <c r="B385" s="3" t="s">
        <v>47</v>
      </c>
      <c r="C385" s="6" t="s">
        <v>60</v>
      </c>
      <c r="D385" s="6" t="s">
        <v>51</v>
      </c>
      <c r="E385" s="6" t="s">
        <v>46</v>
      </c>
      <c r="F385" s="12">
        <v>201.97709348151298</v>
      </c>
      <c r="G385" s="6">
        <v>579</v>
      </c>
      <c r="H385" s="12">
        <f>tbl_base_ni_ri[[#This Row],[ni_total]]+tbl_base_ni_ri[[#This Row],[ri_total]]</f>
        <v>780.97709348151295</v>
      </c>
      <c r="I385" s="6" t="str">
        <f t="shared" si="5"/>
        <v>OK</v>
      </c>
      <c r="J385" s="7"/>
    </row>
    <row r="386" spans="1:10">
      <c r="A386">
        <v>2037</v>
      </c>
      <c r="B386" s="3" t="s">
        <v>47</v>
      </c>
      <c r="C386" s="6" t="s">
        <v>60</v>
      </c>
      <c r="D386" s="6" t="s">
        <v>51</v>
      </c>
      <c r="E386" s="6" t="s">
        <v>46</v>
      </c>
      <c r="F386" s="12">
        <v>206.31960099136552</v>
      </c>
      <c r="G386" s="6">
        <v>594</v>
      </c>
      <c r="H386" s="12">
        <f>tbl_base_ni_ri[[#This Row],[ni_total]]+tbl_base_ni_ri[[#This Row],[ri_total]]</f>
        <v>800.31960099136552</v>
      </c>
      <c r="I386" s="6" t="str">
        <f t="shared" si="5"/>
        <v>OK</v>
      </c>
      <c r="J386" s="7"/>
    </row>
    <row r="387" spans="1:10">
      <c r="A387">
        <v>2038</v>
      </c>
      <c r="B387" s="3" t="s">
        <v>47</v>
      </c>
      <c r="C387" s="6" t="s">
        <v>60</v>
      </c>
      <c r="D387" s="6" t="s">
        <v>51</v>
      </c>
      <c r="E387" s="6" t="s">
        <v>46</v>
      </c>
      <c r="F387" s="12">
        <v>210.75547241267989</v>
      </c>
      <c r="G387" s="6">
        <v>615</v>
      </c>
      <c r="H387" s="12">
        <f>tbl_base_ni_ri[[#This Row],[ni_total]]+tbl_base_ni_ri[[#This Row],[ri_total]]</f>
        <v>825.75547241267986</v>
      </c>
      <c r="I387" s="6" t="str">
        <f t="shared" si="5"/>
        <v>OK</v>
      </c>
      <c r="J387" s="7"/>
    </row>
    <row r="388" spans="1:10">
      <c r="A388">
        <v>2039</v>
      </c>
      <c r="B388" s="3" t="s">
        <v>47</v>
      </c>
      <c r="C388" s="6" t="s">
        <v>60</v>
      </c>
      <c r="D388" s="6" t="s">
        <v>51</v>
      </c>
      <c r="E388" s="6" t="s">
        <v>46</v>
      </c>
      <c r="F388" s="12">
        <v>215.28671506955251</v>
      </c>
      <c r="G388" s="6">
        <v>629</v>
      </c>
      <c r="H388" s="12">
        <f>tbl_base_ni_ri[[#This Row],[ni_total]]+tbl_base_ni_ri[[#This Row],[ri_total]]</f>
        <v>844.28671506955254</v>
      </c>
      <c r="I388" s="6" t="str">
        <f t="shared" si="5"/>
        <v>OK</v>
      </c>
      <c r="J388" s="7"/>
    </row>
    <row r="389" spans="1:10">
      <c r="A389">
        <v>2040</v>
      </c>
      <c r="B389" s="3" t="s">
        <v>47</v>
      </c>
      <c r="C389" s="6" t="s">
        <v>60</v>
      </c>
      <c r="D389" s="6" t="s">
        <v>51</v>
      </c>
      <c r="E389" s="6" t="s">
        <v>46</v>
      </c>
      <c r="F389" s="12">
        <v>220</v>
      </c>
      <c r="G389" s="6">
        <v>630</v>
      </c>
      <c r="H389" s="12">
        <f>tbl_base_ni_ri[[#This Row],[ni_total]]+tbl_base_ni_ri[[#This Row],[ri_total]]</f>
        <v>850</v>
      </c>
      <c r="I389" s="6" t="str">
        <f t="shared" ref="I389:I452" si="6">IF(OR(F389="",G389="",H389=""),"",IF(ABS(H389-F389-G389)&lt;0.01,"OK","Revisar MT"))</f>
        <v>OK</v>
      </c>
      <c r="J389" s="7"/>
    </row>
    <row r="390" spans="1:10">
      <c r="A390">
        <v>2030</v>
      </c>
      <c r="B390" s="3" t="s">
        <v>47</v>
      </c>
      <c r="C390" s="6" t="s">
        <v>62</v>
      </c>
      <c r="D390" s="6" t="s">
        <v>51</v>
      </c>
      <c r="E390" s="6" t="s">
        <v>46</v>
      </c>
      <c r="F390" s="12">
        <v>182.70000000000002</v>
      </c>
      <c r="G390" s="6">
        <v>432</v>
      </c>
      <c r="H390" s="12">
        <f>tbl_base_ni_ri[[#This Row],[ni_total]]+tbl_base_ni_ri[[#This Row],[ri_total]]</f>
        <v>614.70000000000005</v>
      </c>
      <c r="I390" s="6" t="str">
        <f t="shared" si="6"/>
        <v>OK</v>
      </c>
      <c r="J390" s="7"/>
    </row>
    <row r="391" spans="1:10">
      <c r="A391">
        <v>2031</v>
      </c>
      <c r="B391" s="3" t="s">
        <v>47</v>
      </c>
      <c r="C391" s="6" t="s">
        <v>62</v>
      </c>
      <c r="D391" s="6" t="s">
        <v>51</v>
      </c>
      <c r="E391" s="6" t="s">
        <v>46</v>
      </c>
      <c r="F391" s="12">
        <v>191.83500000000004</v>
      </c>
      <c r="G391" s="6">
        <v>514</v>
      </c>
      <c r="H391" s="12">
        <f>tbl_base_ni_ri[[#This Row],[ni_total]]+tbl_base_ni_ri[[#This Row],[ri_total]]</f>
        <v>705.83500000000004</v>
      </c>
      <c r="I391" s="6" t="str">
        <f t="shared" si="6"/>
        <v>OK</v>
      </c>
      <c r="J391" s="7"/>
    </row>
    <row r="392" spans="1:10">
      <c r="A392">
        <v>2032</v>
      </c>
      <c r="B392" s="3" t="s">
        <v>47</v>
      </c>
      <c r="C392" s="6" t="s">
        <v>62</v>
      </c>
      <c r="D392" s="6" t="s">
        <v>51</v>
      </c>
      <c r="E392" s="6" t="s">
        <v>46</v>
      </c>
      <c r="F392" s="12">
        <v>201.42675000000006</v>
      </c>
      <c r="G392" s="6">
        <v>541</v>
      </c>
      <c r="H392" s="12">
        <f>tbl_base_ni_ri[[#This Row],[ni_total]]+tbl_base_ni_ri[[#This Row],[ri_total]]</f>
        <v>742.42675000000008</v>
      </c>
      <c r="I392" s="6" t="str">
        <f t="shared" si="6"/>
        <v>OK</v>
      </c>
      <c r="J392" s="7"/>
    </row>
    <row r="393" spans="1:10">
      <c r="A393">
        <v>2033</v>
      </c>
      <c r="B393" s="3" t="s">
        <v>47</v>
      </c>
      <c r="C393" s="6" t="s">
        <v>62</v>
      </c>
      <c r="D393" s="6" t="s">
        <v>51</v>
      </c>
      <c r="E393" s="6" t="s">
        <v>46</v>
      </c>
      <c r="F393" s="12">
        <v>211.49808750000005</v>
      </c>
      <c r="G393" s="6">
        <v>576</v>
      </c>
      <c r="H393" s="12">
        <f>tbl_base_ni_ri[[#This Row],[ni_total]]+tbl_base_ni_ri[[#This Row],[ri_total]]</f>
        <v>787.49808750000011</v>
      </c>
      <c r="I393" s="6" t="str">
        <f t="shared" si="6"/>
        <v>OK</v>
      </c>
      <c r="J393" s="7"/>
    </row>
    <row r="394" spans="1:10">
      <c r="A394">
        <v>2034</v>
      </c>
      <c r="B394" s="3" t="s">
        <v>47</v>
      </c>
      <c r="C394" s="6" t="s">
        <v>62</v>
      </c>
      <c r="D394" s="6" t="s">
        <v>51</v>
      </c>
      <c r="E394" s="6" t="s">
        <v>46</v>
      </c>
      <c r="F394" s="12">
        <v>217.84303012500007</v>
      </c>
      <c r="G394" s="6">
        <v>598</v>
      </c>
      <c r="H394" s="12">
        <f>tbl_base_ni_ri[[#This Row],[ni_total]]+tbl_base_ni_ri[[#This Row],[ri_total]]</f>
        <v>815.84303012500004</v>
      </c>
      <c r="I394" s="6" t="str">
        <f t="shared" si="6"/>
        <v>OK</v>
      </c>
      <c r="J394" s="7"/>
    </row>
    <row r="395" spans="1:10">
      <c r="A395">
        <v>2035</v>
      </c>
      <c r="B395" s="3" t="s">
        <v>47</v>
      </c>
      <c r="C395" s="6" t="s">
        <v>62</v>
      </c>
      <c r="D395" s="6" t="s">
        <v>51</v>
      </c>
      <c r="E395" s="6" t="s">
        <v>46</v>
      </c>
      <c r="F395" s="12">
        <v>224.37832102875007</v>
      </c>
      <c r="G395" s="6">
        <v>635</v>
      </c>
      <c r="H395" s="12">
        <f>tbl_base_ni_ri[[#This Row],[ni_total]]+tbl_base_ni_ri[[#This Row],[ri_total]]</f>
        <v>859.37832102875007</v>
      </c>
      <c r="I395" s="6" t="str">
        <f t="shared" si="6"/>
        <v>OK</v>
      </c>
      <c r="J395" s="7"/>
    </row>
    <row r="396" spans="1:10">
      <c r="A396">
        <v>2036</v>
      </c>
      <c r="B396" s="3" t="s">
        <v>47</v>
      </c>
      <c r="C396" s="6" t="s">
        <v>62</v>
      </c>
      <c r="D396" s="6" t="s">
        <v>51</v>
      </c>
      <c r="E396" s="6" t="s">
        <v>46</v>
      </c>
      <c r="F396" s="12">
        <v>231.10967065961256</v>
      </c>
      <c r="G396" s="6">
        <v>667</v>
      </c>
      <c r="H396" s="12">
        <f>tbl_base_ni_ri[[#This Row],[ni_total]]+tbl_base_ni_ri[[#This Row],[ri_total]]</f>
        <v>898.10967065961256</v>
      </c>
      <c r="I396" s="6" t="str">
        <f t="shared" si="6"/>
        <v>OK</v>
      </c>
      <c r="J396" s="7"/>
    </row>
    <row r="397" spans="1:10">
      <c r="A397">
        <v>2037</v>
      </c>
      <c r="B397" s="3" t="s">
        <v>47</v>
      </c>
      <c r="C397" s="6" t="s">
        <v>62</v>
      </c>
      <c r="D397" s="6" t="s">
        <v>51</v>
      </c>
      <c r="E397" s="6" t="s">
        <v>46</v>
      </c>
      <c r="F397" s="12">
        <v>235.73186407280483</v>
      </c>
      <c r="G397" s="6">
        <v>698</v>
      </c>
      <c r="H397" s="12">
        <f>tbl_base_ni_ri[[#This Row],[ni_total]]+tbl_base_ni_ri[[#This Row],[ri_total]]</f>
        <v>933.7318640728048</v>
      </c>
      <c r="I397" s="6" t="str">
        <f t="shared" si="6"/>
        <v>OK</v>
      </c>
      <c r="J397" s="7"/>
    </row>
    <row r="398" spans="1:10">
      <c r="A398">
        <v>2038</v>
      </c>
      <c r="B398" s="3" t="s">
        <v>47</v>
      </c>
      <c r="C398" s="6" t="s">
        <v>62</v>
      </c>
      <c r="D398" s="6" t="s">
        <v>51</v>
      </c>
      <c r="E398" s="6" t="s">
        <v>46</v>
      </c>
      <c r="F398" s="12">
        <v>240.44650135426093</v>
      </c>
      <c r="G398" s="6">
        <v>719</v>
      </c>
      <c r="H398" s="12">
        <f>tbl_base_ni_ri[[#This Row],[ni_total]]+tbl_base_ni_ri[[#This Row],[ri_total]]</f>
        <v>959.44650135426093</v>
      </c>
      <c r="I398" s="6" t="str">
        <f t="shared" si="6"/>
        <v>OK</v>
      </c>
      <c r="J398" s="7"/>
    </row>
    <row r="399" spans="1:10">
      <c r="A399">
        <v>2039</v>
      </c>
      <c r="B399" s="3" t="s">
        <v>47</v>
      </c>
      <c r="C399" s="6" t="s">
        <v>62</v>
      </c>
      <c r="D399" s="6" t="s">
        <v>51</v>
      </c>
      <c r="E399" s="6" t="s">
        <v>46</v>
      </c>
      <c r="F399" s="12">
        <v>245.25543138134614</v>
      </c>
      <c r="G399" s="6">
        <v>739</v>
      </c>
      <c r="H399" s="12">
        <f>tbl_base_ni_ri[[#This Row],[ni_total]]+tbl_base_ni_ri[[#This Row],[ri_total]]</f>
        <v>984.25543138134617</v>
      </c>
      <c r="I399" s="6" t="str">
        <f t="shared" si="6"/>
        <v>OK</v>
      </c>
      <c r="J399" s="7"/>
    </row>
    <row r="400" spans="1:10">
      <c r="A400">
        <v>2040</v>
      </c>
      <c r="B400" s="3" t="s">
        <v>47</v>
      </c>
      <c r="C400" s="6" t="s">
        <v>62</v>
      </c>
      <c r="D400" s="6" t="s">
        <v>51</v>
      </c>
      <c r="E400" s="6" t="s">
        <v>46</v>
      </c>
      <c r="F400" s="12">
        <v>250.16054000897307</v>
      </c>
      <c r="G400" s="6">
        <v>750</v>
      </c>
      <c r="H400" s="12">
        <f>tbl_base_ni_ri[[#This Row],[ni_total]]+tbl_base_ni_ri[[#This Row],[ri_total]]</f>
        <v>1000.160540008973</v>
      </c>
      <c r="I400" s="6" t="str">
        <f t="shared" si="6"/>
        <v>OK</v>
      </c>
      <c r="J400" s="7"/>
    </row>
    <row r="401" spans="1:10">
      <c r="A401">
        <v>2030</v>
      </c>
      <c r="B401" s="3" t="s">
        <v>47</v>
      </c>
      <c r="C401" s="6" t="s">
        <v>64</v>
      </c>
      <c r="D401" s="6" t="s">
        <v>51</v>
      </c>
      <c r="E401" s="6" t="s">
        <v>46</v>
      </c>
      <c r="F401" s="12">
        <v>386.27000000000004</v>
      </c>
      <c r="G401" s="6">
        <v>992</v>
      </c>
      <c r="H401" s="12">
        <f>tbl_base_ni_ri[[#This Row],[ni_total]]+tbl_base_ni_ri[[#This Row],[ri_total]]</f>
        <v>1378.27</v>
      </c>
      <c r="I401" s="6" t="str">
        <f t="shared" si="6"/>
        <v>OK</v>
      </c>
      <c r="J401" s="7"/>
    </row>
    <row r="402" spans="1:10">
      <c r="A402">
        <v>2031</v>
      </c>
      <c r="B402" s="3" t="s">
        <v>47</v>
      </c>
      <c r="C402" s="6" t="s">
        <v>64</v>
      </c>
      <c r="D402" s="6" t="s">
        <v>51</v>
      </c>
      <c r="E402" s="6" t="s">
        <v>46</v>
      </c>
      <c r="F402" s="12">
        <v>413.30890000000005</v>
      </c>
      <c r="G402" s="6">
        <v>1092</v>
      </c>
      <c r="H402" s="12">
        <f>tbl_base_ni_ri[[#This Row],[ni_total]]+tbl_base_ni_ri[[#This Row],[ri_total]]</f>
        <v>1505.3089</v>
      </c>
      <c r="I402" s="6" t="str">
        <f t="shared" si="6"/>
        <v>OK</v>
      </c>
      <c r="J402" s="7"/>
    </row>
    <row r="403" spans="1:10">
      <c r="A403">
        <v>2032</v>
      </c>
      <c r="B403" s="3" t="s">
        <v>47</v>
      </c>
      <c r="C403" s="6" t="s">
        <v>64</v>
      </c>
      <c r="D403" s="6" t="s">
        <v>51</v>
      </c>
      <c r="E403" s="6" t="s">
        <v>46</v>
      </c>
      <c r="F403" s="12">
        <v>442.24052300000005</v>
      </c>
      <c r="G403" s="6">
        <v>1153</v>
      </c>
      <c r="H403" s="12">
        <f>tbl_base_ni_ri[[#This Row],[ni_total]]+tbl_base_ni_ri[[#This Row],[ri_total]]</f>
        <v>1595.2405229999999</v>
      </c>
      <c r="I403" s="6" t="str">
        <f t="shared" si="6"/>
        <v>OK</v>
      </c>
      <c r="J403" s="7"/>
    </row>
    <row r="404" spans="1:10">
      <c r="A404">
        <v>2033</v>
      </c>
      <c r="B404" s="3" t="s">
        <v>47</v>
      </c>
      <c r="C404" s="6" t="s">
        <v>64</v>
      </c>
      <c r="D404" s="6" t="s">
        <v>51</v>
      </c>
      <c r="E404" s="6" t="s">
        <v>46</v>
      </c>
      <c r="F404" s="12">
        <v>473.19735961000009</v>
      </c>
      <c r="G404" s="6">
        <v>1207</v>
      </c>
      <c r="H404" s="12">
        <f>tbl_base_ni_ri[[#This Row],[ni_total]]+tbl_base_ni_ri[[#This Row],[ri_total]]</f>
        <v>1680.1973596100001</v>
      </c>
      <c r="I404" s="6" t="str">
        <f t="shared" si="6"/>
        <v>OK</v>
      </c>
      <c r="J404" s="7"/>
    </row>
    <row r="405" spans="1:10">
      <c r="A405">
        <v>2034</v>
      </c>
      <c r="B405" s="3" t="s">
        <v>47</v>
      </c>
      <c r="C405" s="6" t="s">
        <v>64</v>
      </c>
      <c r="D405" s="6" t="s">
        <v>51</v>
      </c>
      <c r="E405" s="6" t="s">
        <v>46</v>
      </c>
      <c r="F405" s="12">
        <v>496.85722759050014</v>
      </c>
      <c r="G405" s="6">
        <v>1259</v>
      </c>
      <c r="H405" s="12">
        <f>tbl_base_ni_ri[[#This Row],[ni_total]]+tbl_base_ni_ri[[#This Row],[ri_total]]</f>
        <v>1755.8572275905001</v>
      </c>
      <c r="I405" s="6" t="str">
        <f t="shared" si="6"/>
        <v>OK</v>
      </c>
      <c r="J405" s="7"/>
    </row>
    <row r="406" spans="1:10">
      <c r="A406">
        <v>2035</v>
      </c>
      <c r="B406" s="3" t="s">
        <v>47</v>
      </c>
      <c r="C406" s="6" t="s">
        <v>64</v>
      </c>
      <c r="D406" s="6" t="s">
        <v>51</v>
      </c>
      <c r="E406" s="6" t="s">
        <v>46</v>
      </c>
      <c r="F406" s="12">
        <v>521.70008897002515</v>
      </c>
      <c r="G406" s="6">
        <v>1307</v>
      </c>
      <c r="H406" s="12">
        <f>tbl_base_ni_ri[[#This Row],[ni_total]]+tbl_base_ni_ri[[#This Row],[ri_total]]</f>
        <v>1828.7000889700253</v>
      </c>
      <c r="I406" s="6" t="str">
        <f t="shared" si="6"/>
        <v>OK</v>
      </c>
      <c r="J406" s="7"/>
    </row>
    <row r="407" spans="1:10">
      <c r="A407">
        <v>2036</v>
      </c>
      <c r="B407" s="3" t="s">
        <v>47</v>
      </c>
      <c r="C407" s="6" t="s">
        <v>64</v>
      </c>
      <c r="D407" s="6" t="s">
        <v>51</v>
      </c>
      <c r="E407" s="6" t="s">
        <v>46</v>
      </c>
      <c r="F407" s="12">
        <v>547.78509341852646</v>
      </c>
      <c r="G407" s="6">
        <v>1355</v>
      </c>
      <c r="H407" s="12">
        <f>tbl_base_ni_ri[[#This Row],[ni_total]]+tbl_base_ni_ri[[#This Row],[ri_total]]</f>
        <v>1902.7850934185265</v>
      </c>
      <c r="I407" s="6" t="str">
        <f t="shared" si="6"/>
        <v>OK</v>
      </c>
      <c r="J407" s="7"/>
    </row>
    <row r="408" spans="1:10">
      <c r="A408">
        <v>2037</v>
      </c>
      <c r="B408" s="3" t="s">
        <v>47</v>
      </c>
      <c r="C408" s="6" t="s">
        <v>64</v>
      </c>
      <c r="D408" s="6" t="s">
        <v>51</v>
      </c>
      <c r="E408" s="6" t="s">
        <v>46</v>
      </c>
      <c r="F408" s="12">
        <v>564.21864622108228</v>
      </c>
      <c r="G408" s="6">
        <v>1387</v>
      </c>
      <c r="H408" s="12">
        <f>tbl_base_ni_ri[[#This Row],[ni_total]]+tbl_base_ni_ri[[#This Row],[ri_total]]</f>
        <v>1951.2186462210823</v>
      </c>
      <c r="I408" s="6" t="str">
        <f t="shared" si="6"/>
        <v>OK</v>
      </c>
      <c r="J408" s="7"/>
    </row>
    <row r="409" spans="1:10">
      <c r="A409">
        <v>2038</v>
      </c>
      <c r="B409" s="3" t="s">
        <v>47</v>
      </c>
      <c r="C409" s="6" t="s">
        <v>64</v>
      </c>
      <c r="D409" s="6" t="s">
        <v>51</v>
      </c>
      <c r="E409" s="6" t="s">
        <v>46</v>
      </c>
      <c r="F409" s="12">
        <v>581.14520560771473</v>
      </c>
      <c r="G409" s="6">
        <v>1431</v>
      </c>
      <c r="H409" s="12">
        <f>tbl_base_ni_ri[[#This Row],[ni_total]]+tbl_base_ni_ri[[#This Row],[ri_total]]</f>
        <v>2012.1452056077146</v>
      </c>
      <c r="I409" s="6" t="str">
        <f t="shared" si="6"/>
        <v>OK</v>
      </c>
      <c r="J409" s="7"/>
    </row>
    <row r="410" spans="1:10">
      <c r="A410">
        <v>2039</v>
      </c>
      <c r="B410" s="3" t="s">
        <v>47</v>
      </c>
      <c r="C410" s="6" t="s">
        <v>64</v>
      </c>
      <c r="D410" s="6" t="s">
        <v>51</v>
      </c>
      <c r="E410" s="6" t="s">
        <v>46</v>
      </c>
      <c r="F410" s="12">
        <v>598.57956177594622</v>
      </c>
      <c r="G410" s="6">
        <v>1459</v>
      </c>
      <c r="H410" s="12">
        <f>tbl_base_ni_ri[[#This Row],[ni_total]]+tbl_base_ni_ri[[#This Row],[ri_total]]</f>
        <v>2057.5795617759463</v>
      </c>
      <c r="I410" s="6" t="str">
        <f t="shared" si="6"/>
        <v>OK</v>
      </c>
      <c r="J410" s="7"/>
    </row>
    <row r="411" spans="1:10">
      <c r="A411">
        <v>2040</v>
      </c>
      <c r="B411" s="3" t="s">
        <v>47</v>
      </c>
      <c r="C411" s="6" t="s">
        <v>64</v>
      </c>
      <c r="D411" s="6" t="s">
        <v>51</v>
      </c>
      <c r="E411" s="6" t="s">
        <v>46</v>
      </c>
      <c r="F411" s="12">
        <v>616.53694862922464</v>
      </c>
      <c r="G411" s="6">
        <v>1478</v>
      </c>
      <c r="H411" s="12">
        <f>tbl_base_ni_ri[[#This Row],[ni_total]]+tbl_base_ni_ri[[#This Row],[ri_total]]</f>
        <v>2094.5369486292248</v>
      </c>
      <c r="I411" s="6" t="str">
        <f t="shared" si="6"/>
        <v>OK</v>
      </c>
      <c r="J411" s="7"/>
    </row>
    <row r="412" spans="1:10">
      <c r="A412">
        <v>2030</v>
      </c>
      <c r="B412" s="3" t="s">
        <v>47</v>
      </c>
      <c r="C412" s="6" t="s">
        <v>66</v>
      </c>
      <c r="D412" s="6" t="s">
        <v>51</v>
      </c>
      <c r="E412" s="6" t="s">
        <v>46</v>
      </c>
      <c r="F412" s="12">
        <v>168.67</v>
      </c>
      <c r="G412" s="6">
        <v>371</v>
      </c>
      <c r="H412" s="12">
        <f>tbl_base_ni_ri[[#This Row],[ni_total]]+tbl_base_ni_ri[[#This Row],[ri_total]]</f>
        <v>539.66999999999996</v>
      </c>
      <c r="I412" s="6" t="str">
        <f t="shared" si="6"/>
        <v>OK</v>
      </c>
      <c r="J412" s="7"/>
    </row>
    <row r="413" spans="1:10">
      <c r="A413">
        <v>2031</v>
      </c>
      <c r="B413" s="3" t="s">
        <v>47</v>
      </c>
      <c r="C413" s="6" t="s">
        <v>66</v>
      </c>
      <c r="D413" s="6" t="s">
        <v>51</v>
      </c>
      <c r="E413" s="6" t="s">
        <v>46</v>
      </c>
      <c r="F413" s="12">
        <v>170.35669999999999</v>
      </c>
      <c r="G413" s="6">
        <v>379</v>
      </c>
      <c r="H413" s="12">
        <f>tbl_base_ni_ri[[#This Row],[ni_total]]+tbl_base_ni_ri[[#This Row],[ri_total]]</f>
        <v>549.35670000000005</v>
      </c>
      <c r="I413" s="6" t="str">
        <f t="shared" si="6"/>
        <v>OK</v>
      </c>
      <c r="J413" s="7"/>
    </row>
    <row r="414" spans="1:10">
      <c r="A414">
        <v>2032</v>
      </c>
      <c r="B414" s="3" t="s">
        <v>47</v>
      </c>
      <c r="C414" s="6" t="s">
        <v>66</v>
      </c>
      <c r="D414" s="6" t="s">
        <v>51</v>
      </c>
      <c r="E414" s="6" t="s">
        <v>46</v>
      </c>
      <c r="F414" s="12">
        <v>172.06026699999998</v>
      </c>
      <c r="G414" s="6">
        <v>386</v>
      </c>
      <c r="H414" s="12">
        <f>tbl_base_ni_ri[[#This Row],[ni_total]]+tbl_base_ni_ri[[#This Row],[ri_total]]</f>
        <v>558.06026699999995</v>
      </c>
      <c r="I414" s="6" t="str">
        <f t="shared" si="6"/>
        <v>OK</v>
      </c>
      <c r="J414" s="7"/>
    </row>
    <row r="415" spans="1:10">
      <c r="A415">
        <v>2033</v>
      </c>
      <c r="B415" s="3" t="s">
        <v>47</v>
      </c>
      <c r="C415" s="6" t="s">
        <v>66</v>
      </c>
      <c r="D415" s="6" t="s">
        <v>51</v>
      </c>
      <c r="E415" s="6" t="s">
        <v>46</v>
      </c>
      <c r="F415" s="12">
        <v>173.78086966999999</v>
      </c>
      <c r="G415" s="6">
        <v>393</v>
      </c>
      <c r="H415" s="12">
        <f>tbl_base_ni_ri[[#This Row],[ni_total]]+tbl_base_ni_ri[[#This Row],[ri_total]]</f>
        <v>566.78086967000002</v>
      </c>
      <c r="I415" s="6" t="str">
        <f t="shared" si="6"/>
        <v>OK</v>
      </c>
      <c r="J415" s="7"/>
    </row>
    <row r="416" spans="1:10">
      <c r="A416">
        <v>2034</v>
      </c>
      <c r="B416" s="3" t="s">
        <v>47</v>
      </c>
      <c r="C416" s="6" t="s">
        <v>66</v>
      </c>
      <c r="D416" s="6" t="s">
        <v>51</v>
      </c>
      <c r="E416" s="6" t="s">
        <v>46</v>
      </c>
      <c r="F416" s="12">
        <v>175.51867836669999</v>
      </c>
      <c r="G416" s="6">
        <v>399</v>
      </c>
      <c r="H416" s="12">
        <f>tbl_base_ni_ri[[#This Row],[ni_total]]+tbl_base_ni_ri[[#This Row],[ri_total]]</f>
        <v>574.51867836669999</v>
      </c>
      <c r="I416" s="6" t="str">
        <f t="shared" si="6"/>
        <v>OK</v>
      </c>
      <c r="J416" s="7"/>
    </row>
    <row r="417" spans="1:10">
      <c r="A417">
        <v>2035</v>
      </c>
      <c r="B417" s="3" t="s">
        <v>47</v>
      </c>
      <c r="C417" s="6" t="s">
        <v>66</v>
      </c>
      <c r="D417" s="6" t="s">
        <v>51</v>
      </c>
      <c r="E417" s="6" t="s">
        <v>46</v>
      </c>
      <c r="F417" s="12">
        <v>177.27386515036699</v>
      </c>
      <c r="G417" s="6">
        <v>405</v>
      </c>
      <c r="H417" s="12">
        <f>tbl_base_ni_ri[[#This Row],[ni_total]]+tbl_base_ni_ri[[#This Row],[ri_total]]</f>
        <v>582.27386515036699</v>
      </c>
      <c r="I417" s="6" t="str">
        <f t="shared" si="6"/>
        <v>OK</v>
      </c>
      <c r="J417" s="7"/>
    </row>
    <row r="418" spans="1:10">
      <c r="A418">
        <v>2036</v>
      </c>
      <c r="B418" s="3" t="s">
        <v>47</v>
      </c>
      <c r="C418" s="6" t="s">
        <v>66</v>
      </c>
      <c r="D418" s="6" t="s">
        <v>51</v>
      </c>
      <c r="E418" s="6" t="s">
        <v>46</v>
      </c>
      <c r="F418" s="12">
        <v>179.04660380187065</v>
      </c>
      <c r="G418" s="6">
        <v>411</v>
      </c>
      <c r="H418" s="12">
        <f>tbl_base_ni_ri[[#This Row],[ni_total]]+tbl_base_ni_ri[[#This Row],[ri_total]]</f>
        <v>590.04660380187067</v>
      </c>
      <c r="I418" s="6" t="str">
        <f t="shared" si="6"/>
        <v>OK</v>
      </c>
      <c r="J418" s="7"/>
    </row>
    <row r="419" spans="1:10">
      <c r="A419">
        <v>2037</v>
      </c>
      <c r="B419" s="3" t="s">
        <v>47</v>
      </c>
      <c r="C419" s="6" t="s">
        <v>66</v>
      </c>
      <c r="D419" s="6" t="s">
        <v>51</v>
      </c>
      <c r="E419" s="6" t="s">
        <v>46</v>
      </c>
      <c r="F419" s="12">
        <v>180.83706983988935</v>
      </c>
      <c r="G419" s="6">
        <v>416</v>
      </c>
      <c r="H419" s="12">
        <f>tbl_base_ni_ri[[#This Row],[ni_total]]+tbl_base_ni_ri[[#This Row],[ri_total]]</f>
        <v>596.83706983988941</v>
      </c>
      <c r="I419" s="6" t="str">
        <f t="shared" si="6"/>
        <v>OK</v>
      </c>
      <c r="J419" s="7"/>
    </row>
    <row r="420" spans="1:10">
      <c r="A420">
        <v>2038</v>
      </c>
      <c r="B420" s="3" t="s">
        <v>47</v>
      </c>
      <c r="C420" s="6" t="s">
        <v>66</v>
      </c>
      <c r="D420" s="6" t="s">
        <v>51</v>
      </c>
      <c r="E420" s="6" t="s">
        <v>46</v>
      </c>
      <c r="F420" s="12">
        <v>182.64544053828826</v>
      </c>
      <c r="G420" s="6">
        <v>421</v>
      </c>
      <c r="H420" s="12">
        <f>tbl_base_ni_ri[[#This Row],[ni_total]]+tbl_base_ni_ri[[#This Row],[ri_total]]</f>
        <v>603.64544053828831</v>
      </c>
      <c r="I420" s="6" t="str">
        <f t="shared" si="6"/>
        <v>OK</v>
      </c>
      <c r="J420" s="7"/>
    </row>
    <row r="421" spans="1:10">
      <c r="A421">
        <v>2039</v>
      </c>
      <c r="B421" s="3" t="s">
        <v>47</v>
      </c>
      <c r="C421" s="6" t="s">
        <v>66</v>
      </c>
      <c r="D421" s="6" t="s">
        <v>51</v>
      </c>
      <c r="E421" s="6" t="s">
        <v>46</v>
      </c>
      <c r="F421" s="12">
        <v>184.47189494367115</v>
      </c>
      <c r="G421" s="6">
        <v>427</v>
      </c>
      <c r="H421" s="12">
        <f>tbl_base_ni_ri[[#This Row],[ni_total]]+tbl_base_ni_ri[[#This Row],[ri_total]]</f>
        <v>611.47189494367115</v>
      </c>
      <c r="I421" s="6" t="str">
        <f t="shared" si="6"/>
        <v>OK</v>
      </c>
      <c r="J421" s="7"/>
    </row>
    <row r="422" spans="1:10">
      <c r="A422">
        <v>2040</v>
      </c>
      <c r="B422" s="3" t="s">
        <v>47</v>
      </c>
      <c r="C422" s="6" t="s">
        <v>66</v>
      </c>
      <c r="D422" s="6" t="s">
        <v>51</v>
      </c>
      <c r="E422" s="6" t="s">
        <v>46</v>
      </c>
      <c r="F422" s="12">
        <v>186.31661389310787</v>
      </c>
      <c r="G422" s="6">
        <v>431</v>
      </c>
      <c r="H422" s="12">
        <f>tbl_base_ni_ri[[#This Row],[ni_total]]+tbl_base_ni_ri[[#This Row],[ri_total]]</f>
        <v>617.31661389310784</v>
      </c>
      <c r="I422" s="6" t="str">
        <f t="shared" si="6"/>
        <v>OK</v>
      </c>
      <c r="J422" s="7"/>
    </row>
    <row r="423" spans="1:10">
      <c r="A423">
        <v>2030</v>
      </c>
      <c r="B423" s="3" t="s">
        <v>47</v>
      </c>
      <c r="C423" s="6" t="s">
        <v>68</v>
      </c>
      <c r="D423" s="6" t="s">
        <v>51</v>
      </c>
      <c r="E423" s="6" t="s">
        <v>46</v>
      </c>
      <c r="F423" s="12">
        <v>269.64000000000004</v>
      </c>
      <c r="G423" s="6">
        <v>681</v>
      </c>
      <c r="H423" s="12">
        <f>tbl_base_ni_ri[[#This Row],[ni_total]]+tbl_base_ni_ri[[#This Row],[ri_total]]</f>
        <v>950.6400000000001</v>
      </c>
      <c r="I423" s="6" t="str">
        <f t="shared" si="6"/>
        <v>OK</v>
      </c>
      <c r="J423" s="7"/>
    </row>
    <row r="424" spans="1:10">
      <c r="A424">
        <v>2031</v>
      </c>
      <c r="B424" s="3" t="s">
        <v>47</v>
      </c>
      <c r="C424" s="6" t="s">
        <v>68</v>
      </c>
      <c r="D424" s="6" t="s">
        <v>51</v>
      </c>
      <c r="E424" s="6" t="s">
        <v>46</v>
      </c>
      <c r="F424" s="12">
        <v>288.51480000000004</v>
      </c>
      <c r="G424" s="6">
        <v>691</v>
      </c>
      <c r="H424" s="12">
        <f>tbl_base_ni_ri[[#This Row],[ni_total]]+tbl_base_ni_ri[[#This Row],[ri_total]]</f>
        <v>979.51480000000004</v>
      </c>
      <c r="I424" s="6" t="str">
        <f t="shared" si="6"/>
        <v>OK</v>
      </c>
      <c r="J424" s="7"/>
    </row>
    <row r="425" spans="1:10">
      <c r="A425">
        <v>2032</v>
      </c>
      <c r="B425" s="3" t="s">
        <v>47</v>
      </c>
      <c r="C425" s="6" t="s">
        <v>68</v>
      </c>
      <c r="D425" s="6" t="s">
        <v>51</v>
      </c>
      <c r="E425" s="6" t="s">
        <v>46</v>
      </c>
      <c r="F425" s="12">
        <v>308.71083600000003</v>
      </c>
      <c r="G425" s="6">
        <v>702</v>
      </c>
      <c r="H425" s="12">
        <f>tbl_base_ni_ri[[#This Row],[ni_total]]+tbl_base_ni_ri[[#This Row],[ri_total]]</f>
        <v>1010.710836</v>
      </c>
      <c r="I425" s="6" t="str">
        <f t="shared" si="6"/>
        <v>OK</v>
      </c>
      <c r="J425" s="7"/>
    </row>
    <row r="426" spans="1:10">
      <c r="A426">
        <v>2033</v>
      </c>
      <c r="B426" s="3" t="s">
        <v>47</v>
      </c>
      <c r="C426" s="6" t="s">
        <v>68</v>
      </c>
      <c r="D426" s="6" t="s">
        <v>51</v>
      </c>
      <c r="E426" s="6" t="s">
        <v>46</v>
      </c>
      <c r="F426" s="12">
        <v>330.32059452000004</v>
      </c>
      <c r="G426" s="6">
        <v>712</v>
      </c>
      <c r="H426" s="12">
        <f>tbl_base_ni_ri[[#This Row],[ni_total]]+tbl_base_ni_ri[[#This Row],[ri_total]]</f>
        <v>1042.32059452</v>
      </c>
      <c r="I426" s="6" t="str">
        <f t="shared" si="6"/>
        <v>OK</v>
      </c>
      <c r="J426" s="7"/>
    </row>
    <row r="427" spans="1:10">
      <c r="A427">
        <v>2034</v>
      </c>
      <c r="B427" s="3" t="s">
        <v>47</v>
      </c>
      <c r="C427" s="6" t="s">
        <v>68</v>
      </c>
      <c r="D427" s="6" t="s">
        <v>51</v>
      </c>
      <c r="E427" s="6" t="s">
        <v>46</v>
      </c>
      <c r="F427" s="12">
        <v>346.83662424600004</v>
      </c>
      <c r="G427" s="6">
        <v>723</v>
      </c>
      <c r="H427" s="12">
        <f>tbl_base_ni_ri[[#This Row],[ni_total]]+tbl_base_ni_ri[[#This Row],[ri_total]]</f>
        <v>1069.8366242460002</v>
      </c>
      <c r="I427" s="6" t="str">
        <f t="shared" si="6"/>
        <v>OK</v>
      </c>
      <c r="J427" s="7"/>
    </row>
    <row r="428" spans="1:10">
      <c r="A428">
        <v>2035</v>
      </c>
      <c r="B428" s="3" t="s">
        <v>47</v>
      </c>
      <c r="C428" s="6" t="s">
        <v>68</v>
      </c>
      <c r="D428" s="6" t="s">
        <v>51</v>
      </c>
      <c r="E428" s="6" t="s">
        <v>46</v>
      </c>
      <c r="F428" s="12">
        <v>364.17845545830005</v>
      </c>
      <c r="G428" s="6">
        <v>734</v>
      </c>
      <c r="H428" s="12">
        <f>tbl_base_ni_ri[[#This Row],[ni_total]]+tbl_base_ni_ri[[#This Row],[ri_total]]</f>
        <v>1098.1784554583</v>
      </c>
      <c r="I428" s="6" t="str">
        <f t="shared" si="6"/>
        <v>OK</v>
      </c>
      <c r="J428" s="7"/>
    </row>
    <row r="429" spans="1:10">
      <c r="A429">
        <v>2036</v>
      </c>
      <c r="B429" s="3" t="s">
        <v>47</v>
      </c>
      <c r="C429" s="6" t="s">
        <v>68</v>
      </c>
      <c r="D429" s="6" t="s">
        <v>51</v>
      </c>
      <c r="E429" s="6" t="s">
        <v>46</v>
      </c>
      <c r="F429" s="12">
        <v>382.38737823121505</v>
      </c>
      <c r="G429" s="6">
        <v>743</v>
      </c>
      <c r="H429" s="12">
        <f>tbl_base_ni_ri[[#This Row],[ni_total]]+tbl_base_ni_ri[[#This Row],[ri_total]]</f>
        <v>1125.3873782312151</v>
      </c>
      <c r="I429" s="6" t="str">
        <f t="shared" si="6"/>
        <v>OK</v>
      </c>
      <c r="J429" s="7"/>
    </row>
    <row r="430" spans="1:10">
      <c r="A430">
        <v>2037</v>
      </c>
      <c r="B430" s="3" t="s">
        <v>47</v>
      </c>
      <c r="C430" s="6" t="s">
        <v>68</v>
      </c>
      <c r="D430" s="6" t="s">
        <v>51</v>
      </c>
      <c r="E430" s="6" t="s">
        <v>46</v>
      </c>
      <c r="F430" s="12">
        <v>393.8589995781515</v>
      </c>
      <c r="G430" s="6">
        <v>754</v>
      </c>
      <c r="H430" s="12">
        <f>tbl_base_ni_ri[[#This Row],[ni_total]]+tbl_base_ni_ri[[#This Row],[ri_total]]</f>
        <v>1147.8589995781515</v>
      </c>
      <c r="I430" s="6" t="str">
        <f t="shared" si="6"/>
        <v>OK</v>
      </c>
      <c r="J430" s="7"/>
    </row>
    <row r="431" spans="1:10">
      <c r="A431">
        <v>2038</v>
      </c>
      <c r="B431" s="3" t="s">
        <v>47</v>
      </c>
      <c r="C431" s="6" t="s">
        <v>68</v>
      </c>
      <c r="D431" s="6" t="s">
        <v>51</v>
      </c>
      <c r="E431" s="6" t="s">
        <v>46</v>
      </c>
      <c r="F431" s="12">
        <v>405.67476956549604</v>
      </c>
      <c r="G431" s="6">
        <v>765</v>
      </c>
      <c r="H431" s="12">
        <f>tbl_base_ni_ri[[#This Row],[ni_total]]+tbl_base_ni_ri[[#This Row],[ri_total]]</f>
        <v>1170.674769565496</v>
      </c>
      <c r="I431" s="6" t="str">
        <f t="shared" si="6"/>
        <v>OK</v>
      </c>
      <c r="J431" s="7"/>
    </row>
    <row r="432" spans="1:10">
      <c r="A432">
        <v>2039</v>
      </c>
      <c r="B432" s="3" t="s">
        <v>47</v>
      </c>
      <c r="C432" s="6" t="s">
        <v>68</v>
      </c>
      <c r="D432" s="6" t="s">
        <v>51</v>
      </c>
      <c r="E432" s="6" t="s">
        <v>46</v>
      </c>
      <c r="F432" s="12">
        <v>417.84501265246092</v>
      </c>
      <c r="G432" s="6">
        <v>779</v>
      </c>
      <c r="H432" s="12">
        <f>tbl_base_ni_ri[[#This Row],[ni_total]]+tbl_base_ni_ri[[#This Row],[ri_total]]</f>
        <v>1196.8450126524608</v>
      </c>
      <c r="I432" s="6" t="str">
        <f t="shared" si="6"/>
        <v>OK</v>
      </c>
      <c r="J432" s="7"/>
    </row>
    <row r="433" spans="1:10">
      <c r="A433">
        <v>2040</v>
      </c>
      <c r="B433" s="3" t="s">
        <v>47</v>
      </c>
      <c r="C433" s="6" t="s">
        <v>68</v>
      </c>
      <c r="D433" s="6" t="s">
        <v>51</v>
      </c>
      <c r="E433" s="6" t="s">
        <v>46</v>
      </c>
      <c r="F433" s="12">
        <v>430.38036303203478</v>
      </c>
      <c r="G433" s="6">
        <v>789</v>
      </c>
      <c r="H433" s="12">
        <f>tbl_base_ni_ri[[#This Row],[ni_total]]+tbl_base_ni_ri[[#This Row],[ri_total]]</f>
        <v>1219.3803630320349</v>
      </c>
      <c r="I433" s="6" t="str">
        <f t="shared" si="6"/>
        <v>OK</v>
      </c>
      <c r="J433" s="7"/>
    </row>
    <row r="434" spans="1:10">
      <c r="A434">
        <v>2030</v>
      </c>
      <c r="B434" s="3" t="s">
        <v>47</v>
      </c>
      <c r="C434" s="6" t="s">
        <v>69</v>
      </c>
      <c r="D434" s="6" t="s">
        <v>51</v>
      </c>
      <c r="E434" s="6" t="s">
        <v>46</v>
      </c>
      <c r="F434" s="12">
        <v>234.36</v>
      </c>
      <c r="G434" s="6">
        <v>739</v>
      </c>
      <c r="H434" s="12">
        <f>tbl_base_ni_ri[[#This Row],[ni_total]]+tbl_base_ni_ri[[#This Row],[ri_total]]</f>
        <v>973.36</v>
      </c>
      <c r="I434" s="6" t="str">
        <f t="shared" si="6"/>
        <v>OK</v>
      </c>
      <c r="J434" s="7"/>
    </row>
    <row r="435" spans="1:10">
      <c r="A435">
        <v>2031</v>
      </c>
      <c r="B435" s="3" t="s">
        <v>47</v>
      </c>
      <c r="C435" s="6" t="s">
        <v>69</v>
      </c>
      <c r="D435" s="6" t="s">
        <v>51</v>
      </c>
      <c r="E435" s="6" t="s">
        <v>46</v>
      </c>
      <c r="F435" s="12">
        <v>253.10880000000003</v>
      </c>
      <c r="G435" s="6">
        <v>890</v>
      </c>
      <c r="H435" s="12">
        <f>tbl_base_ni_ri[[#This Row],[ni_total]]+tbl_base_ni_ri[[#This Row],[ri_total]]</f>
        <v>1143.1088</v>
      </c>
      <c r="I435" s="6" t="str">
        <f t="shared" si="6"/>
        <v>OK</v>
      </c>
      <c r="J435" s="7"/>
    </row>
    <row r="436" spans="1:10">
      <c r="A436">
        <v>2032</v>
      </c>
      <c r="B436" s="3" t="s">
        <v>47</v>
      </c>
      <c r="C436" s="6" t="s">
        <v>69</v>
      </c>
      <c r="D436" s="6" t="s">
        <v>51</v>
      </c>
      <c r="E436" s="6" t="s">
        <v>46</v>
      </c>
      <c r="F436" s="12">
        <v>273.35750400000006</v>
      </c>
      <c r="G436" s="6">
        <v>997</v>
      </c>
      <c r="H436" s="12">
        <f>tbl_base_ni_ri[[#This Row],[ni_total]]+tbl_base_ni_ri[[#This Row],[ri_total]]</f>
        <v>1270.3575040000001</v>
      </c>
      <c r="I436" s="6" t="str">
        <f t="shared" si="6"/>
        <v>OK</v>
      </c>
      <c r="J436" s="7"/>
    </row>
    <row r="437" spans="1:10">
      <c r="A437">
        <v>2033</v>
      </c>
      <c r="B437" s="3" t="s">
        <v>47</v>
      </c>
      <c r="C437" s="6" t="s">
        <v>69</v>
      </c>
      <c r="D437" s="6" t="s">
        <v>51</v>
      </c>
      <c r="E437" s="6" t="s">
        <v>46</v>
      </c>
      <c r="F437" s="12">
        <v>295.2261043200001</v>
      </c>
      <c r="G437" s="6">
        <v>1145</v>
      </c>
      <c r="H437" s="12">
        <f>tbl_base_ni_ri[[#This Row],[ni_total]]+tbl_base_ni_ri[[#This Row],[ri_total]]</f>
        <v>1440.2261043200001</v>
      </c>
      <c r="I437" s="6" t="str">
        <f t="shared" si="6"/>
        <v>OK</v>
      </c>
      <c r="J437" s="7"/>
    </row>
    <row r="438" spans="1:10">
      <c r="A438">
        <v>2034</v>
      </c>
      <c r="B438" s="3" t="s">
        <v>47</v>
      </c>
      <c r="C438" s="6" t="s">
        <v>69</v>
      </c>
      <c r="D438" s="6" t="s">
        <v>51</v>
      </c>
      <c r="E438" s="6" t="s">
        <v>46</v>
      </c>
      <c r="F438" s="12">
        <v>330.65323683840018</v>
      </c>
      <c r="G438" s="6">
        <v>1267</v>
      </c>
      <c r="H438" s="12">
        <f>tbl_base_ni_ri[[#This Row],[ni_total]]+tbl_base_ni_ri[[#This Row],[ri_total]]</f>
        <v>1597.6532368384001</v>
      </c>
      <c r="I438" s="6" t="str">
        <f t="shared" si="6"/>
        <v>OK</v>
      </c>
      <c r="J438" s="7"/>
    </row>
    <row r="439" spans="1:10">
      <c r="A439">
        <v>2035</v>
      </c>
      <c r="B439" s="3" t="s">
        <v>47</v>
      </c>
      <c r="C439" s="6" t="s">
        <v>69</v>
      </c>
      <c r="D439" s="6" t="s">
        <v>51</v>
      </c>
      <c r="E439" s="6" t="s">
        <v>46</v>
      </c>
      <c r="F439" s="12">
        <v>370.33162525900821</v>
      </c>
      <c r="G439" s="6">
        <v>1378</v>
      </c>
      <c r="H439" s="12">
        <f>tbl_base_ni_ri[[#This Row],[ni_total]]+tbl_base_ni_ri[[#This Row],[ri_total]]</f>
        <v>1748.3316252590082</v>
      </c>
      <c r="I439" s="6" t="str">
        <f t="shared" si="6"/>
        <v>OK</v>
      </c>
      <c r="J439" s="7"/>
    </row>
    <row r="440" spans="1:10">
      <c r="A440">
        <v>2036</v>
      </c>
      <c r="B440" s="3" t="s">
        <v>47</v>
      </c>
      <c r="C440" s="6" t="s">
        <v>69</v>
      </c>
      <c r="D440" s="6" t="s">
        <v>51</v>
      </c>
      <c r="E440" s="6" t="s">
        <v>46</v>
      </c>
      <c r="F440" s="12">
        <v>414.77142029008922</v>
      </c>
      <c r="G440" s="6">
        <v>1494</v>
      </c>
      <c r="H440" s="12">
        <f>tbl_base_ni_ri[[#This Row],[ni_total]]+tbl_base_ni_ri[[#This Row],[ri_total]]</f>
        <v>1908.7714202900893</v>
      </c>
      <c r="I440" s="6" t="str">
        <f t="shared" si="6"/>
        <v>OK</v>
      </c>
      <c r="J440" s="7"/>
    </row>
    <row r="441" spans="1:10">
      <c r="A441">
        <v>2037</v>
      </c>
      <c r="B441" s="3" t="s">
        <v>47</v>
      </c>
      <c r="C441" s="6" t="s">
        <v>69</v>
      </c>
      <c r="D441" s="6" t="s">
        <v>51</v>
      </c>
      <c r="E441" s="6" t="s">
        <v>46</v>
      </c>
      <c r="F441" s="12">
        <v>454.79686234808287</v>
      </c>
      <c r="G441" s="6">
        <v>1603</v>
      </c>
      <c r="H441" s="12">
        <f>tbl_base_ni_ri[[#This Row],[ni_total]]+tbl_base_ni_ri[[#This Row],[ri_total]]</f>
        <v>2057.7968623480829</v>
      </c>
      <c r="I441" s="6" t="str">
        <f t="shared" si="6"/>
        <v>OK</v>
      </c>
      <c r="J441" s="7"/>
    </row>
    <row r="442" spans="1:10">
      <c r="A442">
        <v>2038</v>
      </c>
      <c r="B442" s="3" t="s">
        <v>47</v>
      </c>
      <c r="C442" s="6" t="s">
        <v>69</v>
      </c>
      <c r="D442" s="6" t="s">
        <v>51</v>
      </c>
      <c r="E442" s="6" t="s">
        <v>46</v>
      </c>
      <c r="F442" s="12">
        <v>498.6847595646729</v>
      </c>
      <c r="G442" s="6">
        <v>1778</v>
      </c>
      <c r="H442" s="12">
        <f>tbl_base_ni_ri[[#This Row],[ni_total]]+tbl_base_ni_ri[[#This Row],[ri_total]]</f>
        <v>2276.6847595646727</v>
      </c>
      <c r="I442" s="6" t="str">
        <f t="shared" si="6"/>
        <v>OK</v>
      </c>
      <c r="J442" s="7"/>
    </row>
    <row r="443" spans="1:10">
      <c r="A443">
        <v>2039</v>
      </c>
      <c r="B443" s="3" t="s">
        <v>47</v>
      </c>
      <c r="C443" s="6" t="s">
        <v>69</v>
      </c>
      <c r="D443" s="6" t="s">
        <v>51</v>
      </c>
      <c r="E443" s="6" t="s">
        <v>46</v>
      </c>
      <c r="F443" s="12">
        <v>546.80783886266386</v>
      </c>
      <c r="G443" s="6">
        <v>1904</v>
      </c>
      <c r="H443" s="12">
        <f>tbl_base_ni_ri[[#This Row],[ni_total]]+tbl_base_ni_ri[[#This Row],[ri_total]]</f>
        <v>2450.8078388626636</v>
      </c>
      <c r="I443" s="6" t="str">
        <f t="shared" si="6"/>
        <v>OK</v>
      </c>
      <c r="J443" s="7"/>
    </row>
    <row r="444" spans="1:10">
      <c r="A444">
        <v>2040</v>
      </c>
      <c r="B444" s="3" t="s">
        <v>47</v>
      </c>
      <c r="C444" s="6" t="s">
        <v>69</v>
      </c>
      <c r="D444" s="6" t="s">
        <v>51</v>
      </c>
      <c r="E444" s="6" t="s">
        <v>46</v>
      </c>
      <c r="F444" s="12">
        <v>599.57479531291096</v>
      </c>
      <c r="G444" s="6">
        <v>2040</v>
      </c>
      <c r="H444" s="12">
        <f>tbl_base_ni_ri[[#This Row],[ni_total]]+tbl_base_ni_ri[[#This Row],[ri_total]]</f>
        <v>2639.5747953129112</v>
      </c>
      <c r="I444" s="6" t="str">
        <f t="shared" si="6"/>
        <v>OK</v>
      </c>
      <c r="J444" s="7"/>
    </row>
    <row r="445" spans="1:10">
      <c r="A445">
        <v>2030</v>
      </c>
      <c r="B445" s="3" t="s">
        <v>47</v>
      </c>
      <c r="C445" s="6" t="s">
        <v>71</v>
      </c>
      <c r="D445" s="6" t="s">
        <v>51</v>
      </c>
      <c r="E445" s="6" t="s">
        <v>46</v>
      </c>
      <c r="F445" s="12">
        <v>107.10000000000001</v>
      </c>
      <c r="G445" s="6">
        <v>189</v>
      </c>
      <c r="H445" s="12">
        <f>tbl_base_ni_ri[[#This Row],[ni_total]]+tbl_base_ni_ri[[#This Row],[ri_total]]</f>
        <v>296.10000000000002</v>
      </c>
      <c r="I445" s="6" t="str">
        <f t="shared" si="6"/>
        <v>OK</v>
      </c>
      <c r="J445" s="7"/>
    </row>
    <row r="446" spans="1:10">
      <c r="A446">
        <v>2031</v>
      </c>
      <c r="B446" s="3" t="s">
        <v>47</v>
      </c>
      <c r="C446" s="6" t="s">
        <v>71</v>
      </c>
      <c r="D446" s="6" t="s">
        <v>51</v>
      </c>
      <c r="E446" s="6" t="s">
        <v>46</v>
      </c>
      <c r="F446" s="12">
        <v>109.242</v>
      </c>
      <c r="G446" s="6">
        <v>214</v>
      </c>
      <c r="H446" s="12">
        <f>tbl_base_ni_ri[[#This Row],[ni_total]]+tbl_base_ni_ri[[#This Row],[ri_total]]</f>
        <v>323.24200000000002</v>
      </c>
      <c r="I446" s="6" t="str">
        <f t="shared" si="6"/>
        <v>OK</v>
      </c>
      <c r="J446" s="7"/>
    </row>
    <row r="447" spans="1:10">
      <c r="A447">
        <v>2032</v>
      </c>
      <c r="B447" s="3" t="s">
        <v>47</v>
      </c>
      <c r="C447" s="6" t="s">
        <v>71</v>
      </c>
      <c r="D447" s="6" t="s">
        <v>51</v>
      </c>
      <c r="E447" s="6" t="s">
        <v>46</v>
      </c>
      <c r="F447" s="12">
        <v>111.42684000000001</v>
      </c>
      <c r="G447" s="6">
        <v>234</v>
      </c>
      <c r="H447" s="12">
        <f>tbl_base_ni_ri[[#This Row],[ni_total]]+tbl_base_ni_ri[[#This Row],[ri_total]]</f>
        <v>345.42684000000003</v>
      </c>
      <c r="I447" s="6" t="str">
        <f t="shared" si="6"/>
        <v>OK</v>
      </c>
      <c r="J447" s="7"/>
    </row>
    <row r="448" spans="1:10">
      <c r="A448">
        <v>2033</v>
      </c>
      <c r="B448" s="3" t="s">
        <v>47</v>
      </c>
      <c r="C448" s="6" t="s">
        <v>71</v>
      </c>
      <c r="D448" s="6" t="s">
        <v>51</v>
      </c>
      <c r="E448" s="6" t="s">
        <v>46</v>
      </c>
      <c r="F448" s="12">
        <v>113.65537680000001</v>
      </c>
      <c r="G448" s="6">
        <v>249</v>
      </c>
      <c r="H448" s="12">
        <f>tbl_base_ni_ri[[#This Row],[ni_total]]+tbl_base_ni_ri[[#This Row],[ri_total]]</f>
        <v>362.6553768</v>
      </c>
      <c r="I448" s="6" t="str">
        <f t="shared" si="6"/>
        <v>OK</v>
      </c>
      <c r="J448" s="7"/>
    </row>
    <row r="449" spans="1:10">
      <c r="A449">
        <v>2034</v>
      </c>
      <c r="B449" s="3" t="s">
        <v>47</v>
      </c>
      <c r="C449" s="6" t="s">
        <v>71</v>
      </c>
      <c r="D449" s="6" t="s">
        <v>51</v>
      </c>
      <c r="E449" s="6" t="s">
        <v>46</v>
      </c>
      <c r="F449" s="12">
        <v>115.92848433600001</v>
      </c>
      <c r="G449" s="6">
        <v>257</v>
      </c>
      <c r="H449" s="12">
        <f>tbl_base_ni_ri[[#This Row],[ni_total]]+tbl_base_ni_ri[[#This Row],[ri_total]]</f>
        <v>372.928484336</v>
      </c>
      <c r="I449" s="6" t="str">
        <f t="shared" si="6"/>
        <v>OK</v>
      </c>
      <c r="J449" s="7"/>
    </row>
    <row r="450" spans="1:10">
      <c r="A450">
        <v>2035</v>
      </c>
      <c r="B450" s="3" t="s">
        <v>47</v>
      </c>
      <c r="C450" s="6" t="s">
        <v>71</v>
      </c>
      <c r="D450" s="6" t="s">
        <v>51</v>
      </c>
      <c r="E450" s="6" t="s">
        <v>46</v>
      </c>
      <c r="F450" s="12">
        <v>118.24705402272001</v>
      </c>
      <c r="G450" s="6">
        <v>263</v>
      </c>
      <c r="H450" s="12">
        <f>tbl_base_ni_ri[[#This Row],[ni_total]]+tbl_base_ni_ri[[#This Row],[ri_total]]</f>
        <v>381.24705402272002</v>
      </c>
      <c r="I450" s="6" t="str">
        <f t="shared" si="6"/>
        <v>OK</v>
      </c>
      <c r="J450" s="7"/>
    </row>
    <row r="451" spans="1:10">
      <c r="A451">
        <v>2036</v>
      </c>
      <c r="B451" s="3" t="s">
        <v>47</v>
      </c>
      <c r="C451" s="6" t="s">
        <v>71</v>
      </c>
      <c r="D451" s="6" t="s">
        <v>51</v>
      </c>
      <c r="E451" s="6" t="s">
        <v>46</v>
      </c>
      <c r="F451" s="12">
        <v>120.61199510317441</v>
      </c>
      <c r="G451" s="6">
        <v>269</v>
      </c>
      <c r="H451" s="12">
        <f>tbl_base_ni_ri[[#This Row],[ni_total]]+tbl_base_ni_ri[[#This Row],[ri_total]]</f>
        <v>389.61199510317442</v>
      </c>
      <c r="I451" s="6" t="str">
        <f t="shared" si="6"/>
        <v>OK</v>
      </c>
      <c r="J451" s="7"/>
    </row>
    <row r="452" spans="1:10">
      <c r="A452">
        <v>2037</v>
      </c>
      <c r="B452" s="3" t="s">
        <v>47</v>
      </c>
      <c r="C452" s="6" t="s">
        <v>71</v>
      </c>
      <c r="D452" s="6" t="s">
        <v>51</v>
      </c>
      <c r="E452" s="6" t="s">
        <v>46</v>
      </c>
      <c r="F452" s="12">
        <v>122.78301101503155</v>
      </c>
      <c r="G452" s="6">
        <v>276</v>
      </c>
      <c r="H452" s="12">
        <f>tbl_base_ni_ri[[#This Row],[ni_total]]+tbl_base_ni_ri[[#This Row],[ri_total]]</f>
        <v>398.78301101503155</v>
      </c>
      <c r="I452" s="6" t="str">
        <f t="shared" si="6"/>
        <v>OK</v>
      </c>
      <c r="J452" s="7"/>
    </row>
    <row r="453" spans="1:10">
      <c r="A453">
        <v>2038</v>
      </c>
      <c r="B453" s="3" t="s">
        <v>47</v>
      </c>
      <c r="C453" s="6" t="s">
        <v>71</v>
      </c>
      <c r="D453" s="6" t="s">
        <v>51</v>
      </c>
      <c r="E453" s="6" t="s">
        <v>46</v>
      </c>
      <c r="F453" s="12">
        <v>124.99310521330212</v>
      </c>
      <c r="G453" s="6">
        <v>281</v>
      </c>
      <c r="H453" s="12">
        <f>tbl_base_ni_ri[[#This Row],[ni_total]]+tbl_base_ni_ri[[#This Row],[ri_total]]</f>
        <v>405.9931052133021</v>
      </c>
      <c r="I453" s="6" t="str">
        <f t="shared" ref="I453:I516" si="7">IF(OR(F453="",G453="",H453=""),"",IF(ABS(H453-F453-G453)&lt;0.01,"OK","Revisar MT"))</f>
        <v>OK</v>
      </c>
      <c r="J453" s="7"/>
    </row>
    <row r="454" spans="1:10">
      <c r="A454">
        <v>2039</v>
      </c>
      <c r="B454" s="3" t="s">
        <v>47</v>
      </c>
      <c r="C454" s="6" t="s">
        <v>71</v>
      </c>
      <c r="D454" s="6" t="s">
        <v>51</v>
      </c>
      <c r="E454" s="6" t="s">
        <v>46</v>
      </c>
      <c r="F454" s="12">
        <v>127.24298110714156</v>
      </c>
      <c r="G454" s="6">
        <v>285</v>
      </c>
      <c r="H454" s="12">
        <f>tbl_base_ni_ri[[#This Row],[ni_total]]+tbl_base_ni_ri[[#This Row],[ri_total]]</f>
        <v>412.24298110714153</v>
      </c>
      <c r="I454" s="6" t="str">
        <f t="shared" si="7"/>
        <v>OK</v>
      </c>
      <c r="J454" s="7"/>
    </row>
    <row r="455" spans="1:10">
      <c r="A455">
        <v>2040</v>
      </c>
      <c r="B455" s="3" t="s">
        <v>47</v>
      </c>
      <c r="C455" s="6" t="s">
        <v>71</v>
      </c>
      <c r="D455" s="6" t="s">
        <v>51</v>
      </c>
      <c r="E455" s="6" t="s">
        <v>46</v>
      </c>
      <c r="F455" s="12">
        <v>129.53335476707011</v>
      </c>
      <c r="G455" s="6">
        <v>429</v>
      </c>
      <c r="H455" s="12">
        <f>tbl_base_ni_ri[[#This Row],[ni_total]]+tbl_base_ni_ri[[#This Row],[ri_total]]</f>
        <v>558.53335476707014</v>
      </c>
      <c r="I455" s="6" t="str">
        <f t="shared" si="7"/>
        <v>OK</v>
      </c>
      <c r="J455" s="7"/>
    </row>
    <row r="456" spans="1:10">
      <c r="A456">
        <v>2030</v>
      </c>
      <c r="B456" s="3" t="s">
        <v>47</v>
      </c>
      <c r="C456" s="6" t="s">
        <v>73</v>
      </c>
      <c r="D456" s="6" t="s">
        <v>51</v>
      </c>
      <c r="E456" s="6" t="s">
        <v>46</v>
      </c>
      <c r="F456" s="12">
        <v>298.48</v>
      </c>
      <c r="G456" s="6">
        <v>995</v>
      </c>
      <c r="H456" s="12">
        <f>tbl_base_ni_ri[[#This Row],[ni_total]]+tbl_base_ni_ri[[#This Row],[ri_total]]</f>
        <v>1293.48</v>
      </c>
      <c r="I456" s="6" t="str">
        <f t="shared" si="7"/>
        <v>OK</v>
      </c>
      <c r="J456" s="7"/>
    </row>
    <row r="457" spans="1:10">
      <c r="A457">
        <v>2031</v>
      </c>
      <c r="B457" s="3" t="s">
        <v>47</v>
      </c>
      <c r="C457" s="6" t="s">
        <v>73</v>
      </c>
      <c r="D457" s="6" t="s">
        <v>51</v>
      </c>
      <c r="E457" s="6" t="s">
        <v>46</v>
      </c>
      <c r="F457" s="12">
        <v>328.32800000000003</v>
      </c>
      <c r="G457" s="6">
        <v>1056</v>
      </c>
      <c r="H457" s="12">
        <f>tbl_base_ni_ri[[#This Row],[ni_total]]+tbl_base_ni_ri[[#This Row],[ri_total]]</f>
        <v>1384.328</v>
      </c>
      <c r="I457" s="6" t="str">
        <f t="shared" si="7"/>
        <v>OK</v>
      </c>
      <c r="J457" s="7"/>
    </row>
    <row r="458" spans="1:10">
      <c r="A458">
        <v>2032</v>
      </c>
      <c r="B458" s="3" t="s">
        <v>47</v>
      </c>
      <c r="C458" s="6" t="s">
        <v>73</v>
      </c>
      <c r="D458" s="6" t="s">
        <v>51</v>
      </c>
      <c r="E458" s="6" t="s">
        <v>46</v>
      </c>
      <c r="F458" s="12">
        <v>361.16080000000005</v>
      </c>
      <c r="G458" s="6">
        <v>1097</v>
      </c>
      <c r="H458" s="12">
        <f>tbl_base_ni_ri[[#This Row],[ni_total]]+tbl_base_ni_ri[[#This Row],[ri_total]]</f>
        <v>1458.1608000000001</v>
      </c>
      <c r="I458" s="6" t="str">
        <f t="shared" si="7"/>
        <v>OK</v>
      </c>
      <c r="J458" s="7"/>
    </row>
    <row r="459" spans="1:10">
      <c r="A459">
        <v>2033</v>
      </c>
      <c r="B459" s="3" t="s">
        <v>47</v>
      </c>
      <c r="C459" s="6" t="s">
        <v>73</v>
      </c>
      <c r="D459" s="6" t="s">
        <v>51</v>
      </c>
      <c r="E459" s="6" t="s">
        <v>46</v>
      </c>
      <c r="F459" s="12">
        <v>397.27688000000006</v>
      </c>
      <c r="G459" s="6">
        <v>1132</v>
      </c>
      <c r="H459" s="12">
        <f>tbl_base_ni_ri[[#This Row],[ni_total]]+tbl_base_ni_ri[[#This Row],[ri_total]]</f>
        <v>1529.2768800000001</v>
      </c>
      <c r="I459" s="6" t="str">
        <f t="shared" si="7"/>
        <v>OK</v>
      </c>
      <c r="J459" s="7"/>
    </row>
    <row r="460" spans="1:10">
      <c r="A460">
        <v>2034</v>
      </c>
      <c r="B460" s="3" t="s">
        <v>47</v>
      </c>
      <c r="C460" s="6" t="s">
        <v>73</v>
      </c>
      <c r="D460" s="6" t="s">
        <v>51</v>
      </c>
      <c r="E460" s="6" t="s">
        <v>46</v>
      </c>
      <c r="F460" s="12">
        <v>429.0590304000001</v>
      </c>
      <c r="G460" s="6">
        <v>1167</v>
      </c>
      <c r="H460" s="12">
        <f>tbl_base_ni_ri[[#This Row],[ni_total]]+tbl_base_ni_ri[[#This Row],[ri_total]]</f>
        <v>1596.0590304000002</v>
      </c>
      <c r="I460" s="6" t="str">
        <f t="shared" si="7"/>
        <v>OK</v>
      </c>
      <c r="J460" s="7"/>
    </row>
    <row r="461" spans="1:10">
      <c r="A461">
        <v>2035</v>
      </c>
      <c r="B461" s="3" t="s">
        <v>47</v>
      </c>
      <c r="C461" s="6" t="s">
        <v>73</v>
      </c>
      <c r="D461" s="6" t="s">
        <v>51</v>
      </c>
      <c r="E461" s="6" t="s">
        <v>46</v>
      </c>
      <c r="F461" s="12">
        <v>463.38375283200014</v>
      </c>
      <c r="G461" s="6">
        <v>1196</v>
      </c>
      <c r="H461" s="12">
        <f>tbl_base_ni_ri[[#This Row],[ni_total]]+tbl_base_ni_ri[[#This Row],[ri_total]]</f>
        <v>1659.383752832</v>
      </c>
      <c r="I461" s="6" t="str">
        <f t="shared" si="7"/>
        <v>OK</v>
      </c>
      <c r="J461" s="7"/>
    </row>
    <row r="462" spans="1:10">
      <c r="A462">
        <v>2036</v>
      </c>
      <c r="B462" s="3" t="s">
        <v>47</v>
      </c>
      <c r="C462" s="6" t="s">
        <v>73</v>
      </c>
      <c r="D462" s="6" t="s">
        <v>51</v>
      </c>
      <c r="E462" s="6" t="s">
        <v>46</v>
      </c>
      <c r="F462" s="12">
        <v>500.4544530585602</v>
      </c>
      <c r="G462" s="6">
        <v>1245</v>
      </c>
      <c r="H462" s="12">
        <f>tbl_base_ni_ri[[#This Row],[ni_total]]+tbl_base_ni_ri[[#This Row],[ri_total]]</f>
        <v>1745.4544530585601</v>
      </c>
      <c r="I462" s="6" t="str">
        <f t="shared" si="7"/>
        <v>OK</v>
      </c>
      <c r="J462" s="7"/>
    </row>
    <row r="463" spans="1:10">
      <c r="A463">
        <v>2037</v>
      </c>
      <c r="B463" s="3" t="s">
        <v>47</v>
      </c>
      <c r="C463" s="6" t="s">
        <v>73</v>
      </c>
      <c r="D463" s="6" t="s">
        <v>51</v>
      </c>
      <c r="E463" s="6" t="s">
        <v>46</v>
      </c>
      <c r="F463" s="12">
        <v>530.48172024207383</v>
      </c>
      <c r="G463" s="6">
        <v>1268</v>
      </c>
      <c r="H463" s="12">
        <f>tbl_base_ni_ri[[#This Row],[ni_total]]+tbl_base_ni_ri[[#This Row],[ri_total]]</f>
        <v>1798.4817202420738</v>
      </c>
      <c r="I463" s="6" t="str">
        <f t="shared" si="7"/>
        <v>OK</v>
      </c>
      <c r="J463" s="7"/>
    </row>
    <row r="464" spans="1:10">
      <c r="A464">
        <v>2038</v>
      </c>
      <c r="B464" s="3" t="s">
        <v>47</v>
      </c>
      <c r="C464" s="6" t="s">
        <v>73</v>
      </c>
      <c r="D464" s="6" t="s">
        <v>51</v>
      </c>
      <c r="E464" s="6" t="s">
        <v>46</v>
      </c>
      <c r="F464" s="12">
        <v>562.31062345659825</v>
      </c>
      <c r="G464" s="6">
        <v>1305</v>
      </c>
      <c r="H464" s="12">
        <f>tbl_base_ni_ri[[#This Row],[ni_total]]+tbl_base_ni_ri[[#This Row],[ri_total]]</f>
        <v>1867.3106234565983</v>
      </c>
      <c r="I464" s="6" t="str">
        <f t="shared" si="7"/>
        <v>OK</v>
      </c>
      <c r="J464" s="7"/>
    </row>
    <row r="465" spans="1:10">
      <c r="A465">
        <v>2039</v>
      </c>
      <c r="B465" s="3" t="s">
        <v>47</v>
      </c>
      <c r="C465" s="6" t="s">
        <v>73</v>
      </c>
      <c r="D465" s="6" t="s">
        <v>51</v>
      </c>
      <c r="E465" s="6" t="s">
        <v>46</v>
      </c>
      <c r="F465" s="12">
        <v>596.04926086399416</v>
      </c>
      <c r="G465" s="6">
        <v>1356</v>
      </c>
      <c r="H465" s="12">
        <f>tbl_base_ni_ri[[#This Row],[ni_total]]+tbl_base_ni_ri[[#This Row],[ri_total]]</f>
        <v>1952.0492608639943</v>
      </c>
      <c r="I465" s="6" t="str">
        <f t="shared" si="7"/>
        <v>OK</v>
      </c>
      <c r="J465" s="7"/>
    </row>
    <row r="466" spans="1:10">
      <c r="A466">
        <v>2040</v>
      </c>
      <c r="B466" s="3" t="s">
        <v>47</v>
      </c>
      <c r="C466" s="6" t="s">
        <v>73</v>
      </c>
      <c r="D466" s="6" t="s">
        <v>51</v>
      </c>
      <c r="E466" s="6" t="s">
        <v>46</v>
      </c>
      <c r="F466" s="12">
        <v>631.81221651583382</v>
      </c>
      <c r="G466" s="6">
        <v>1415</v>
      </c>
      <c r="H466" s="12">
        <f>tbl_base_ni_ri[[#This Row],[ni_total]]+tbl_base_ni_ri[[#This Row],[ri_total]]</f>
        <v>2046.8122165158338</v>
      </c>
      <c r="I466" s="6" t="str">
        <f t="shared" si="7"/>
        <v>OK</v>
      </c>
      <c r="J466" s="7"/>
    </row>
    <row r="467" spans="1:10">
      <c r="A467">
        <v>2030</v>
      </c>
      <c r="B467" s="3" t="s">
        <v>47</v>
      </c>
      <c r="C467" s="6" t="s">
        <v>74</v>
      </c>
      <c r="D467" s="6" t="s">
        <v>51</v>
      </c>
      <c r="E467" s="6" t="s">
        <v>46</v>
      </c>
      <c r="F467" s="12">
        <v>127.05000000000001</v>
      </c>
      <c r="G467" s="6">
        <v>466</v>
      </c>
      <c r="H467" s="12">
        <f>tbl_base_ni_ri[[#This Row],[ni_total]]+tbl_base_ni_ri[[#This Row],[ri_total]]</f>
        <v>593.04999999999995</v>
      </c>
      <c r="I467" s="6" t="str">
        <f t="shared" si="7"/>
        <v>OK</v>
      </c>
      <c r="J467" s="7"/>
    </row>
    <row r="468" spans="1:10">
      <c r="A468">
        <v>2031</v>
      </c>
      <c r="B468" s="3" t="s">
        <v>47</v>
      </c>
      <c r="C468" s="6" t="s">
        <v>74</v>
      </c>
      <c r="D468" s="6" t="s">
        <v>51</v>
      </c>
      <c r="E468" s="6" t="s">
        <v>46</v>
      </c>
      <c r="F468" s="12">
        <v>133.4025</v>
      </c>
      <c r="G468" s="6">
        <v>475</v>
      </c>
      <c r="H468" s="12">
        <f>tbl_base_ni_ri[[#This Row],[ni_total]]+tbl_base_ni_ri[[#This Row],[ri_total]]</f>
        <v>608.40250000000003</v>
      </c>
      <c r="I468" s="6" t="str">
        <f t="shared" si="7"/>
        <v>OK</v>
      </c>
      <c r="J468" s="7"/>
    </row>
    <row r="469" spans="1:10">
      <c r="A469">
        <v>2032</v>
      </c>
      <c r="B469" s="3" t="s">
        <v>47</v>
      </c>
      <c r="C469" s="6" t="s">
        <v>74</v>
      </c>
      <c r="D469" s="6" t="s">
        <v>51</v>
      </c>
      <c r="E469" s="6" t="s">
        <v>46</v>
      </c>
      <c r="F469" s="12">
        <v>140.07262500000002</v>
      </c>
      <c r="G469" s="6">
        <v>489</v>
      </c>
      <c r="H469" s="12">
        <f>tbl_base_ni_ri[[#This Row],[ni_total]]+tbl_base_ni_ri[[#This Row],[ri_total]]</f>
        <v>629.07262500000002</v>
      </c>
      <c r="I469" s="6" t="str">
        <f t="shared" si="7"/>
        <v>OK</v>
      </c>
      <c r="J469" s="7"/>
    </row>
    <row r="470" spans="1:10">
      <c r="A470">
        <v>2033</v>
      </c>
      <c r="B470" s="3" t="s">
        <v>47</v>
      </c>
      <c r="C470" s="6" t="s">
        <v>74</v>
      </c>
      <c r="D470" s="6" t="s">
        <v>51</v>
      </c>
      <c r="E470" s="6" t="s">
        <v>46</v>
      </c>
      <c r="F470" s="12">
        <v>147.07625625000003</v>
      </c>
      <c r="G470" s="6">
        <v>499</v>
      </c>
      <c r="H470" s="12">
        <f>tbl_base_ni_ri[[#This Row],[ni_total]]+tbl_base_ni_ri[[#This Row],[ri_total]]</f>
        <v>646.07625625000003</v>
      </c>
      <c r="I470" s="6" t="str">
        <f t="shared" si="7"/>
        <v>OK</v>
      </c>
      <c r="J470" s="7"/>
    </row>
    <row r="471" spans="1:10">
      <c r="A471">
        <v>2034</v>
      </c>
      <c r="B471" s="3" t="s">
        <v>47</v>
      </c>
      <c r="C471" s="6" t="s">
        <v>74</v>
      </c>
      <c r="D471" s="6" t="s">
        <v>51</v>
      </c>
      <c r="E471" s="6" t="s">
        <v>46</v>
      </c>
      <c r="F471" s="12">
        <v>151.48854393750003</v>
      </c>
      <c r="G471" s="6">
        <v>509</v>
      </c>
      <c r="H471" s="12">
        <f>tbl_base_ni_ri[[#This Row],[ni_total]]+tbl_base_ni_ri[[#This Row],[ri_total]]</f>
        <v>660.48854393750003</v>
      </c>
      <c r="I471" s="6" t="str">
        <f t="shared" si="7"/>
        <v>OK</v>
      </c>
      <c r="J471" s="7"/>
    </row>
    <row r="472" spans="1:10">
      <c r="A472">
        <v>2035</v>
      </c>
      <c r="B472" s="3" t="s">
        <v>47</v>
      </c>
      <c r="C472" s="6" t="s">
        <v>74</v>
      </c>
      <c r="D472" s="6" t="s">
        <v>51</v>
      </c>
      <c r="E472" s="6" t="s">
        <v>46</v>
      </c>
      <c r="F472" s="12">
        <v>156.03320025562502</v>
      </c>
      <c r="G472" s="6">
        <v>521</v>
      </c>
      <c r="H472" s="12">
        <f>tbl_base_ni_ri[[#This Row],[ni_total]]+tbl_base_ni_ri[[#This Row],[ri_total]]</f>
        <v>677.03320025562505</v>
      </c>
      <c r="I472" s="6" t="str">
        <f t="shared" si="7"/>
        <v>OK</v>
      </c>
      <c r="J472" s="7"/>
    </row>
    <row r="473" spans="1:10">
      <c r="A473">
        <v>2036</v>
      </c>
      <c r="B473" s="3" t="s">
        <v>47</v>
      </c>
      <c r="C473" s="6" t="s">
        <v>74</v>
      </c>
      <c r="D473" s="6" t="s">
        <v>51</v>
      </c>
      <c r="E473" s="6" t="s">
        <v>46</v>
      </c>
      <c r="F473" s="12">
        <v>160.71419626329379</v>
      </c>
      <c r="G473" s="6">
        <v>535</v>
      </c>
      <c r="H473" s="12">
        <f>tbl_base_ni_ri[[#This Row],[ni_total]]+tbl_base_ni_ri[[#This Row],[ri_total]]</f>
        <v>695.71419626329384</v>
      </c>
      <c r="I473" s="6" t="str">
        <f t="shared" si="7"/>
        <v>OK</v>
      </c>
      <c r="J473" s="7"/>
    </row>
    <row r="474" spans="1:10">
      <c r="A474">
        <v>2037</v>
      </c>
      <c r="B474" s="3" t="s">
        <v>47</v>
      </c>
      <c r="C474" s="6" t="s">
        <v>74</v>
      </c>
      <c r="D474" s="6" t="s">
        <v>51</v>
      </c>
      <c r="E474" s="6" t="s">
        <v>46</v>
      </c>
      <c r="F474" s="12">
        <v>162.96419501097989</v>
      </c>
      <c r="G474" s="6">
        <v>544</v>
      </c>
      <c r="H474" s="12">
        <f>tbl_base_ni_ri[[#This Row],[ni_total]]+tbl_base_ni_ri[[#This Row],[ri_total]]</f>
        <v>706.96419501097989</v>
      </c>
      <c r="I474" s="6" t="str">
        <f t="shared" si="7"/>
        <v>OK</v>
      </c>
      <c r="J474" s="7"/>
    </row>
    <row r="475" spans="1:10">
      <c r="A475">
        <v>2038</v>
      </c>
      <c r="B475" s="3" t="s">
        <v>47</v>
      </c>
      <c r="C475" s="6" t="s">
        <v>74</v>
      </c>
      <c r="D475" s="6" t="s">
        <v>51</v>
      </c>
      <c r="E475" s="6" t="s">
        <v>46</v>
      </c>
      <c r="F475" s="12">
        <v>165.24569374113361</v>
      </c>
      <c r="G475" s="6">
        <v>559</v>
      </c>
      <c r="H475" s="12">
        <f>tbl_base_ni_ri[[#This Row],[ni_total]]+tbl_base_ni_ri[[#This Row],[ri_total]]</f>
        <v>724.24569374113366</v>
      </c>
      <c r="I475" s="6" t="str">
        <f t="shared" si="7"/>
        <v>OK</v>
      </c>
      <c r="J475" s="7"/>
    </row>
    <row r="476" spans="1:10">
      <c r="A476">
        <v>2039</v>
      </c>
      <c r="B476" s="3" t="s">
        <v>47</v>
      </c>
      <c r="C476" s="6" t="s">
        <v>74</v>
      </c>
      <c r="D476" s="6" t="s">
        <v>51</v>
      </c>
      <c r="E476" s="6" t="s">
        <v>46</v>
      </c>
      <c r="F476" s="12">
        <v>167.55913345350947</v>
      </c>
      <c r="G476" s="6">
        <v>569</v>
      </c>
      <c r="H476" s="12">
        <f>tbl_base_ni_ri[[#This Row],[ni_total]]+tbl_base_ni_ri[[#This Row],[ri_total]]</f>
        <v>736.5591334535095</v>
      </c>
      <c r="I476" s="6" t="str">
        <f t="shared" si="7"/>
        <v>OK</v>
      </c>
      <c r="J476" s="7"/>
    </row>
    <row r="477" spans="1:10">
      <c r="A477">
        <v>2040</v>
      </c>
      <c r="B477" s="3" t="s">
        <v>47</v>
      </c>
      <c r="C477" s="6" t="s">
        <v>74</v>
      </c>
      <c r="D477" s="6" t="s">
        <v>51</v>
      </c>
      <c r="E477" s="6" t="s">
        <v>46</v>
      </c>
      <c r="F477" s="12">
        <v>169.90496132185862</v>
      </c>
      <c r="G477" s="6">
        <v>581</v>
      </c>
      <c r="H477" s="12">
        <f>tbl_base_ni_ri[[#This Row],[ni_total]]+tbl_base_ni_ri[[#This Row],[ri_total]]</f>
        <v>750.90496132185865</v>
      </c>
      <c r="I477" s="6" t="str">
        <f t="shared" si="7"/>
        <v>OK</v>
      </c>
      <c r="J477" s="7"/>
    </row>
    <row r="478" spans="1:10">
      <c r="A478">
        <v>2030</v>
      </c>
      <c r="B478" s="3" t="s">
        <v>47</v>
      </c>
      <c r="C478" s="6" t="s">
        <v>75</v>
      </c>
      <c r="D478" s="6" t="s">
        <v>51</v>
      </c>
      <c r="E478" s="6" t="s">
        <v>46</v>
      </c>
      <c r="F478" s="12">
        <v>240.91200000000001</v>
      </c>
      <c r="G478" s="6">
        <v>789</v>
      </c>
      <c r="H478" s="12">
        <f>tbl_base_ni_ri[[#This Row],[ni_total]]+tbl_base_ni_ri[[#This Row],[ri_total]]</f>
        <v>1029.912</v>
      </c>
      <c r="I478" s="6" t="str">
        <f t="shared" si="7"/>
        <v>OK</v>
      </c>
      <c r="J478" s="7"/>
    </row>
    <row r="479" spans="1:10">
      <c r="A479">
        <v>2031</v>
      </c>
      <c r="B479" s="3" t="s">
        <v>47</v>
      </c>
      <c r="C479" s="6" t="s">
        <v>75</v>
      </c>
      <c r="D479" s="6" t="s">
        <v>51</v>
      </c>
      <c r="E479" s="6" t="s">
        <v>46</v>
      </c>
      <c r="F479" s="12">
        <v>242.83929600000002</v>
      </c>
      <c r="G479" s="6">
        <v>789</v>
      </c>
      <c r="H479" s="12">
        <f>tbl_base_ni_ri[[#This Row],[ni_total]]+tbl_base_ni_ri[[#This Row],[ri_total]]</f>
        <v>1031.8392960000001</v>
      </c>
      <c r="I479" s="6" t="str">
        <f t="shared" si="7"/>
        <v>OK</v>
      </c>
      <c r="J479" s="7"/>
    </row>
    <row r="480" spans="1:10">
      <c r="A480">
        <v>2032</v>
      </c>
      <c r="B480" s="3" t="s">
        <v>47</v>
      </c>
      <c r="C480" s="6" t="s">
        <v>75</v>
      </c>
      <c r="D480" s="6" t="s">
        <v>51</v>
      </c>
      <c r="E480" s="6" t="s">
        <v>46</v>
      </c>
      <c r="F480" s="12">
        <v>244.78201036800002</v>
      </c>
      <c r="G480" s="6">
        <v>789</v>
      </c>
      <c r="H480" s="12">
        <f>tbl_base_ni_ri[[#This Row],[ni_total]]+tbl_base_ni_ri[[#This Row],[ri_total]]</f>
        <v>1033.7820103680001</v>
      </c>
      <c r="I480" s="6" t="str">
        <f t="shared" si="7"/>
        <v>OK</v>
      </c>
      <c r="J480" s="7"/>
    </row>
    <row r="481" spans="1:10">
      <c r="A481">
        <v>2033</v>
      </c>
      <c r="B481" s="3" t="s">
        <v>47</v>
      </c>
      <c r="C481" s="6" t="s">
        <v>75</v>
      </c>
      <c r="D481" s="6" t="s">
        <v>51</v>
      </c>
      <c r="E481" s="6" t="s">
        <v>46</v>
      </c>
      <c r="F481" s="12">
        <v>246.74026645094401</v>
      </c>
      <c r="G481" s="6">
        <v>789</v>
      </c>
      <c r="H481" s="12">
        <f>tbl_base_ni_ri[[#This Row],[ni_total]]+tbl_base_ni_ri[[#This Row],[ri_total]]</f>
        <v>1035.7402664509441</v>
      </c>
      <c r="I481" s="6" t="str">
        <f t="shared" si="7"/>
        <v>OK</v>
      </c>
      <c r="J481" s="7"/>
    </row>
    <row r="482" spans="1:10">
      <c r="A482">
        <v>2034</v>
      </c>
      <c r="B482" s="3" t="s">
        <v>47</v>
      </c>
      <c r="C482" s="6" t="s">
        <v>75</v>
      </c>
      <c r="D482" s="6" t="s">
        <v>51</v>
      </c>
      <c r="E482" s="6" t="s">
        <v>46</v>
      </c>
      <c r="F482" s="12">
        <v>247.48048725029682</v>
      </c>
      <c r="G482" s="6">
        <v>790</v>
      </c>
      <c r="H482" s="12">
        <f>tbl_base_ni_ri[[#This Row],[ni_total]]+tbl_base_ni_ri[[#This Row],[ri_total]]</f>
        <v>1037.4804872502968</v>
      </c>
      <c r="I482" s="6" t="str">
        <f t="shared" si="7"/>
        <v>OK</v>
      </c>
      <c r="J482" s="7"/>
    </row>
    <row r="483" spans="1:10">
      <c r="A483">
        <v>2035</v>
      </c>
      <c r="B483" s="3" t="s">
        <v>47</v>
      </c>
      <c r="C483" s="6" t="s">
        <v>75</v>
      </c>
      <c r="D483" s="6" t="s">
        <v>51</v>
      </c>
      <c r="E483" s="6" t="s">
        <v>46</v>
      </c>
      <c r="F483" s="12">
        <v>248.22292871204769</v>
      </c>
      <c r="G483" s="6">
        <v>793</v>
      </c>
      <c r="H483" s="12">
        <f>tbl_base_ni_ri[[#This Row],[ni_total]]+tbl_base_ni_ri[[#This Row],[ri_total]]</f>
        <v>1041.2229287120476</v>
      </c>
      <c r="I483" s="6" t="str">
        <f t="shared" si="7"/>
        <v>OK</v>
      </c>
      <c r="J483" s="7"/>
    </row>
    <row r="484" spans="1:10">
      <c r="A484">
        <v>2036</v>
      </c>
      <c r="B484" s="3" t="s">
        <v>47</v>
      </c>
      <c r="C484" s="6" t="s">
        <v>75</v>
      </c>
      <c r="D484" s="6" t="s">
        <v>51</v>
      </c>
      <c r="E484" s="6" t="s">
        <v>46</v>
      </c>
      <c r="F484" s="12">
        <v>248.96759749818381</v>
      </c>
      <c r="G484" s="6">
        <v>799</v>
      </c>
      <c r="H484" s="12">
        <f>tbl_base_ni_ri[[#This Row],[ni_total]]+tbl_base_ni_ri[[#This Row],[ri_total]]</f>
        <v>1047.9675974981837</v>
      </c>
      <c r="I484" s="6" t="str">
        <f t="shared" si="7"/>
        <v>OK</v>
      </c>
      <c r="J484" s="7"/>
    </row>
    <row r="485" spans="1:10">
      <c r="A485">
        <v>2037</v>
      </c>
      <c r="B485" s="3" t="s">
        <v>47</v>
      </c>
      <c r="C485" s="6" t="s">
        <v>75</v>
      </c>
      <c r="D485" s="6" t="s">
        <v>51</v>
      </c>
      <c r="E485" s="6" t="s">
        <v>46</v>
      </c>
      <c r="F485" s="12">
        <v>249.21656509568197</v>
      </c>
      <c r="G485" s="6">
        <v>808</v>
      </c>
      <c r="H485" s="12">
        <f>tbl_base_ni_ri[[#This Row],[ni_total]]+tbl_base_ni_ri[[#This Row],[ri_total]]</f>
        <v>1057.216565095682</v>
      </c>
      <c r="I485" s="6" t="str">
        <f t="shared" si="7"/>
        <v>OK</v>
      </c>
      <c r="J485" s="7"/>
    </row>
    <row r="486" spans="1:10">
      <c r="A486">
        <v>2038</v>
      </c>
      <c r="B486" s="3" t="s">
        <v>47</v>
      </c>
      <c r="C486" s="6" t="s">
        <v>75</v>
      </c>
      <c r="D486" s="6" t="s">
        <v>51</v>
      </c>
      <c r="E486" s="6" t="s">
        <v>46</v>
      </c>
      <c r="F486" s="12">
        <v>249.46578166077762</v>
      </c>
      <c r="G486" s="6">
        <v>815</v>
      </c>
      <c r="H486" s="12">
        <f>tbl_base_ni_ri[[#This Row],[ni_total]]+tbl_base_ni_ri[[#This Row],[ri_total]]</f>
        <v>1064.4657816607776</v>
      </c>
      <c r="I486" s="6" t="str">
        <f t="shared" si="7"/>
        <v>OK</v>
      </c>
      <c r="J486" s="7"/>
    </row>
    <row r="487" spans="1:10">
      <c r="A487">
        <v>2039</v>
      </c>
      <c r="B487" s="3" t="s">
        <v>47</v>
      </c>
      <c r="C487" s="6" t="s">
        <v>75</v>
      </c>
      <c r="D487" s="6" t="s">
        <v>51</v>
      </c>
      <c r="E487" s="6" t="s">
        <v>46</v>
      </c>
      <c r="F487" s="12">
        <v>249.71524744243837</v>
      </c>
      <c r="G487" s="6">
        <v>820</v>
      </c>
      <c r="H487" s="12">
        <f>tbl_base_ni_ri[[#This Row],[ni_total]]+tbl_base_ni_ri[[#This Row],[ri_total]]</f>
        <v>1069.7152474424383</v>
      </c>
      <c r="I487" s="6" t="str">
        <f t="shared" si="7"/>
        <v>OK</v>
      </c>
      <c r="J487" s="7"/>
    </row>
    <row r="488" spans="1:10">
      <c r="A488">
        <v>2040</v>
      </c>
      <c r="B488" s="3" t="s">
        <v>47</v>
      </c>
      <c r="C488" s="6" t="s">
        <v>75</v>
      </c>
      <c r="D488" s="6" t="s">
        <v>51</v>
      </c>
      <c r="E488" s="6" t="s">
        <v>46</v>
      </c>
      <c r="F488" s="12">
        <v>249.96496268988079</v>
      </c>
      <c r="G488" s="6">
        <v>825</v>
      </c>
      <c r="H488" s="12">
        <f>tbl_base_ni_ri[[#This Row],[ni_total]]+tbl_base_ni_ri[[#This Row],[ri_total]]</f>
        <v>1074.9649626898808</v>
      </c>
      <c r="I488" s="6" t="str">
        <f t="shared" si="7"/>
        <v>OK</v>
      </c>
      <c r="J488" s="7"/>
    </row>
    <row r="489" spans="1:10">
      <c r="A489">
        <v>2030</v>
      </c>
      <c r="B489" s="3" t="s">
        <v>47</v>
      </c>
      <c r="C489" s="6" t="s">
        <v>76</v>
      </c>
      <c r="D489" s="6" t="s">
        <v>51</v>
      </c>
      <c r="E489" s="6" t="s">
        <v>46</v>
      </c>
      <c r="F489" s="12">
        <v>139.1</v>
      </c>
      <c r="G489" s="6">
        <v>274</v>
      </c>
      <c r="H489" s="12">
        <f>tbl_base_ni_ri[[#This Row],[ni_total]]+tbl_base_ni_ri[[#This Row],[ri_total]]</f>
        <v>413.1</v>
      </c>
      <c r="I489" s="6" t="str">
        <f t="shared" si="7"/>
        <v>OK</v>
      </c>
      <c r="J489" s="7"/>
    </row>
    <row r="490" spans="1:10">
      <c r="A490">
        <v>2031</v>
      </c>
      <c r="B490" s="3" t="s">
        <v>47</v>
      </c>
      <c r="C490" s="6" t="s">
        <v>76</v>
      </c>
      <c r="D490" s="6" t="s">
        <v>51</v>
      </c>
      <c r="E490" s="6" t="s">
        <v>46</v>
      </c>
      <c r="F490" s="12">
        <v>148.83699999999999</v>
      </c>
      <c r="G490" s="6">
        <v>403</v>
      </c>
      <c r="H490" s="12">
        <f>tbl_base_ni_ri[[#This Row],[ni_total]]+tbl_base_ni_ri[[#This Row],[ri_total]]</f>
        <v>551.83699999999999</v>
      </c>
      <c r="I490" s="6" t="str">
        <f t="shared" si="7"/>
        <v>OK</v>
      </c>
      <c r="J490" s="7"/>
    </row>
    <row r="491" spans="1:10">
      <c r="A491">
        <v>2032</v>
      </c>
      <c r="B491" s="3" t="s">
        <v>47</v>
      </c>
      <c r="C491" s="6" t="s">
        <v>76</v>
      </c>
      <c r="D491" s="6" t="s">
        <v>51</v>
      </c>
      <c r="E491" s="6" t="s">
        <v>46</v>
      </c>
      <c r="F491" s="12">
        <v>159.25558999999998</v>
      </c>
      <c r="G491" s="6">
        <v>505</v>
      </c>
      <c r="H491" s="12">
        <f>tbl_base_ni_ri[[#This Row],[ni_total]]+tbl_base_ni_ri[[#This Row],[ri_total]]</f>
        <v>664.25558999999998</v>
      </c>
      <c r="I491" s="6" t="str">
        <f t="shared" si="7"/>
        <v>OK</v>
      </c>
      <c r="J491" s="7"/>
    </row>
    <row r="492" spans="1:10">
      <c r="A492">
        <v>2033</v>
      </c>
      <c r="B492" s="3" t="s">
        <v>47</v>
      </c>
      <c r="C492" s="6" t="s">
        <v>76</v>
      </c>
      <c r="D492" s="6" t="s">
        <v>51</v>
      </c>
      <c r="E492" s="6" t="s">
        <v>46</v>
      </c>
      <c r="F492" s="12">
        <v>170.40348129999998</v>
      </c>
      <c r="G492" s="6">
        <v>614</v>
      </c>
      <c r="H492" s="12">
        <f>tbl_base_ni_ri[[#This Row],[ni_total]]+tbl_base_ni_ri[[#This Row],[ri_total]]</f>
        <v>784.40348129999995</v>
      </c>
      <c r="I492" s="6" t="str">
        <f t="shared" si="7"/>
        <v>OK</v>
      </c>
      <c r="J492" s="7"/>
    </row>
    <row r="493" spans="1:10">
      <c r="A493">
        <v>2034</v>
      </c>
      <c r="B493" s="3" t="s">
        <v>47</v>
      </c>
      <c r="C493" s="6" t="s">
        <v>76</v>
      </c>
      <c r="D493" s="6" t="s">
        <v>51</v>
      </c>
      <c r="E493" s="6" t="s">
        <v>46</v>
      </c>
      <c r="F493" s="12">
        <v>180.62769017799999</v>
      </c>
      <c r="G493" s="6">
        <v>667</v>
      </c>
      <c r="H493" s="12">
        <f>tbl_base_ni_ri[[#This Row],[ni_total]]+tbl_base_ni_ri[[#This Row],[ri_total]]</f>
        <v>847.62769017799997</v>
      </c>
      <c r="I493" s="6" t="str">
        <f t="shared" si="7"/>
        <v>OK</v>
      </c>
      <c r="J493" s="7"/>
    </row>
    <row r="494" spans="1:10">
      <c r="A494">
        <v>2035</v>
      </c>
      <c r="B494" s="3" t="s">
        <v>47</v>
      </c>
      <c r="C494" s="6" t="s">
        <v>76</v>
      </c>
      <c r="D494" s="6" t="s">
        <v>51</v>
      </c>
      <c r="E494" s="6" t="s">
        <v>46</v>
      </c>
      <c r="F494" s="12">
        <v>191.46535158867999</v>
      </c>
      <c r="G494" s="6">
        <v>708</v>
      </c>
      <c r="H494" s="12">
        <f>tbl_base_ni_ri[[#This Row],[ni_total]]+tbl_base_ni_ri[[#This Row],[ri_total]]</f>
        <v>899.46535158868005</v>
      </c>
      <c r="I494" s="6" t="str">
        <f t="shared" si="7"/>
        <v>OK</v>
      </c>
      <c r="J494" s="7"/>
    </row>
    <row r="495" spans="1:10">
      <c r="A495">
        <v>2036</v>
      </c>
      <c r="B495" s="3" t="s">
        <v>47</v>
      </c>
      <c r="C495" s="6" t="s">
        <v>76</v>
      </c>
      <c r="D495" s="6" t="s">
        <v>51</v>
      </c>
      <c r="E495" s="6" t="s">
        <v>46</v>
      </c>
      <c r="F495" s="12">
        <v>202.95327268400081</v>
      </c>
      <c r="G495" s="6">
        <v>745</v>
      </c>
      <c r="H495" s="12">
        <f>tbl_base_ni_ri[[#This Row],[ni_total]]+tbl_base_ni_ri[[#This Row],[ri_total]]</f>
        <v>947.95327268400081</v>
      </c>
      <c r="I495" s="6" t="str">
        <f t="shared" si="7"/>
        <v>OK</v>
      </c>
      <c r="J495" s="7"/>
    </row>
    <row r="496" spans="1:10">
      <c r="A496">
        <v>2037</v>
      </c>
      <c r="B496" s="3" t="s">
        <v>47</v>
      </c>
      <c r="C496" s="6" t="s">
        <v>76</v>
      </c>
      <c r="D496" s="6" t="s">
        <v>51</v>
      </c>
      <c r="E496" s="6" t="s">
        <v>46</v>
      </c>
      <c r="F496" s="12">
        <v>213.91274940893686</v>
      </c>
      <c r="G496" s="6">
        <v>789</v>
      </c>
      <c r="H496" s="12">
        <f>tbl_base_ni_ri[[#This Row],[ni_total]]+tbl_base_ni_ri[[#This Row],[ri_total]]</f>
        <v>1002.9127494089369</v>
      </c>
      <c r="I496" s="6" t="str">
        <f t="shared" si="7"/>
        <v>OK</v>
      </c>
      <c r="J496" s="7"/>
    </row>
    <row r="497" spans="1:10">
      <c r="A497">
        <v>2038</v>
      </c>
      <c r="B497" s="3" t="s">
        <v>47</v>
      </c>
      <c r="C497" s="6" t="s">
        <v>76</v>
      </c>
      <c r="D497" s="6" t="s">
        <v>51</v>
      </c>
      <c r="E497" s="6" t="s">
        <v>46</v>
      </c>
      <c r="F497" s="12">
        <v>225.46403787701945</v>
      </c>
      <c r="G497" s="6">
        <v>803</v>
      </c>
      <c r="H497" s="12">
        <f>tbl_base_ni_ri[[#This Row],[ni_total]]+tbl_base_ni_ri[[#This Row],[ri_total]]</f>
        <v>1028.4640378770196</v>
      </c>
      <c r="I497" s="6" t="str">
        <f t="shared" si="7"/>
        <v>OK</v>
      </c>
      <c r="J497" s="7"/>
    </row>
    <row r="498" spans="1:10">
      <c r="A498">
        <v>2039</v>
      </c>
      <c r="B498" s="3" t="s">
        <v>47</v>
      </c>
      <c r="C498" s="6" t="s">
        <v>76</v>
      </c>
      <c r="D498" s="6" t="s">
        <v>51</v>
      </c>
      <c r="E498" s="6" t="s">
        <v>46</v>
      </c>
      <c r="F498" s="12">
        <v>237.63909592237852</v>
      </c>
      <c r="G498" s="6">
        <v>819</v>
      </c>
      <c r="H498" s="12">
        <f>tbl_base_ni_ri[[#This Row],[ni_total]]+tbl_base_ni_ri[[#This Row],[ri_total]]</f>
        <v>1056.6390959223786</v>
      </c>
      <c r="I498" s="6" t="str">
        <f t="shared" si="7"/>
        <v>OK</v>
      </c>
      <c r="J498" s="7"/>
    </row>
    <row r="499" spans="1:10">
      <c r="A499">
        <v>2040</v>
      </c>
      <c r="B499" s="3" t="s">
        <v>47</v>
      </c>
      <c r="C499" s="6" t="s">
        <v>76</v>
      </c>
      <c r="D499" s="6" t="s">
        <v>51</v>
      </c>
      <c r="E499" s="6" t="s">
        <v>46</v>
      </c>
      <c r="F499" s="12">
        <v>250.47160710218697</v>
      </c>
      <c r="G499" s="6">
        <v>825</v>
      </c>
      <c r="H499" s="12">
        <f>tbl_base_ni_ri[[#This Row],[ni_total]]+tbl_base_ni_ri[[#This Row],[ri_total]]</f>
        <v>1075.4716071021869</v>
      </c>
      <c r="I499" s="6" t="str">
        <f t="shared" si="7"/>
        <v>OK</v>
      </c>
      <c r="J499" s="7"/>
    </row>
    <row r="500" spans="1:10">
      <c r="A500">
        <v>2030</v>
      </c>
      <c r="B500" s="3" t="s">
        <v>47</v>
      </c>
      <c r="C500" s="6" t="s">
        <v>77</v>
      </c>
      <c r="D500" s="6" t="s">
        <v>51</v>
      </c>
      <c r="E500" s="6" t="s">
        <v>46</v>
      </c>
      <c r="F500" s="12">
        <v>216.32</v>
      </c>
      <c r="G500" s="6">
        <v>495</v>
      </c>
      <c r="H500" s="12">
        <f>tbl_base_ni_ri[[#This Row],[ni_total]]+tbl_base_ni_ri[[#This Row],[ri_total]]</f>
        <v>711.31999999999994</v>
      </c>
      <c r="I500" s="6" t="str">
        <f t="shared" si="7"/>
        <v>OK</v>
      </c>
      <c r="J500" s="7"/>
    </row>
    <row r="501" spans="1:10">
      <c r="A501">
        <v>2031</v>
      </c>
      <c r="B501" s="3" t="s">
        <v>47</v>
      </c>
      <c r="C501" s="6" t="s">
        <v>77</v>
      </c>
      <c r="D501" s="6" t="s">
        <v>51</v>
      </c>
      <c r="E501" s="6" t="s">
        <v>46</v>
      </c>
      <c r="F501" s="12">
        <v>224.97280000000001</v>
      </c>
      <c r="G501" s="6">
        <v>535</v>
      </c>
      <c r="H501" s="12">
        <f>tbl_base_ni_ri[[#This Row],[ni_total]]+tbl_base_ni_ri[[#This Row],[ri_total]]</f>
        <v>759.97280000000001</v>
      </c>
      <c r="I501" s="6" t="str">
        <f t="shared" si="7"/>
        <v>OK</v>
      </c>
      <c r="J501" s="7"/>
    </row>
    <row r="502" spans="1:10">
      <c r="A502">
        <v>2032</v>
      </c>
      <c r="B502" s="3" t="s">
        <v>47</v>
      </c>
      <c r="C502" s="6" t="s">
        <v>77</v>
      </c>
      <c r="D502" s="6" t="s">
        <v>51</v>
      </c>
      <c r="E502" s="6" t="s">
        <v>46</v>
      </c>
      <c r="F502" s="12">
        <v>233.97171200000003</v>
      </c>
      <c r="G502" s="6">
        <v>569</v>
      </c>
      <c r="H502" s="12">
        <f>tbl_base_ni_ri[[#This Row],[ni_total]]+tbl_base_ni_ri[[#This Row],[ri_total]]</f>
        <v>802.97171200000003</v>
      </c>
      <c r="I502" s="6" t="str">
        <f t="shared" si="7"/>
        <v>OK</v>
      </c>
      <c r="J502" s="7"/>
    </row>
    <row r="503" spans="1:10">
      <c r="A503">
        <v>2033</v>
      </c>
      <c r="B503" s="3" t="s">
        <v>47</v>
      </c>
      <c r="C503" s="6" t="s">
        <v>77</v>
      </c>
      <c r="D503" s="6" t="s">
        <v>51</v>
      </c>
      <c r="E503" s="6" t="s">
        <v>46</v>
      </c>
      <c r="F503" s="12">
        <v>243.33058048000004</v>
      </c>
      <c r="G503" s="6">
        <v>589</v>
      </c>
      <c r="H503" s="12">
        <f>tbl_base_ni_ri[[#This Row],[ni_total]]+tbl_base_ni_ri[[#This Row],[ri_total]]</f>
        <v>832.33058047999998</v>
      </c>
      <c r="I503" s="6" t="str">
        <f t="shared" si="7"/>
        <v>OK</v>
      </c>
      <c r="J503" s="7"/>
    </row>
    <row r="504" spans="1:10">
      <c r="A504">
        <v>2034</v>
      </c>
      <c r="B504" s="3" t="s">
        <v>47</v>
      </c>
      <c r="C504" s="6" t="s">
        <v>77</v>
      </c>
      <c r="D504" s="6" t="s">
        <v>51</v>
      </c>
      <c r="E504" s="6" t="s">
        <v>46</v>
      </c>
      <c r="F504" s="12">
        <v>250.63049789440004</v>
      </c>
      <c r="G504" s="6">
        <v>607</v>
      </c>
      <c r="H504" s="12">
        <f>tbl_base_ni_ri[[#This Row],[ni_total]]+tbl_base_ni_ri[[#This Row],[ri_total]]</f>
        <v>857.63049789440004</v>
      </c>
      <c r="I504" s="6" t="str">
        <f t="shared" si="7"/>
        <v>OK</v>
      </c>
      <c r="J504" s="7"/>
    </row>
    <row r="505" spans="1:10">
      <c r="A505">
        <v>2035</v>
      </c>
      <c r="B505" s="3" t="s">
        <v>47</v>
      </c>
      <c r="C505" s="6" t="s">
        <v>77</v>
      </c>
      <c r="D505" s="6" t="s">
        <v>51</v>
      </c>
      <c r="E505" s="6" t="s">
        <v>46</v>
      </c>
      <c r="F505" s="12">
        <v>258.14941283123204</v>
      </c>
      <c r="G505" s="6">
        <v>676</v>
      </c>
      <c r="H505" s="12">
        <f>tbl_base_ni_ri[[#This Row],[ni_total]]+tbl_base_ni_ri[[#This Row],[ri_total]]</f>
        <v>934.14941283123198</v>
      </c>
      <c r="I505" s="6" t="str">
        <f t="shared" si="7"/>
        <v>OK</v>
      </c>
      <c r="J505" s="7"/>
    </row>
    <row r="506" spans="1:10">
      <c r="A506">
        <v>2036</v>
      </c>
      <c r="B506" s="3" t="s">
        <v>47</v>
      </c>
      <c r="C506" s="6" t="s">
        <v>77</v>
      </c>
      <c r="D506" s="6" t="s">
        <v>51</v>
      </c>
      <c r="E506" s="6" t="s">
        <v>46</v>
      </c>
      <c r="F506" s="12">
        <v>265.89389521616903</v>
      </c>
      <c r="G506" s="6">
        <v>707</v>
      </c>
      <c r="H506" s="12">
        <f>tbl_base_ni_ri[[#This Row],[ni_total]]+tbl_base_ni_ri[[#This Row],[ri_total]]</f>
        <v>972.89389521616908</v>
      </c>
      <c r="I506" s="6" t="str">
        <f t="shared" si="7"/>
        <v>OK</v>
      </c>
      <c r="J506" s="7"/>
    </row>
    <row r="507" spans="1:10">
      <c r="A507">
        <v>2037</v>
      </c>
      <c r="B507" s="3" t="s">
        <v>47</v>
      </c>
      <c r="C507" s="6" t="s">
        <v>77</v>
      </c>
      <c r="D507" s="6" t="s">
        <v>51</v>
      </c>
      <c r="E507" s="6" t="s">
        <v>46</v>
      </c>
      <c r="F507" s="12">
        <v>269.35051585397918</v>
      </c>
      <c r="G507" s="6">
        <v>734</v>
      </c>
      <c r="H507" s="12">
        <f>tbl_base_ni_ri[[#This Row],[ni_total]]+tbl_base_ni_ri[[#This Row],[ri_total]]</f>
        <v>1003.3505158539792</v>
      </c>
      <c r="I507" s="6" t="str">
        <f t="shared" si="7"/>
        <v>OK</v>
      </c>
      <c r="J507" s="7"/>
    </row>
    <row r="508" spans="1:10">
      <c r="A508">
        <v>2038</v>
      </c>
      <c r="B508" s="3" t="s">
        <v>47</v>
      </c>
      <c r="C508" s="6" t="s">
        <v>77</v>
      </c>
      <c r="D508" s="6" t="s">
        <v>51</v>
      </c>
      <c r="E508" s="6" t="s">
        <v>46</v>
      </c>
      <c r="F508" s="12">
        <v>272.8520725600809</v>
      </c>
      <c r="G508" s="6">
        <v>789</v>
      </c>
      <c r="H508" s="12">
        <f>tbl_base_ni_ri[[#This Row],[ni_total]]+tbl_base_ni_ri[[#This Row],[ri_total]]</f>
        <v>1061.8520725600808</v>
      </c>
      <c r="I508" s="6" t="str">
        <f t="shared" si="7"/>
        <v>OK</v>
      </c>
      <c r="J508" s="7"/>
    </row>
    <row r="509" spans="1:10">
      <c r="A509">
        <v>2039</v>
      </c>
      <c r="B509" s="3" t="s">
        <v>47</v>
      </c>
      <c r="C509" s="6" t="s">
        <v>77</v>
      </c>
      <c r="D509" s="6" t="s">
        <v>51</v>
      </c>
      <c r="E509" s="6" t="s">
        <v>46</v>
      </c>
      <c r="F509" s="12">
        <v>276.39914950336191</v>
      </c>
      <c r="G509" s="6">
        <v>815</v>
      </c>
      <c r="H509" s="12">
        <f>tbl_base_ni_ri[[#This Row],[ni_total]]+tbl_base_ni_ri[[#This Row],[ri_total]]</f>
        <v>1091.399149503362</v>
      </c>
      <c r="I509" s="6" t="str">
        <f t="shared" si="7"/>
        <v>OK</v>
      </c>
      <c r="J509" s="7"/>
    </row>
    <row r="510" spans="1:10">
      <c r="A510">
        <v>2040</v>
      </c>
      <c r="B510" s="3" t="s">
        <v>47</v>
      </c>
      <c r="C510" s="6" t="s">
        <v>77</v>
      </c>
      <c r="D510" s="6" t="s">
        <v>51</v>
      </c>
      <c r="E510" s="6" t="s">
        <v>46</v>
      </c>
      <c r="F510" s="12">
        <v>279.99233844690559</v>
      </c>
      <c r="G510" s="6">
        <v>840</v>
      </c>
      <c r="H510" s="12">
        <f>tbl_base_ni_ri[[#This Row],[ni_total]]+tbl_base_ni_ri[[#This Row],[ri_total]]</f>
        <v>1119.9923384469057</v>
      </c>
      <c r="I510" s="6" t="str">
        <f t="shared" si="7"/>
        <v>OK</v>
      </c>
      <c r="J510" s="7"/>
    </row>
    <row r="511" spans="1:10">
      <c r="A511">
        <v>2030</v>
      </c>
      <c r="B511" s="3" t="s">
        <v>47</v>
      </c>
      <c r="C511" s="6" t="s">
        <v>78</v>
      </c>
      <c r="D511" s="6" t="s">
        <v>51</v>
      </c>
      <c r="E511" s="6" t="s">
        <v>46</v>
      </c>
      <c r="F511" s="12">
        <v>919.80000000000007</v>
      </c>
      <c r="G511" s="6">
        <v>2916</v>
      </c>
      <c r="H511" s="12">
        <f>tbl_base_ni_ri[[#This Row],[ni_total]]+tbl_base_ni_ri[[#This Row],[ri_total]]</f>
        <v>3835.8</v>
      </c>
      <c r="I511" s="6" t="str">
        <f t="shared" si="7"/>
        <v>OK</v>
      </c>
      <c r="J511" s="7"/>
    </row>
    <row r="512" spans="1:10">
      <c r="A512">
        <v>2031</v>
      </c>
      <c r="B512" s="3" t="s">
        <v>47</v>
      </c>
      <c r="C512" s="6" t="s">
        <v>78</v>
      </c>
      <c r="D512" s="6" t="s">
        <v>51</v>
      </c>
      <c r="E512" s="6" t="s">
        <v>46</v>
      </c>
      <c r="F512" s="12">
        <v>965.79000000000008</v>
      </c>
      <c r="G512" s="6">
        <v>2944</v>
      </c>
      <c r="H512" s="12">
        <f>tbl_base_ni_ri[[#This Row],[ni_total]]+tbl_base_ni_ri[[#This Row],[ri_total]]</f>
        <v>3909.79</v>
      </c>
      <c r="I512" s="6" t="str">
        <f t="shared" si="7"/>
        <v>OK</v>
      </c>
      <c r="J512" s="7"/>
    </row>
    <row r="513" spans="1:10">
      <c r="A513">
        <v>2032</v>
      </c>
      <c r="B513" s="3" t="s">
        <v>47</v>
      </c>
      <c r="C513" s="6" t="s">
        <v>78</v>
      </c>
      <c r="D513" s="6" t="s">
        <v>51</v>
      </c>
      <c r="E513" s="6" t="s">
        <v>46</v>
      </c>
      <c r="F513" s="12">
        <v>1014.0795000000002</v>
      </c>
      <c r="G513" s="6">
        <v>2994</v>
      </c>
      <c r="H513" s="12">
        <f>tbl_base_ni_ri[[#This Row],[ni_total]]+tbl_base_ni_ri[[#This Row],[ri_total]]</f>
        <v>4008.0795000000003</v>
      </c>
      <c r="I513" s="6" t="str">
        <f t="shared" si="7"/>
        <v>OK</v>
      </c>
      <c r="J513" s="7"/>
    </row>
    <row r="514" spans="1:10">
      <c r="A514">
        <v>2033</v>
      </c>
      <c r="B514" s="3" t="s">
        <v>47</v>
      </c>
      <c r="C514" s="6" t="s">
        <v>78</v>
      </c>
      <c r="D514" s="6" t="s">
        <v>51</v>
      </c>
      <c r="E514" s="6" t="s">
        <v>46</v>
      </c>
      <c r="F514" s="12">
        <v>1064.7834750000002</v>
      </c>
      <c r="G514" s="6">
        <v>3058</v>
      </c>
      <c r="H514" s="12">
        <f>tbl_base_ni_ri[[#This Row],[ni_total]]+tbl_base_ni_ri[[#This Row],[ri_total]]</f>
        <v>4122.7834750000002</v>
      </c>
      <c r="I514" s="6" t="str">
        <f t="shared" si="7"/>
        <v>OK</v>
      </c>
      <c r="J514" s="7"/>
    </row>
    <row r="515" spans="1:10">
      <c r="A515">
        <v>2034</v>
      </c>
      <c r="B515" s="3" t="s">
        <v>47</v>
      </c>
      <c r="C515" s="6" t="s">
        <v>78</v>
      </c>
      <c r="D515" s="6" t="s">
        <v>51</v>
      </c>
      <c r="E515" s="6" t="s">
        <v>46</v>
      </c>
      <c r="F515" s="12">
        <v>1107.3748140000002</v>
      </c>
      <c r="G515" s="6">
        <v>3191</v>
      </c>
      <c r="H515" s="12">
        <f>tbl_base_ni_ri[[#This Row],[ni_total]]+tbl_base_ni_ri[[#This Row],[ri_total]]</f>
        <v>4298.3748140000007</v>
      </c>
      <c r="I515" s="6" t="str">
        <f t="shared" si="7"/>
        <v>OK</v>
      </c>
      <c r="J515" s="7"/>
    </row>
    <row r="516" spans="1:10">
      <c r="A516">
        <v>2035</v>
      </c>
      <c r="B516" s="3" t="s">
        <v>47</v>
      </c>
      <c r="C516" s="6" t="s">
        <v>78</v>
      </c>
      <c r="D516" s="6" t="s">
        <v>51</v>
      </c>
      <c r="E516" s="6" t="s">
        <v>46</v>
      </c>
      <c r="F516" s="12">
        <v>1151.6698065600003</v>
      </c>
      <c r="G516" s="6">
        <v>3299</v>
      </c>
      <c r="H516" s="12">
        <f>tbl_base_ni_ri[[#This Row],[ni_total]]+tbl_base_ni_ri[[#This Row],[ri_total]]</f>
        <v>4450.6698065600003</v>
      </c>
      <c r="I516" s="6" t="str">
        <f t="shared" si="7"/>
        <v>OK</v>
      </c>
      <c r="J516" s="7"/>
    </row>
    <row r="517" spans="1:10">
      <c r="A517">
        <v>2036</v>
      </c>
      <c r="B517" s="3" t="s">
        <v>47</v>
      </c>
      <c r="C517" s="6" t="s">
        <v>78</v>
      </c>
      <c r="D517" s="6" t="s">
        <v>51</v>
      </c>
      <c r="E517" s="6" t="s">
        <v>46</v>
      </c>
      <c r="F517" s="12">
        <v>1197.7365988224003</v>
      </c>
      <c r="G517" s="6">
        <v>3430</v>
      </c>
      <c r="H517" s="12">
        <f>tbl_base_ni_ri[[#This Row],[ni_total]]+tbl_base_ni_ri[[#This Row],[ri_total]]</f>
        <v>4627.7365988224001</v>
      </c>
      <c r="I517" s="6" t="str">
        <f t="shared" ref="I517:I580" si="8">IF(OR(F517="",G517="",H517=""),"",IF(ABS(H517-F517-G517)&lt;0.01,"OK","Revisar MT"))</f>
        <v>OK</v>
      </c>
      <c r="J517" s="7"/>
    </row>
    <row r="518" spans="1:10">
      <c r="A518">
        <v>2037</v>
      </c>
      <c r="B518" s="3" t="s">
        <v>47</v>
      </c>
      <c r="C518" s="6" t="s">
        <v>78</v>
      </c>
      <c r="D518" s="6" t="s">
        <v>51</v>
      </c>
      <c r="E518" s="6" t="s">
        <v>46</v>
      </c>
      <c r="F518" s="12">
        <v>1222.4099727581417</v>
      </c>
      <c r="G518" s="6">
        <v>3705</v>
      </c>
      <c r="H518" s="12">
        <f>tbl_base_ni_ri[[#This Row],[ni_total]]+tbl_base_ni_ri[[#This Row],[ri_total]]</f>
        <v>4927.4099727581415</v>
      </c>
      <c r="I518" s="6" t="str">
        <f t="shared" si="8"/>
        <v>OK</v>
      </c>
      <c r="J518" s="7"/>
    </row>
    <row r="519" spans="1:10">
      <c r="A519">
        <v>2038</v>
      </c>
      <c r="B519" s="3" t="s">
        <v>47</v>
      </c>
      <c r="C519" s="6" t="s">
        <v>78</v>
      </c>
      <c r="D519" s="6" t="s">
        <v>51</v>
      </c>
      <c r="E519" s="6" t="s">
        <v>46</v>
      </c>
      <c r="F519" s="12">
        <v>1247.5916181969594</v>
      </c>
      <c r="G519" s="6">
        <v>3906</v>
      </c>
      <c r="H519" s="12">
        <f>tbl_base_ni_ri[[#This Row],[ni_total]]+tbl_base_ni_ri[[#This Row],[ri_total]]</f>
        <v>5153.5916181969596</v>
      </c>
      <c r="I519" s="6" t="str">
        <f t="shared" si="8"/>
        <v>OK</v>
      </c>
      <c r="J519" s="7"/>
    </row>
    <row r="520" spans="1:10">
      <c r="A520">
        <v>2039</v>
      </c>
      <c r="B520" s="3" t="s">
        <v>47</v>
      </c>
      <c r="C520" s="6" t="s">
        <v>78</v>
      </c>
      <c r="D520" s="6" t="s">
        <v>51</v>
      </c>
      <c r="E520" s="6" t="s">
        <v>46</v>
      </c>
      <c r="F520" s="12">
        <v>1273.2920055318168</v>
      </c>
      <c r="G520" s="6">
        <v>4234</v>
      </c>
      <c r="H520" s="12">
        <f>tbl_base_ni_ri[[#This Row],[ni_total]]+tbl_base_ni_ri[[#This Row],[ri_total]]</f>
        <v>5507.2920055318173</v>
      </c>
      <c r="I520" s="6" t="str">
        <f t="shared" si="8"/>
        <v>OK</v>
      </c>
      <c r="J520" s="7"/>
    </row>
    <row r="521" spans="1:10">
      <c r="A521">
        <v>2040</v>
      </c>
      <c r="B521" s="3" t="s">
        <v>47</v>
      </c>
      <c r="C521" s="6" t="s">
        <v>78</v>
      </c>
      <c r="D521" s="6" t="s">
        <v>51</v>
      </c>
      <c r="E521" s="6" t="s">
        <v>46</v>
      </c>
      <c r="F521" s="12">
        <v>1299.5218208457723</v>
      </c>
      <c r="G521" s="6">
        <v>4680</v>
      </c>
      <c r="H521" s="12">
        <f>tbl_base_ni_ri[[#This Row],[ni_total]]+tbl_base_ni_ri[[#This Row],[ri_total]]</f>
        <v>5979.5218208457718</v>
      </c>
      <c r="I521" s="6" t="str">
        <f t="shared" si="8"/>
        <v>OK</v>
      </c>
      <c r="J521" s="7"/>
    </row>
    <row r="522" spans="1:10">
      <c r="A522">
        <v>2030</v>
      </c>
      <c r="B522" s="3" t="s">
        <v>47</v>
      </c>
      <c r="C522" s="6" t="s">
        <v>79</v>
      </c>
      <c r="D522" s="6" t="s">
        <v>51</v>
      </c>
      <c r="E522" s="6" t="s">
        <v>46</v>
      </c>
      <c r="F522" s="12">
        <v>0</v>
      </c>
      <c r="G522" s="6">
        <v>100</v>
      </c>
      <c r="H522" s="12">
        <f>tbl_base_ni_ri[[#This Row],[ni_total]]+tbl_base_ni_ri[[#This Row],[ri_total]]</f>
        <v>100</v>
      </c>
      <c r="I522" s="6" t="str">
        <f t="shared" si="8"/>
        <v>OK</v>
      </c>
      <c r="J522" s="7"/>
    </row>
    <row r="523" spans="1:10">
      <c r="A523">
        <v>2031</v>
      </c>
      <c r="B523" s="3" t="s">
        <v>47</v>
      </c>
      <c r="C523" s="6" t="s">
        <v>79</v>
      </c>
      <c r="D523" s="6" t="s">
        <v>51</v>
      </c>
      <c r="E523" s="6" t="s">
        <v>46</v>
      </c>
      <c r="F523" s="12">
        <v>0</v>
      </c>
      <c r="G523" s="6">
        <v>45</v>
      </c>
      <c r="H523" s="12">
        <f>tbl_base_ni_ri[[#This Row],[ni_total]]+tbl_base_ni_ri[[#This Row],[ri_total]]</f>
        <v>45</v>
      </c>
      <c r="I523" s="6" t="str">
        <f t="shared" si="8"/>
        <v>OK</v>
      </c>
      <c r="J523" s="7"/>
    </row>
    <row r="524" spans="1:10">
      <c r="A524">
        <v>2032</v>
      </c>
      <c r="B524" s="3" t="s">
        <v>47</v>
      </c>
      <c r="C524" s="6" t="s">
        <v>79</v>
      </c>
      <c r="D524" s="6" t="s">
        <v>51</v>
      </c>
      <c r="E524" s="6" t="s">
        <v>46</v>
      </c>
      <c r="F524" s="12">
        <v>0</v>
      </c>
      <c r="G524" s="6">
        <v>0</v>
      </c>
      <c r="H524" s="12">
        <f>tbl_base_ni_ri[[#This Row],[ni_total]]+tbl_base_ni_ri[[#This Row],[ri_total]]</f>
        <v>0</v>
      </c>
      <c r="I524" s="6" t="str">
        <f t="shared" si="8"/>
        <v>OK</v>
      </c>
      <c r="J524" s="7"/>
    </row>
    <row r="525" spans="1:10">
      <c r="A525">
        <v>2033</v>
      </c>
      <c r="B525" s="3" t="s">
        <v>47</v>
      </c>
      <c r="C525" s="6" t="s">
        <v>79</v>
      </c>
      <c r="D525" s="6" t="s">
        <v>51</v>
      </c>
      <c r="E525" s="6" t="s">
        <v>46</v>
      </c>
      <c r="F525" s="12">
        <v>0</v>
      </c>
      <c r="G525" s="6">
        <v>0</v>
      </c>
      <c r="H525" s="12">
        <f>tbl_base_ni_ri[[#This Row],[ni_total]]+tbl_base_ni_ri[[#This Row],[ri_total]]</f>
        <v>0</v>
      </c>
      <c r="I525" s="6" t="str">
        <f t="shared" si="8"/>
        <v>OK</v>
      </c>
      <c r="J525" s="7"/>
    </row>
    <row r="526" spans="1:10">
      <c r="A526">
        <v>2034</v>
      </c>
      <c r="B526" s="3" t="s">
        <v>47</v>
      </c>
      <c r="C526" s="6" t="s">
        <v>79</v>
      </c>
      <c r="D526" s="6" t="s">
        <v>51</v>
      </c>
      <c r="E526" s="6" t="s">
        <v>46</v>
      </c>
      <c r="F526" s="12">
        <v>0</v>
      </c>
      <c r="G526" s="6">
        <v>0</v>
      </c>
      <c r="H526" s="12">
        <f>tbl_base_ni_ri[[#This Row],[ni_total]]+tbl_base_ni_ri[[#This Row],[ri_total]]</f>
        <v>0</v>
      </c>
      <c r="I526" s="6" t="str">
        <f t="shared" si="8"/>
        <v>OK</v>
      </c>
      <c r="J526" s="7"/>
    </row>
    <row r="527" spans="1:10">
      <c r="A527">
        <v>2035</v>
      </c>
      <c r="B527" s="3" t="s">
        <v>47</v>
      </c>
      <c r="C527" s="6" t="s">
        <v>79</v>
      </c>
      <c r="D527" s="6" t="s">
        <v>51</v>
      </c>
      <c r="E527" s="6" t="s">
        <v>46</v>
      </c>
      <c r="F527" s="12">
        <v>0</v>
      </c>
      <c r="G527" s="6">
        <v>0</v>
      </c>
      <c r="H527" s="12">
        <f>tbl_base_ni_ri[[#This Row],[ni_total]]+tbl_base_ni_ri[[#This Row],[ri_total]]</f>
        <v>0</v>
      </c>
      <c r="I527" s="6" t="str">
        <f t="shared" si="8"/>
        <v>OK</v>
      </c>
      <c r="J527" s="7"/>
    </row>
    <row r="528" spans="1:10">
      <c r="A528">
        <v>2036</v>
      </c>
      <c r="B528" s="3" t="s">
        <v>47</v>
      </c>
      <c r="C528" s="6" t="s">
        <v>79</v>
      </c>
      <c r="D528" s="6" t="s">
        <v>51</v>
      </c>
      <c r="E528" s="6" t="s">
        <v>46</v>
      </c>
      <c r="F528" s="12">
        <v>0</v>
      </c>
      <c r="G528" s="6">
        <v>0</v>
      </c>
      <c r="H528" s="12">
        <f>tbl_base_ni_ri[[#This Row],[ni_total]]+tbl_base_ni_ri[[#This Row],[ri_total]]</f>
        <v>0</v>
      </c>
      <c r="I528" s="6" t="str">
        <f t="shared" si="8"/>
        <v>OK</v>
      </c>
      <c r="J528" s="7"/>
    </row>
    <row r="529" spans="1:10">
      <c r="A529">
        <v>2037</v>
      </c>
      <c r="B529" s="3" t="s">
        <v>47</v>
      </c>
      <c r="C529" s="6" t="s">
        <v>79</v>
      </c>
      <c r="D529" s="6" t="s">
        <v>51</v>
      </c>
      <c r="E529" s="6" t="s">
        <v>46</v>
      </c>
      <c r="F529" s="12">
        <v>0</v>
      </c>
      <c r="G529" s="6">
        <v>0</v>
      </c>
      <c r="H529" s="12">
        <f>tbl_base_ni_ri[[#This Row],[ni_total]]+tbl_base_ni_ri[[#This Row],[ri_total]]</f>
        <v>0</v>
      </c>
      <c r="I529" s="6" t="str">
        <f t="shared" si="8"/>
        <v>OK</v>
      </c>
      <c r="J529" s="7"/>
    </row>
    <row r="530" spans="1:10">
      <c r="A530">
        <v>2038</v>
      </c>
      <c r="B530" s="3" t="s">
        <v>47</v>
      </c>
      <c r="C530" s="6" t="s">
        <v>79</v>
      </c>
      <c r="D530" s="6" t="s">
        <v>51</v>
      </c>
      <c r="E530" s="6" t="s">
        <v>46</v>
      </c>
      <c r="F530" s="12">
        <v>0</v>
      </c>
      <c r="G530" s="6">
        <v>0</v>
      </c>
      <c r="H530" s="12">
        <f>tbl_base_ni_ri[[#This Row],[ni_total]]+tbl_base_ni_ri[[#This Row],[ri_total]]</f>
        <v>0</v>
      </c>
      <c r="I530" s="6" t="str">
        <f t="shared" si="8"/>
        <v>OK</v>
      </c>
      <c r="J530" s="7"/>
    </row>
    <row r="531" spans="1:10">
      <c r="A531">
        <v>2039</v>
      </c>
      <c r="B531" s="3" t="s">
        <v>47</v>
      </c>
      <c r="C531" s="6" t="s">
        <v>79</v>
      </c>
      <c r="D531" s="6" t="s">
        <v>51</v>
      </c>
      <c r="E531" s="6" t="s">
        <v>46</v>
      </c>
      <c r="F531" s="12">
        <v>0</v>
      </c>
      <c r="G531" s="6">
        <v>0</v>
      </c>
      <c r="H531" s="12">
        <f>tbl_base_ni_ri[[#This Row],[ni_total]]+tbl_base_ni_ri[[#This Row],[ri_total]]</f>
        <v>0</v>
      </c>
      <c r="I531" s="6" t="str">
        <f t="shared" si="8"/>
        <v>OK</v>
      </c>
      <c r="J531" s="7"/>
    </row>
    <row r="532" spans="1:10">
      <c r="A532">
        <v>2040</v>
      </c>
      <c r="B532" s="3" t="s">
        <v>47</v>
      </c>
      <c r="C532" s="6" t="s">
        <v>79</v>
      </c>
      <c r="D532" s="6" t="s">
        <v>51</v>
      </c>
      <c r="E532" s="6" t="s">
        <v>46</v>
      </c>
      <c r="F532" s="12">
        <v>0</v>
      </c>
      <c r="G532" s="6">
        <v>0</v>
      </c>
      <c r="H532" s="12">
        <f>tbl_base_ni_ri[[#This Row],[ni_total]]+tbl_base_ni_ri[[#This Row],[ri_total]]</f>
        <v>0</v>
      </c>
      <c r="I532" s="6" t="str">
        <f t="shared" si="8"/>
        <v>OK</v>
      </c>
      <c r="J532" s="7"/>
    </row>
    <row r="533" spans="1:10">
      <c r="A533">
        <v>2030</v>
      </c>
      <c r="B533" s="3" t="s">
        <v>47</v>
      </c>
      <c r="C533" s="6" t="s">
        <v>80</v>
      </c>
      <c r="D533" s="6" t="s">
        <v>51</v>
      </c>
      <c r="E533" s="6" t="s">
        <v>46</v>
      </c>
      <c r="F533" s="12">
        <v>168</v>
      </c>
      <c r="G533" s="6">
        <v>441</v>
      </c>
      <c r="H533" s="12">
        <f>tbl_base_ni_ri[[#This Row],[ni_total]]+tbl_base_ni_ri[[#This Row],[ri_total]]</f>
        <v>609</v>
      </c>
      <c r="I533" s="6" t="str">
        <f t="shared" si="8"/>
        <v>OK</v>
      </c>
      <c r="J533" s="7"/>
    </row>
    <row r="534" spans="1:10">
      <c r="A534">
        <v>2031</v>
      </c>
      <c r="B534" s="3" t="s">
        <v>47</v>
      </c>
      <c r="C534" s="6" t="s">
        <v>80</v>
      </c>
      <c r="D534" s="6" t="s">
        <v>51</v>
      </c>
      <c r="E534" s="6" t="s">
        <v>46</v>
      </c>
      <c r="F534" s="12">
        <v>176.4</v>
      </c>
      <c r="G534" s="6">
        <v>449</v>
      </c>
      <c r="H534" s="12">
        <f>tbl_base_ni_ri[[#This Row],[ni_total]]+tbl_base_ni_ri[[#This Row],[ri_total]]</f>
        <v>625.4</v>
      </c>
      <c r="I534" s="6" t="str">
        <f t="shared" si="8"/>
        <v>OK</v>
      </c>
      <c r="J534" s="7"/>
    </row>
    <row r="535" spans="1:10">
      <c r="A535">
        <v>2032</v>
      </c>
      <c r="B535" s="3" t="s">
        <v>47</v>
      </c>
      <c r="C535" s="6" t="s">
        <v>80</v>
      </c>
      <c r="D535" s="6" t="s">
        <v>51</v>
      </c>
      <c r="E535" s="6" t="s">
        <v>46</v>
      </c>
      <c r="F535" s="12">
        <v>185.22000000000003</v>
      </c>
      <c r="G535" s="6">
        <v>458</v>
      </c>
      <c r="H535" s="12">
        <f>tbl_base_ni_ri[[#This Row],[ni_total]]+tbl_base_ni_ri[[#This Row],[ri_total]]</f>
        <v>643.22</v>
      </c>
      <c r="I535" s="6" t="str">
        <f t="shared" si="8"/>
        <v>OK</v>
      </c>
      <c r="J535" s="7"/>
    </row>
    <row r="536" spans="1:10">
      <c r="A536">
        <v>2033</v>
      </c>
      <c r="B536" s="3" t="s">
        <v>47</v>
      </c>
      <c r="C536" s="6" t="s">
        <v>80</v>
      </c>
      <c r="D536" s="6" t="s">
        <v>51</v>
      </c>
      <c r="E536" s="6" t="s">
        <v>46</v>
      </c>
      <c r="F536" s="12">
        <v>194.48100000000002</v>
      </c>
      <c r="G536" s="6">
        <v>467</v>
      </c>
      <c r="H536" s="12">
        <f>tbl_base_ni_ri[[#This Row],[ni_total]]+tbl_base_ni_ri[[#This Row],[ri_total]]</f>
        <v>661.48099999999999</v>
      </c>
      <c r="I536" s="6" t="str">
        <f t="shared" si="8"/>
        <v>OK</v>
      </c>
      <c r="J536" s="7"/>
    </row>
    <row r="537" spans="1:10">
      <c r="A537">
        <v>2034</v>
      </c>
      <c r="B537" s="3" t="s">
        <v>47</v>
      </c>
      <c r="C537" s="6" t="s">
        <v>80</v>
      </c>
      <c r="D537" s="6" t="s">
        <v>51</v>
      </c>
      <c r="E537" s="6" t="s">
        <v>46</v>
      </c>
      <c r="F537" s="12">
        <v>200.31543000000002</v>
      </c>
      <c r="G537" s="6">
        <v>479</v>
      </c>
      <c r="H537" s="12">
        <f>tbl_base_ni_ri[[#This Row],[ni_total]]+tbl_base_ni_ri[[#This Row],[ri_total]]</f>
        <v>679.31542999999999</v>
      </c>
      <c r="I537" s="6" t="str">
        <f t="shared" si="8"/>
        <v>OK</v>
      </c>
      <c r="J537" s="7"/>
    </row>
    <row r="538" spans="1:10">
      <c r="A538">
        <v>2035</v>
      </c>
      <c r="B538" s="3" t="s">
        <v>47</v>
      </c>
      <c r="C538" s="6" t="s">
        <v>80</v>
      </c>
      <c r="D538" s="6" t="s">
        <v>51</v>
      </c>
      <c r="E538" s="6" t="s">
        <v>46</v>
      </c>
      <c r="F538" s="12">
        <v>206.32489290000004</v>
      </c>
      <c r="G538" s="6">
        <v>491</v>
      </c>
      <c r="H538" s="12">
        <f>tbl_base_ni_ri[[#This Row],[ni_total]]+tbl_base_ni_ri[[#This Row],[ri_total]]</f>
        <v>697.32489290000001</v>
      </c>
      <c r="I538" s="6" t="str">
        <f t="shared" si="8"/>
        <v>OK</v>
      </c>
      <c r="J538" s="7"/>
    </row>
    <row r="539" spans="1:10">
      <c r="A539">
        <v>2036</v>
      </c>
      <c r="B539" s="3" t="s">
        <v>47</v>
      </c>
      <c r="C539" s="6" t="s">
        <v>80</v>
      </c>
      <c r="D539" s="6" t="s">
        <v>51</v>
      </c>
      <c r="E539" s="6" t="s">
        <v>46</v>
      </c>
      <c r="F539" s="12">
        <v>212.51463968700006</v>
      </c>
      <c r="G539" s="6">
        <v>501</v>
      </c>
      <c r="H539" s="12">
        <f>tbl_base_ni_ri[[#This Row],[ni_total]]+tbl_base_ni_ri[[#This Row],[ri_total]]</f>
        <v>713.514639687</v>
      </c>
      <c r="I539" s="6" t="str">
        <f t="shared" si="8"/>
        <v>OK</v>
      </c>
      <c r="J539" s="7"/>
    </row>
    <row r="540" spans="1:10">
      <c r="A540">
        <v>2037</v>
      </c>
      <c r="B540" s="3" t="s">
        <v>47</v>
      </c>
      <c r="C540" s="6" t="s">
        <v>80</v>
      </c>
      <c r="D540" s="6" t="s">
        <v>51</v>
      </c>
      <c r="E540" s="6" t="s">
        <v>46</v>
      </c>
      <c r="F540" s="12">
        <v>216.76493248074007</v>
      </c>
      <c r="G540" s="6">
        <v>512</v>
      </c>
      <c r="H540" s="12">
        <f>tbl_base_ni_ri[[#This Row],[ni_total]]+tbl_base_ni_ri[[#This Row],[ri_total]]</f>
        <v>728.76493248074007</v>
      </c>
      <c r="I540" s="6" t="str">
        <f t="shared" si="8"/>
        <v>OK</v>
      </c>
      <c r="J540" s="7"/>
    </row>
    <row r="541" spans="1:10">
      <c r="A541">
        <v>2038</v>
      </c>
      <c r="B541" s="3" t="s">
        <v>47</v>
      </c>
      <c r="C541" s="6" t="s">
        <v>80</v>
      </c>
      <c r="D541" s="6" t="s">
        <v>51</v>
      </c>
      <c r="E541" s="6" t="s">
        <v>46</v>
      </c>
      <c r="F541" s="12">
        <v>221.10023113035487</v>
      </c>
      <c r="G541" s="6">
        <v>524</v>
      </c>
      <c r="H541" s="12">
        <f>tbl_base_ni_ri[[#This Row],[ni_total]]+tbl_base_ni_ri[[#This Row],[ri_total]]</f>
        <v>745.10023113035481</v>
      </c>
      <c r="I541" s="6" t="str">
        <f t="shared" si="8"/>
        <v>OK</v>
      </c>
      <c r="J541" s="7"/>
    </row>
    <row r="542" spans="1:10">
      <c r="A542">
        <v>2039</v>
      </c>
      <c r="B542" s="3" t="s">
        <v>47</v>
      </c>
      <c r="C542" s="6" t="s">
        <v>80</v>
      </c>
      <c r="D542" s="6" t="s">
        <v>51</v>
      </c>
      <c r="E542" s="6" t="s">
        <v>46</v>
      </c>
      <c r="F542" s="12">
        <v>225.52223575296196</v>
      </c>
      <c r="G542" s="6">
        <v>533</v>
      </c>
      <c r="H542" s="12">
        <f>tbl_base_ni_ri[[#This Row],[ni_total]]+tbl_base_ni_ri[[#This Row],[ri_total]]</f>
        <v>758.52223575296193</v>
      </c>
      <c r="I542" s="6" t="str">
        <f t="shared" si="8"/>
        <v>OK</v>
      </c>
      <c r="J542" s="7"/>
    </row>
    <row r="543" spans="1:10">
      <c r="A543">
        <v>2040</v>
      </c>
      <c r="B543" s="3" t="s">
        <v>47</v>
      </c>
      <c r="C543" s="6" t="s">
        <v>80</v>
      </c>
      <c r="D543" s="6" t="s">
        <v>51</v>
      </c>
      <c r="E543" s="6" t="s">
        <v>46</v>
      </c>
      <c r="F543" s="12">
        <v>230.0326804680212</v>
      </c>
      <c r="G543" s="6">
        <v>542</v>
      </c>
      <c r="H543" s="12">
        <f>tbl_base_ni_ri[[#This Row],[ni_total]]+tbl_base_ni_ri[[#This Row],[ri_total]]</f>
        <v>772.03268046802123</v>
      </c>
      <c r="I543" s="6" t="str">
        <f t="shared" si="8"/>
        <v>OK</v>
      </c>
      <c r="J543" s="7"/>
    </row>
    <row r="544" spans="1:10">
      <c r="A544">
        <v>2030</v>
      </c>
      <c r="B544" s="3" t="s">
        <v>47</v>
      </c>
      <c r="C544" s="6" t="s">
        <v>81</v>
      </c>
      <c r="D544" s="6" t="s">
        <v>51</v>
      </c>
      <c r="E544" s="6" t="s">
        <v>46</v>
      </c>
      <c r="F544" s="12">
        <v>127.2</v>
      </c>
      <c r="G544" s="6">
        <v>187</v>
      </c>
      <c r="H544" s="12">
        <f>tbl_base_ni_ri[[#This Row],[ni_total]]+tbl_base_ni_ri[[#This Row],[ri_total]]</f>
        <v>314.2</v>
      </c>
      <c r="I544" s="6" t="str">
        <f t="shared" si="8"/>
        <v>OK</v>
      </c>
      <c r="J544" s="7"/>
    </row>
    <row r="545" spans="1:10">
      <c r="A545">
        <v>2031</v>
      </c>
      <c r="B545" s="3" t="s">
        <v>47</v>
      </c>
      <c r="C545" s="6" t="s">
        <v>81</v>
      </c>
      <c r="D545" s="6" t="s">
        <v>51</v>
      </c>
      <c r="E545" s="6" t="s">
        <v>46</v>
      </c>
      <c r="F545" s="12">
        <v>134.83200000000002</v>
      </c>
      <c r="G545" s="6">
        <v>234</v>
      </c>
      <c r="H545" s="12">
        <f>tbl_base_ni_ri[[#This Row],[ni_total]]+tbl_base_ni_ri[[#This Row],[ri_total]]</f>
        <v>368.83199999999999</v>
      </c>
      <c r="I545" s="6" t="str">
        <f t="shared" si="8"/>
        <v>OK</v>
      </c>
      <c r="J545" s="7"/>
    </row>
    <row r="546" spans="1:10">
      <c r="A546">
        <v>2032</v>
      </c>
      <c r="B546" s="3" t="s">
        <v>47</v>
      </c>
      <c r="C546" s="6" t="s">
        <v>81</v>
      </c>
      <c r="D546" s="6" t="s">
        <v>51</v>
      </c>
      <c r="E546" s="6" t="s">
        <v>46</v>
      </c>
      <c r="F546" s="12">
        <v>142.92192000000003</v>
      </c>
      <c r="G546" s="6">
        <v>289</v>
      </c>
      <c r="H546" s="12">
        <f>tbl_base_ni_ri[[#This Row],[ni_total]]+tbl_base_ni_ri[[#This Row],[ri_total]]</f>
        <v>431.92192</v>
      </c>
      <c r="I546" s="6" t="str">
        <f t="shared" si="8"/>
        <v>OK</v>
      </c>
      <c r="J546" s="7"/>
    </row>
    <row r="547" spans="1:10">
      <c r="A547">
        <v>2033</v>
      </c>
      <c r="B547" s="3" t="s">
        <v>47</v>
      </c>
      <c r="C547" s="6" t="s">
        <v>81</v>
      </c>
      <c r="D547" s="6" t="s">
        <v>51</v>
      </c>
      <c r="E547" s="6" t="s">
        <v>46</v>
      </c>
      <c r="F547" s="12">
        <v>151.49723520000003</v>
      </c>
      <c r="G547" s="6">
        <v>376</v>
      </c>
      <c r="H547" s="12">
        <f>tbl_base_ni_ri[[#This Row],[ni_total]]+tbl_base_ni_ri[[#This Row],[ri_total]]</f>
        <v>527.49723519999998</v>
      </c>
      <c r="I547" s="6" t="str">
        <f t="shared" si="8"/>
        <v>OK</v>
      </c>
      <c r="J547" s="7"/>
    </row>
    <row r="548" spans="1:10">
      <c r="A548">
        <v>2034</v>
      </c>
      <c r="B548" s="3" t="s">
        <v>47</v>
      </c>
      <c r="C548" s="6" t="s">
        <v>81</v>
      </c>
      <c r="D548" s="6" t="s">
        <v>51</v>
      </c>
      <c r="E548" s="6" t="s">
        <v>46</v>
      </c>
      <c r="F548" s="12">
        <v>168.16193107200004</v>
      </c>
      <c r="G548" s="6">
        <v>423</v>
      </c>
      <c r="H548" s="12">
        <f>tbl_base_ni_ri[[#This Row],[ni_total]]+tbl_base_ni_ri[[#This Row],[ri_total]]</f>
        <v>591.16193107200002</v>
      </c>
      <c r="I548" s="6" t="str">
        <f t="shared" si="8"/>
        <v>OK</v>
      </c>
      <c r="J548" s="7"/>
    </row>
    <row r="549" spans="1:10">
      <c r="A549">
        <v>2035</v>
      </c>
      <c r="B549" s="3" t="s">
        <v>47</v>
      </c>
      <c r="C549" s="6" t="s">
        <v>81</v>
      </c>
      <c r="D549" s="6" t="s">
        <v>51</v>
      </c>
      <c r="E549" s="6" t="s">
        <v>46</v>
      </c>
      <c r="F549" s="12">
        <v>186.65974348992006</v>
      </c>
      <c r="G549" s="6">
        <v>489</v>
      </c>
      <c r="H549" s="12">
        <f>tbl_base_ni_ri[[#This Row],[ni_total]]+tbl_base_ni_ri[[#This Row],[ri_total]]</f>
        <v>675.65974348992006</v>
      </c>
      <c r="I549" s="6" t="str">
        <f t="shared" si="8"/>
        <v>OK</v>
      </c>
      <c r="J549" s="7"/>
    </row>
    <row r="550" spans="1:10">
      <c r="A550">
        <v>2036</v>
      </c>
      <c r="B550" s="3" t="s">
        <v>47</v>
      </c>
      <c r="C550" s="6" t="s">
        <v>81</v>
      </c>
      <c r="D550" s="6" t="s">
        <v>51</v>
      </c>
      <c r="E550" s="6" t="s">
        <v>46</v>
      </c>
      <c r="F550" s="12">
        <v>207.19231527381129</v>
      </c>
      <c r="G550" s="6">
        <v>567</v>
      </c>
      <c r="H550" s="12">
        <f>tbl_base_ni_ri[[#This Row],[ni_total]]+tbl_base_ni_ri[[#This Row],[ri_total]]</f>
        <v>774.19231527381135</v>
      </c>
      <c r="I550" s="6" t="str">
        <f t="shared" si="8"/>
        <v>OK</v>
      </c>
      <c r="J550" s="7"/>
    </row>
    <row r="551" spans="1:10">
      <c r="A551">
        <v>2037</v>
      </c>
      <c r="B551" s="3" t="s">
        <v>47</v>
      </c>
      <c r="C551" s="6" t="s">
        <v>81</v>
      </c>
      <c r="D551" s="6" t="s">
        <v>51</v>
      </c>
      <c r="E551" s="6" t="s">
        <v>46</v>
      </c>
      <c r="F551" s="12">
        <v>225.83962364845434</v>
      </c>
      <c r="G551" s="6">
        <v>634</v>
      </c>
      <c r="H551" s="12">
        <f>tbl_base_ni_ri[[#This Row],[ni_total]]+tbl_base_ni_ri[[#This Row],[ri_total]]</f>
        <v>859.83962364845434</v>
      </c>
      <c r="I551" s="6" t="str">
        <f t="shared" si="8"/>
        <v>OK</v>
      </c>
      <c r="J551" s="7"/>
    </row>
    <row r="552" spans="1:10">
      <c r="A552">
        <v>2038</v>
      </c>
      <c r="B552" s="3" t="s">
        <v>47</v>
      </c>
      <c r="C552" s="6" t="s">
        <v>81</v>
      </c>
      <c r="D552" s="6" t="s">
        <v>51</v>
      </c>
      <c r="E552" s="6" t="s">
        <v>46</v>
      </c>
      <c r="F552" s="12">
        <v>246.16518977681525</v>
      </c>
      <c r="G552" s="6">
        <v>698</v>
      </c>
      <c r="H552" s="12">
        <f>tbl_base_ni_ri[[#This Row],[ni_total]]+tbl_base_ni_ri[[#This Row],[ri_total]]</f>
        <v>944.16518977681528</v>
      </c>
      <c r="I552" s="6" t="str">
        <f t="shared" si="8"/>
        <v>OK</v>
      </c>
      <c r="J552" s="7"/>
    </row>
    <row r="553" spans="1:10">
      <c r="A553">
        <v>2039</v>
      </c>
      <c r="B553" s="3" t="s">
        <v>47</v>
      </c>
      <c r="C553" s="6" t="s">
        <v>81</v>
      </c>
      <c r="D553" s="6" t="s">
        <v>51</v>
      </c>
      <c r="E553" s="6" t="s">
        <v>46</v>
      </c>
      <c r="F553" s="12">
        <v>268.32005685672863</v>
      </c>
      <c r="G553" s="6">
        <v>721</v>
      </c>
      <c r="H553" s="12">
        <f>tbl_base_ni_ri[[#This Row],[ni_total]]+tbl_base_ni_ri[[#This Row],[ri_total]]</f>
        <v>989.32005685672857</v>
      </c>
      <c r="I553" s="6" t="str">
        <f t="shared" si="8"/>
        <v>OK</v>
      </c>
      <c r="J553" s="7"/>
    </row>
    <row r="554" spans="1:10">
      <c r="A554">
        <v>2040</v>
      </c>
      <c r="B554" s="3" t="s">
        <v>47</v>
      </c>
      <c r="C554" s="6" t="s">
        <v>81</v>
      </c>
      <c r="D554" s="6" t="s">
        <v>51</v>
      </c>
      <c r="E554" s="6" t="s">
        <v>46</v>
      </c>
      <c r="F554" s="12">
        <v>292.46886197383424</v>
      </c>
      <c r="G554" s="6">
        <v>708</v>
      </c>
      <c r="H554" s="12">
        <f>tbl_base_ni_ri[[#This Row],[ni_total]]+tbl_base_ni_ri[[#This Row],[ri_total]]</f>
        <v>1000.4688619738342</v>
      </c>
      <c r="I554" s="6" t="str">
        <f t="shared" si="8"/>
        <v>OK</v>
      </c>
      <c r="J554" s="7"/>
    </row>
    <row r="555" spans="1:10">
      <c r="A555">
        <v>2030</v>
      </c>
      <c r="B555" s="3" t="s">
        <v>47</v>
      </c>
      <c r="C555" s="6" t="s">
        <v>82</v>
      </c>
      <c r="D555" s="6" t="s">
        <v>51</v>
      </c>
      <c r="E555" s="6" t="s">
        <v>46</v>
      </c>
      <c r="F555" s="12">
        <v>129.54</v>
      </c>
      <c r="G555" s="6">
        <v>267</v>
      </c>
      <c r="H555" s="12">
        <f>tbl_base_ni_ri[[#This Row],[ni_total]]+tbl_base_ni_ri[[#This Row],[ri_total]]</f>
        <v>396.53999999999996</v>
      </c>
      <c r="I555" s="6" t="str">
        <f t="shared" si="8"/>
        <v>OK</v>
      </c>
      <c r="J555" s="7"/>
    </row>
    <row r="556" spans="1:10">
      <c r="A556">
        <v>2031</v>
      </c>
      <c r="B556" s="3" t="s">
        <v>47</v>
      </c>
      <c r="C556" s="6" t="s">
        <v>82</v>
      </c>
      <c r="D556" s="6" t="s">
        <v>51</v>
      </c>
      <c r="E556" s="6" t="s">
        <v>46</v>
      </c>
      <c r="F556" s="12">
        <v>132.13079999999999</v>
      </c>
      <c r="G556" s="6">
        <v>318</v>
      </c>
      <c r="H556" s="12">
        <f>tbl_base_ni_ri[[#This Row],[ni_total]]+tbl_base_ni_ri[[#This Row],[ri_total]]</f>
        <v>450.13080000000002</v>
      </c>
      <c r="I556" s="6" t="str">
        <f t="shared" si="8"/>
        <v>OK</v>
      </c>
      <c r="J556" s="7"/>
    </row>
    <row r="557" spans="1:10">
      <c r="A557">
        <v>2032</v>
      </c>
      <c r="B557" s="3" t="s">
        <v>47</v>
      </c>
      <c r="C557" s="6" t="s">
        <v>82</v>
      </c>
      <c r="D557" s="6" t="s">
        <v>51</v>
      </c>
      <c r="E557" s="6" t="s">
        <v>46</v>
      </c>
      <c r="F557" s="12">
        <v>134.773416</v>
      </c>
      <c r="G557" s="6">
        <v>337</v>
      </c>
      <c r="H557" s="12">
        <f>tbl_base_ni_ri[[#This Row],[ni_total]]+tbl_base_ni_ri[[#This Row],[ri_total]]</f>
        <v>471.773416</v>
      </c>
      <c r="I557" s="6" t="str">
        <f t="shared" si="8"/>
        <v>OK</v>
      </c>
      <c r="J557" s="7"/>
    </row>
    <row r="558" spans="1:10">
      <c r="A558">
        <v>2033</v>
      </c>
      <c r="B558" s="3" t="s">
        <v>47</v>
      </c>
      <c r="C558" s="6" t="s">
        <v>82</v>
      </c>
      <c r="D558" s="6" t="s">
        <v>51</v>
      </c>
      <c r="E558" s="6" t="s">
        <v>46</v>
      </c>
      <c r="F558" s="12">
        <v>137.46888432</v>
      </c>
      <c r="G558" s="6">
        <v>343</v>
      </c>
      <c r="H558" s="12">
        <f>tbl_base_ni_ri[[#This Row],[ni_total]]+tbl_base_ni_ri[[#This Row],[ri_total]]</f>
        <v>480.46888432000003</v>
      </c>
      <c r="I558" s="6" t="str">
        <f t="shared" si="8"/>
        <v>OK</v>
      </c>
      <c r="J558" s="7"/>
    </row>
    <row r="559" spans="1:10">
      <c r="A559">
        <v>2034</v>
      </c>
      <c r="B559" s="3" t="s">
        <v>47</v>
      </c>
      <c r="C559" s="6" t="s">
        <v>82</v>
      </c>
      <c r="D559" s="6" t="s">
        <v>51</v>
      </c>
      <c r="E559" s="6" t="s">
        <v>46</v>
      </c>
      <c r="F559" s="12">
        <v>138.84357316320001</v>
      </c>
      <c r="G559" s="6">
        <v>355</v>
      </c>
      <c r="H559" s="12">
        <f>tbl_base_ni_ri[[#This Row],[ni_total]]+tbl_base_ni_ri[[#This Row],[ri_total]]</f>
        <v>493.84357316320001</v>
      </c>
      <c r="I559" s="6" t="str">
        <f t="shared" si="8"/>
        <v>OK</v>
      </c>
      <c r="J559" s="7"/>
    </row>
    <row r="560" spans="1:10">
      <c r="A560">
        <v>2035</v>
      </c>
      <c r="B560" s="3" t="s">
        <v>47</v>
      </c>
      <c r="C560" s="6" t="s">
        <v>82</v>
      </c>
      <c r="D560" s="6" t="s">
        <v>51</v>
      </c>
      <c r="E560" s="6" t="s">
        <v>46</v>
      </c>
      <c r="F560" s="12">
        <v>140.23200889483201</v>
      </c>
      <c r="G560" s="6">
        <v>369</v>
      </c>
      <c r="H560" s="12">
        <f>tbl_base_ni_ri[[#This Row],[ni_total]]+tbl_base_ni_ri[[#This Row],[ri_total]]</f>
        <v>509.23200889483201</v>
      </c>
      <c r="I560" s="6" t="str">
        <f t="shared" si="8"/>
        <v>OK</v>
      </c>
      <c r="J560" s="7"/>
    </row>
    <row r="561" spans="1:10">
      <c r="A561">
        <v>2036</v>
      </c>
      <c r="B561" s="3" t="s">
        <v>47</v>
      </c>
      <c r="C561" s="6" t="s">
        <v>82</v>
      </c>
      <c r="D561" s="6" t="s">
        <v>51</v>
      </c>
      <c r="E561" s="6" t="s">
        <v>46</v>
      </c>
      <c r="F561" s="12">
        <v>141.63432898378034</v>
      </c>
      <c r="G561" s="6">
        <v>378</v>
      </c>
      <c r="H561" s="12">
        <f>tbl_base_ni_ri[[#This Row],[ni_total]]+tbl_base_ni_ri[[#This Row],[ri_total]]</f>
        <v>519.63432898378028</v>
      </c>
      <c r="I561" s="6" t="str">
        <f t="shared" si="8"/>
        <v>OK</v>
      </c>
      <c r="J561" s="7"/>
    </row>
    <row r="562" spans="1:10">
      <c r="A562">
        <v>2037</v>
      </c>
      <c r="B562" s="3" t="s">
        <v>47</v>
      </c>
      <c r="C562" s="6" t="s">
        <v>82</v>
      </c>
      <c r="D562" s="6" t="s">
        <v>51</v>
      </c>
      <c r="E562" s="6" t="s">
        <v>46</v>
      </c>
      <c r="F562" s="12">
        <v>143.61720958955326</v>
      </c>
      <c r="G562" s="6">
        <v>389</v>
      </c>
      <c r="H562" s="12">
        <f>tbl_base_ni_ri[[#This Row],[ni_total]]+tbl_base_ni_ri[[#This Row],[ri_total]]</f>
        <v>532.61720958955323</v>
      </c>
      <c r="I562" s="6" t="str">
        <f t="shared" si="8"/>
        <v>OK</v>
      </c>
      <c r="J562" s="7"/>
    </row>
    <row r="563" spans="1:10">
      <c r="A563">
        <v>2038</v>
      </c>
      <c r="B563" s="3" t="s">
        <v>47</v>
      </c>
      <c r="C563" s="6" t="s">
        <v>82</v>
      </c>
      <c r="D563" s="6" t="s">
        <v>51</v>
      </c>
      <c r="E563" s="6" t="s">
        <v>46</v>
      </c>
      <c r="F563" s="12">
        <v>145.62785052380701</v>
      </c>
      <c r="G563" s="6">
        <v>399</v>
      </c>
      <c r="H563" s="12">
        <f>tbl_base_ni_ri[[#This Row],[ni_total]]+tbl_base_ni_ri[[#This Row],[ri_total]]</f>
        <v>544.62785052380696</v>
      </c>
      <c r="I563" s="6" t="str">
        <f t="shared" si="8"/>
        <v>OK</v>
      </c>
      <c r="J563" s="7"/>
    </row>
    <row r="564" spans="1:10">
      <c r="A564">
        <v>2039</v>
      </c>
      <c r="B564" s="3" t="s">
        <v>47</v>
      </c>
      <c r="C564" s="6" t="s">
        <v>82</v>
      </c>
      <c r="D564" s="6" t="s">
        <v>51</v>
      </c>
      <c r="E564" s="6" t="s">
        <v>46</v>
      </c>
      <c r="F564" s="12">
        <v>147.66664043114031</v>
      </c>
      <c r="G564" s="6">
        <v>410</v>
      </c>
      <c r="H564" s="12">
        <f>tbl_base_ni_ri[[#This Row],[ni_total]]+tbl_base_ni_ri[[#This Row],[ri_total]]</f>
        <v>557.66664043114031</v>
      </c>
      <c r="I564" s="6" t="str">
        <f t="shared" si="8"/>
        <v>OK</v>
      </c>
      <c r="J564" s="7"/>
    </row>
    <row r="565" spans="1:10">
      <c r="A565">
        <v>2040</v>
      </c>
      <c r="B565" s="3" t="s">
        <v>47</v>
      </c>
      <c r="C565" s="6" t="s">
        <v>82</v>
      </c>
      <c r="D565" s="6" t="s">
        <v>51</v>
      </c>
      <c r="E565" s="6" t="s">
        <v>46</v>
      </c>
      <c r="F565" s="12">
        <v>149.73397339717627</v>
      </c>
      <c r="G565" s="6">
        <v>540</v>
      </c>
      <c r="H565" s="12">
        <f>tbl_base_ni_ri[[#This Row],[ni_total]]+tbl_base_ni_ri[[#This Row],[ri_total]]</f>
        <v>689.73397339717621</v>
      </c>
      <c r="I565" s="6" t="str">
        <f t="shared" si="8"/>
        <v>OK</v>
      </c>
      <c r="J565" s="7"/>
    </row>
    <row r="566" spans="1:10">
      <c r="A566">
        <v>2030</v>
      </c>
      <c r="B566" s="3" t="s">
        <v>47</v>
      </c>
      <c r="C566" s="6" t="s">
        <v>84</v>
      </c>
      <c r="D566" s="6" t="s">
        <v>51</v>
      </c>
      <c r="E566" s="6" t="s">
        <v>46</v>
      </c>
      <c r="F566" s="12">
        <v>192.60000000000002</v>
      </c>
      <c r="G566" s="6">
        <v>462</v>
      </c>
      <c r="H566" s="12">
        <f>tbl_base_ni_ri[[#This Row],[ni_total]]+tbl_base_ni_ri[[#This Row],[ri_total]]</f>
        <v>654.6</v>
      </c>
      <c r="I566" s="6" t="str">
        <f t="shared" si="8"/>
        <v>OK</v>
      </c>
      <c r="J566" s="7"/>
    </row>
    <row r="567" spans="1:10">
      <c r="A567">
        <v>2031</v>
      </c>
      <c r="B567" s="3" t="s">
        <v>47</v>
      </c>
      <c r="C567" s="6" t="s">
        <v>84</v>
      </c>
      <c r="D567" s="6" t="s">
        <v>51</v>
      </c>
      <c r="E567" s="6" t="s">
        <v>46</v>
      </c>
      <c r="F567" s="12">
        <v>206.08200000000005</v>
      </c>
      <c r="G567" s="6">
        <v>484</v>
      </c>
      <c r="H567" s="12">
        <f>tbl_base_ni_ri[[#This Row],[ni_total]]+tbl_base_ni_ri[[#This Row],[ri_total]]</f>
        <v>690.08200000000011</v>
      </c>
      <c r="I567" s="6" t="str">
        <f t="shared" si="8"/>
        <v>OK</v>
      </c>
      <c r="J567" s="7"/>
    </row>
    <row r="568" spans="1:10">
      <c r="A568">
        <v>2032</v>
      </c>
      <c r="B568" s="3" t="s">
        <v>47</v>
      </c>
      <c r="C568" s="6" t="s">
        <v>84</v>
      </c>
      <c r="D568" s="6" t="s">
        <v>51</v>
      </c>
      <c r="E568" s="6" t="s">
        <v>46</v>
      </c>
      <c r="F568" s="12">
        <v>220.50774000000007</v>
      </c>
      <c r="G568" s="6">
        <v>514</v>
      </c>
      <c r="H568" s="12">
        <f>tbl_base_ni_ri[[#This Row],[ni_total]]+tbl_base_ni_ri[[#This Row],[ri_total]]</f>
        <v>734.50774000000001</v>
      </c>
      <c r="I568" s="6" t="str">
        <f t="shared" si="8"/>
        <v>OK</v>
      </c>
      <c r="J568" s="7"/>
    </row>
    <row r="569" spans="1:10">
      <c r="A569">
        <v>2033</v>
      </c>
      <c r="B569" s="3" t="s">
        <v>47</v>
      </c>
      <c r="C569" s="6" t="s">
        <v>84</v>
      </c>
      <c r="D569" s="6" t="s">
        <v>51</v>
      </c>
      <c r="E569" s="6" t="s">
        <v>46</v>
      </c>
      <c r="F569" s="12">
        <v>235.94328180000008</v>
      </c>
      <c r="G569" s="6">
        <v>556</v>
      </c>
      <c r="H569" s="12">
        <f>tbl_base_ni_ri[[#This Row],[ni_total]]+tbl_base_ni_ri[[#This Row],[ri_total]]</f>
        <v>791.94328180000002</v>
      </c>
      <c r="I569" s="6" t="str">
        <f t="shared" si="8"/>
        <v>OK</v>
      </c>
      <c r="J569" s="7"/>
    </row>
    <row r="570" spans="1:10">
      <c r="A570">
        <v>2034</v>
      </c>
      <c r="B570" s="3" t="s">
        <v>47</v>
      </c>
      <c r="C570" s="6" t="s">
        <v>84</v>
      </c>
      <c r="D570" s="6" t="s">
        <v>51</v>
      </c>
      <c r="E570" s="6" t="s">
        <v>46</v>
      </c>
      <c r="F570" s="12">
        <v>264.2564756160001</v>
      </c>
      <c r="G570" s="6">
        <v>634</v>
      </c>
      <c r="H570" s="12">
        <f>tbl_base_ni_ri[[#This Row],[ni_total]]+tbl_base_ni_ri[[#This Row],[ri_total]]</f>
        <v>898.2564756160001</v>
      </c>
      <c r="I570" s="6" t="str">
        <f t="shared" si="8"/>
        <v>OK</v>
      </c>
      <c r="J570" s="7"/>
    </row>
    <row r="571" spans="1:10">
      <c r="A571">
        <v>2035</v>
      </c>
      <c r="B571" s="3" t="s">
        <v>47</v>
      </c>
      <c r="C571" s="6" t="s">
        <v>84</v>
      </c>
      <c r="D571" s="6" t="s">
        <v>51</v>
      </c>
      <c r="E571" s="6" t="s">
        <v>46</v>
      </c>
      <c r="F571" s="12">
        <v>295.96725268992014</v>
      </c>
      <c r="G571" s="6">
        <v>742</v>
      </c>
      <c r="H571" s="12">
        <f>tbl_base_ni_ri[[#This Row],[ni_total]]+tbl_base_ni_ri[[#This Row],[ri_total]]</f>
        <v>1037.9672526899201</v>
      </c>
      <c r="I571" s="6" t="str">
        <f t="shared" si="8"/>
        <v>OK</v>
      </c>
      <c r="J571" s="7"/>
    </row>
    <row r="572" spans="1:10">
      <c r="A572">
        <v>2036</v>
      </c>
      <c r="B572" s="3" t="s">
        <v>47</v>
      </c>
      <c r="C572" s="6" t="s">
        <v>84</v>
      </c>
      <c r="D572" s="6" t="s">
        <v>51</v>
      </c>
      <c r="E572" s="6" t="s">
        <v>46</v>
      </c>
      <c r="F572" s="12">
        <v>331.48332301271057</v>
      </c>
      <c r="G572" s="6">
        <v>834</v>
      </c>
      <c r="H572" s="12">
        <f>tbl_base_ni_ri[[#This Row],[ni_total]]+tbl_base_ni_ri[[#This Row],[ri_total]]</f>
        <v>1165.4833230127106</v>
      </c>
      <c r="I572" s="6" t="str">
        <f t="shared" si="8"/>
        <v>OK</v>
      </c>
      <c r="J572" s="7"/>
    </row>
    <row r="573" spans="1:10">
      <c r="A573">
        <v>2037</v>
      </c>
      <c r="B573" s="3" t="s">
        <v>47</v>
      </c>
      <c r="C573" s="6" t="s">
        <v>84</v>
      </c>
      <c r="D573" s="6" t="s">
        <v>51</v>
      </c>
      <c r="E573" s="6" t="s">
        <v>46</v>
      </c>
      <c r="F573" s="12">
        <v>364.63165531398164</v>
      </c>
      <c r="G573" s="6">
        <v>889</v>
      </c>
      <c r="H573" s="12">
        <f>tbl_base_ni_ri[[#This Row],[ni_total]]+tbl_base_ni_ri[[#This Row],[ri_total]]</f>
        <v>1253.6316553139816</v>
      </c>
      <c r="I573" s="6" t="str">
        <f t="shared" si="8"/>
        <v>OK</v>
      </c>
      <c r="J573" s="7"/>
    </row>
    <row r="574" spans="1:10">
      <c r="A574">
        <v>2038</v>
      </c>
      <c r="B574" s="3" t="s">
        <v>47</v>
      </c>
      <c r="C574" s="6" t="s">
        <v>84</v>
      </c>
      <c r="D574" s="6" t="s">
        <v>51</v>
      </c>
      <c r="E574" s="6" t="s">
        <v>46</v>
      </c>
      <c r="F574" s="12">
        <v>401.09482084537984</v>
      </c>
      <c r="G574" s="6">
        <v>934</v>
      </c>
      <c r="H574" s="12">
        <f>tbl_base_ni_ri[[#This Row],[ni_total]]+tbl_base_ni_ri[[#This Row],[ri_total]]</f>
        <v>1335.0948208453799</v>
      </c>
      <c r="I574" s="6" t="str">
        <f t="shared" si="8"/>
        <v>OK</v>
      </c>
      <c r="J574" s="7"/>
    </row>
    <row r="575" spans="1:10">
      <c r="A575">
        <v>2039</v>
      </c>
      <c r="B575" s="3" t="s">
        <v>47</v>
      </c>
      <c r="C575" s="6" t="s">
        <v>84</v>
      </c>
      <c r="D575" s="6" t="s">
        <v>51</v>
      </c>
      <c r="E575" s="6" t="s">
        <v>46</v>
      </c>
      <c r="F575" s="12">
        <v>441.20430292991784</v>
      </c>
      <c r="G575" s="6">
        <v>967</v>
      </c>
      <c r="H575" s="12">
        <f>tbl_base_ni_ri[[#This Row],[ni_total]]+tbl_base_ni_ri[[#This Row],[ri_total]]</f>
        <v>1408.204302929918</v>
      </c>
      <c r="I575" s="6" t="str">
        <f t="shared" si="8"/>
        <v>OK</v>
      </c>
      <c r="J575" s="7"/>
    </row>
    <row r="576" spans="1:10">
      <c r="A576">
        <v>2040</v>
      </c>
      <c r="B576" s="3" t="s">
        <v>47</v>
      </c>
      <c r="C576" s="6" t="s">
        <v>84</v>
      </c>
      <c r="D576" s="6" t="s">
        <v>51</v>
      </c>
      <c r="E576" s="6" t="s">
        <v>46</v>
      </c>
      <c r="F576" s="12">
        <v>485.32473322290969</v>
      </c>
      <c r="G576" s="6">
        <v>1004</v>
      </c>
      <c r="H576" s="12">
        <f>tbl_base_ni_ri[[#This Row],[ni_total]]+tbl_base_ni_ri[[#This Row],[ri_total]]</f>
        <v>1489.3247332229098</v>
      </c>
      <c r="I576" s="6" t="str">
        <f t="shared" si="8"/>
        <v>OK</v>
      </c>
      <c r="J576" s="7"/>
    </row>
    <row r="577" spans="1:10">
      <c r="A577">
        <v>2030</v>
      </c>
      <c r="B577" s="3" t="s">
        <v>47</v>
      </c>
      <c r="C577" s="6" t="s">
        <v>85</v>
      </c>
      <c r="D577" s="6" t="s">
        <v>51</v>
      </c>
      <c r="E577" s="6" t="s">
        <v>46</v>
      </c>
      <c r="F577" s="12">
        <v>116.63000000000001</v>
      </c>
      <c r="G577" s="6">
        <v>318</v>
      </c>
      <c r="H577" s="12">
        <f>tbl_base_ni_ri[[#This Row],[ni_total]]+tbl_base_ni_ri[[#This Row],[ri_total]]</f>
        <v>434.63</v>
      </c>
      <c r="I577" s="6" t="str">
        <f t="shared" si="8"/>
        <v>OK</v>
      </c>
      <c r="J577" s="7"/>
    </row>
    <row r="578" spans="1:10">
      <c r="A578">
        <v>2031</v>
      </c>
      <c r="B578" s="3" t="s">
        <v>47</v>
      </c>
      <c r="C578" s="6" t="s">
        <v>85</v>
      </c>
      <c r="D578" s="6" t="s">
        <v>51</v>
      </c>
      <c r="E578" s="6" t="s">
        <v>46</v>
      </c>
      <c r="F578" s="12">
        <v>127.12670000000001</v>
      </c>
      <c r="G578" s="6">
        <v>348</v>
      </c>
      <c r="H578" s="12">
        <f>tbl_base_ni_ri[[#This Row],[ni_total]]+tbl_base_ni_ri[[#This Row],[ri_total]]</f>
        <v>475.12670000000003</v>
      </c>
      <c r="I578" s="6" t="str">
        <f t="shared" si="8"/>
        <v>OK</v>
      </c>
      <c r="J578" s="7"/>
    </row>
    <row r="579" spans="1:10">
      <c r="A579">
        <v>2032</v>
      </c>
      <c r="B579" s="3" t="s">
        <v>47</v>
      </c>
      <c r="C579" s="6" t="s">
        <v>85</v>
      </c>
      <c r="D579" s="6" t="s">
        <v>51</v>
      </c>
      <c r="E579" s="6" t="s">
        <v>46</v>
      </c>
      <c r="F579" s="12">
        <v>138.56810300000004</v>
      </c>
      <c r="G579" s="6">
        <v>370</v>
      </c>
      <c r="H579" s="12">
        <f>tbl_base_ni_ri[[#This Row],[ni_total]]+tbl_base_ni_ri[[#This Row],[ri_total]]</f>
        <v>508.56810300000006</v>
      </c>
      <c r="I579" s="6" t="str">
        <f t="shared" si="8"/>
        <v>OK</v>
      </c>
      <c r="J579" s="7"/>
    </row>
    <row r="580" spans="1:10">
      <c r="A580">
        <v>2033</v>
      </c>
      <c r="B580" s="3" t="s">
        <v>47</v>
      </c>
      <c r="C580" s="6" t="s">
        <v>85</v>
      </c>
      <c r="D580" s="6" t="s">
        <v>51</v>
      </c>
      <c r="E580" s="6" t="s">
        <v>46</v>
      </c>
      <c r="F580" s="12">
        <v>151.03923227000004</v>
      </c>
      <c r="G580" s="6">
        <v>396</v>
      </c>
      <c r="H580" s="12">
        <f>tbl_base_ni_ri[[#This Row],[ni_total]]+tbl_base_ni_ri[[#This Row],[ri_total]]</f>
        <v>547.03923227000007</v>
      </c>
      <c r="I580" s="6" t="str">
        <f t="shared" si="8"/>
        <v>OK</v>
      </c>
      <c r="J580" s="7"/>
    </row>
    <row r="581" spans="1:10">
      <c r="A581">
        <v>2034</v>
      </c>
      <c r="B581" s="3" t="s">
        <v>47</v>
      </c>
      <c r="C581" s="6" t="s">
        <v>85</v>
      </c>
      <c r="D581" s="6" t="s">
        <v>51</v>
      </c>
      <c r="E581" s="6" t="s">
        <v>46</v>
      </c>
      <c r="F581" s="12">
        <v>164.17964547749003</v>
      </c>
      <c r="G581" s="6">
        <v>415</v>
      </c>
      <c r="H581" s="12">
        <f>tbl_base_ni_ri[[#This Row],[ni_total]]+tbl_base_ni_ri[[#This Row],[ri_total]]</f>
        <v>579.17964547749</v>
      </c>
      <c r="I581" s="6" t="str">
        <f t="shared" ref="I581:I644" si="9">IF(OR(F581="",G581="",H581=""),"",IF(ABS(H581-F581-G581)&lt;0.01,"OK","Revisar MT"))</f>
        <v>OK</v>
      </c>
      <c r="J581" s="7"/>
    </row>
    <row r="582" spans="1:10">
      <c r="A582">
        <v>2035</v>
      </c>
      <c r="B582" s="3" t="s">
        <v>47</v>
      </c>
      <c r="C582" s="6" t="s">
        <v>85</v>
      </c>
      <c r="D582" s="6" t="s">
        <v>51</v>
      </c>
      <c r="E582" s="6" t="s">
        <v>46</v>
      </c>
      <c r="F582" s="12">
        <v>178.46327463403165</v>
      </c>
      <c r="G582" s="6">
        <v>445</v>
      </c>
      <c r="H582" s="12">
        <f>tbl_base_ni_ri[[#This Row],[ni_total]]+tbl_base_ni_ri[[#This Row],[ri_total]]</f>
        <v>623.46327463403168</v>
      </c>
      <c r="I582" s="6" t="str">
        <f t="shared" si="9"/>
        <v>OK</v>
      </c>
      <c r="J582" s="7"/>
    </row>
    <row r="583" spans="1:10">
      <c r="A583">
        <v>2036</v>
      </c>
      <c r="B583" s="3" t="s">
        <v>47</v>
      </c>
      <c r="C583" s="6" t="s">
        <v>85</v>
      </c>
      <c r="D583" s="6" t="s">
        <v>51</v>
      </c>
      <c r="E583" s="6" t="s">
        <v>46</v>
      </c>
      <c r="F583" s="12">
        <v>193.9895795271924</v>
      </c>
      <c r="G583" s="6">
        <v>467</v>
      </c>
      <c r="H583" s="12">
        <f>tbl_base_ni_ri[[#This Row],[ni_total]]+tbl_base_ni_ri[[#This Row],[ri_total]]</f>
        <v>660.9895795271924</v>
      </c>
      <c r="I583" s="6" t="str">
        <f t="shared" si="9"/>
        <v>OK</v>
      </c>
      <c r="J583" s="7"/>
    </row>
    <row r="584" spans="1:10">
      <c r="A584">
        <v>2037</v>
      </c>
      <c r="B584" s="3" t="s">
        <v>47</v>
      </c>
      <c r="C584" s="6" t="s">
        <v>85</v>
      </c>
      <c r="D584" s="6" t="s">
        <v>51</v>
      </c>
      <c r="E584" s="6" t="s">
        <v>46</v>
      </c>
      <c r="F584" s="12">
        <v>206.5989021964599</v>
      </c>
      <c r="G584" s="6">
        <v>487</v>
      </c>
      <c r="H584" s="12">
        <f>tbl_base_ni_ri[[#This Row],[ni_total]]+tbl_base_ni_ri[[#This Row],[ri_total]]</f>
        <v>693.5989021964599</v>
      </c>
      <c r="I584" s="6" t="str">
        <f t="shared" si="9"/>
        <v>OK</v>
      </c>
      <c r="J584" s="7"/>
    </row>
    <row r="585" spans="1:10">
      <c r="A585">
        <v>2038</v>
      </c>
      <c r="B585" s="3" t="s">
        <v>47</v>
      </c>
      <c r="C585" s="6" t="s">
        <v>85</v>
      </c>
      <c r="D585" s="6" t="s">
        <v>51</v>
      </c>
      <c r="E585" s="6" t="s">
        <v>46</v>
      </c>
      <c r="F585" s="12">
        <v>220.02783083922978</v>
      </c>
      <c r="G585" s="6">
        <v>501</v>
      </c>
      <c r="H585" s="12">
        <f>tbl_base_ni_ri[[#This Row],[ni_total]]+tbl_base_ni_ri[[#This Row],[ri_total]]</f>
        <v>721.02783083922975</v>
      </c>
      <c r="I585" s="6" t="str">
        <f t="shared" si="9"/>
        <v>OK</v>
      </c>
      <c r="J585" s="7"/>
    </row>
    <row r="586" spans="1:10">
      <c r="A586">
        <v>2039</v>
      </c>
      <c r="B586" s="3" t="s">
        <v>47</v>
      </c>
      <c r="C586" s="6" t="s">
        <v>85</v>
      </c>
      <c r="D586" s="6" t="s">
        <v>51</v>
      </c>
      <c r="E586" s="6" t="s">
        <v>46</v>
      </c>
      <c r="F586" s="12">
        <v>234.32963984377972</v>
      </c>
      <c r="G586" s="6">
        <v>514</v>
      </c>
      <c r="H586" s="12">
        <f>tbl_base_ni_ri[[#This Row],[ni_total]]+tbl_base_ni_ri[[#This Row],[ri_total]]</f>
        <v>748.32963984377966</v>
      </c>
      <c r="I586" s="6" t="str">
        <f t="shared" si="9"/>
        <v>OK</v>
      </c>
      <c r="J586" s="7"/>
    </row>
    <row r="587" spans="1:10">
      <c r="A587">
        <v>2040</v>
      </c>
      <c r="B587" s="3" t="s">
        <v>47</v>
      </c>
      <c r="C587" s="6" t="s">
        <v>85</v>
      </c>
      <c r="D587" s="6" t="s">
        <v>51</v>
      </c>
      <c r="E587" s="6" t="s">
        <v>46</v>
      </c>
      <c r="F587" s="12">
        <v>249.5610664336254</v>
      </c>
      <c r="G587" s="6">
        <v>750</v>
      </c>
      <c r="H587" s="12">
        <f>tbl_base_ni_ri[[#This Row],[ni_total]]+tbl_base_ni_ri[[#This Row],[ri_total]]</f>
        <v>999.56106643362546</v>
      </c>
      <c r="I587" s="6" t="str">
        <f t="shared" si="9"/>
        <v>OK</v>
      </c>
      <c r="J587" s="7"/>
    </row>
    <row r="588" spans="1:10">
      <c r="A588">
        <v>2030</v>
      </c>
      <c r="B588" s="3" t="s">
        <v>47</v>
      </c>
      <c r="C588" s="6" t="s">
        <v>86</v>
      </c>
      <c r="D588" s="6" t="s">
        <v>51</v>
      </c>
      <c r="E588" s="6" t="s">
        <v>46</v>
      </c>
      <c r="F588" s="12">
        <v>178.77</v>
      </c>
      <c r="G588" s="6">
        <v>417</v>
      </c>
      <c r="H588" s="12">
        <f>tbl_base_ni_ri[[#This Row],[ni_total]]+tbl_base_ni_ri[[#This Row],[ri_total]]</f>
        <v>595.77</v>
      </c>
      <c r="I588" s="6" t="str">
        <f t="shared" si="9"/>
        <v>OK</v>
      </c>
      <c r="J588" s="7"/>
    </row>
    <row r="589" spans="1:10">
      <c r="A589">
        <v>2031</v>
      </c>
      <c r="B589" s="3" t="s">
        <v>47</v>
      </c>
      <c r="C589" s="6" t="s">
        <v>86</v>
      </c>
      <c r="D589" s="6" t="s">
        <v>51</v>
      </c>
      <c r="E589" s="6" t="s">
        <v>46</v>
      </c>
      <c r="F589" s="12">
        <v>180.55770000000001</v>
      </c>
      <c r="G589" s="6">
        <v>435</v>
      </c>
      <c r="H589" s="12">
        <f>tbl_base_ni_ri[[#This Row],[ni_total]]+tbl_base_ni_ri[[#This Row],[ri_total]]</f>
        <v>615.55770000000007</v>
      </c>
      <c r="I589" s="6" t="str">
        <f t="shared" si="9"/>
        <v>OK</v>
      </c>
      <c r="J589" s="7"/>
    </row>
    <row r="590" spans="1:10">
      <c r="A590">
        <v>2032</v>
      </c>
      <c r="B590" s="3" t="s">
        <v>47</v>
      </c>
      <c r="C590" s="6" t="s">
        <v>86</v>
      </c>
      <c r="D590" s="6" t="s">
        <v>51</v>
      </c>
      <c r="E590" s="6" t="s">
        <v>46</v>
      </c>
      <c r="F590" s="12">
        <v>182.36327700000001</v>
      </c>
      <c r="G590" s="6">
        <v>467</v>
      </c>
      <c r="H590" s="12">
        <f>tbl_base_ni_ri[[#This Row],[ni_total]]+tbl_base_ni_ri[[#This Row],[ri_total]]</f>
        <v>649.36327700000004</v>
      </c>
      <c r="I590" s="6" t="str">
        <f t="shared" si="9"/>
        <v>OK</v>
      </c>
      <c r="J590" s="7"/>
    </row>
    <row r="591" spans="1:10">
      <c r="A591">
        <v>2033</v>
      </c>
      <c r="B591" s="3" t="s">
        <v>47</v>
      </c>
      <c r="C591" s="6" t="s">
        <v>86</v>
      </c>
      <c r="D591" s="6" t="s">
        <v>51</v>
      </c>
      <c r="E591" s="6" t="s">
        <v>46</v>
      </c>
      <c r="F591" s="12">
        <v>184.18690977</v>
      </c>
      <c r="G591" s="6">
        <v>495</v>
      </c>
      <c r="H591" s="12">
        <f>tbl_base_ni_ri[[#This Row],[ni_total]]+tbl_base_ni_ri[[#This Row],[ri_total]]</f>
        <v>679.18690977000006</v>
      </c>
      <c r="I591" s="6" t="str">
        <f t="shared" si="9"/>
        <v>OK</v>
      </c>
      <c r="J591" s="7"/>
    </row>
    <row r="592" spans="1:10">
      <c r="A592">
        <v>2034</v>
      </c>
      <c r="B592" s="3" t="s">
        <v>47</v>
      </c>
      <c r="C592" s="6" t="s">
        <v>86</v>
      </c>
      <c r="D592" s="6" t="s">
        <v>51</v>
      </c>
      <c r="E592" s="6" t="s">
        <v>46</v>
      </c>
      <c r="F592" s="12">
        <v>186.0287788677</v>
      </c>
      <c r="G592" s="6">
        <v>512</v>
      </c>
      <c r="H592" s="12">
        <f>tbl_base_ni_ri[[#This Row],[ni_total]]+tbl_base_ni_ri[[#This Row],[ri_total]]</f>
        <v>698.0287788677</v>
      </c>
      <c r="I592" s="6" t="str">
        <f t="shared" si="9"/>
        <v>OK</v>
      </c>
      <c r="J592" s="7"/>
    </row>
    <row r="593" spans="1:10">
      <c r="A593">
        <v>2035</v>
      </c>
      <c r="B593" s="3" t="s">
        <v>47</v>
      </c>
      <c r="C593" s="6" t="s">
        <v>86</v>
      </c>
      <c r="D593" s="6" t="s">
        <v>51</v>
      </c>
      <c r="E593" s="6" t="s">
        <v>46</v>
      </c>
      <c r="F593" s="12">
        <v>187.889066656377</v>
      </c>
      <c r="G593" s="6">
        <v>534</v>
      </c>
      <c r="H593" s="12">
        <f>tbl_base_ni_ri[[#This Row],[ni_total]]+tbl_base_ni_ri[[#This Row],[ri_total]]</f>
        <v>721.88906665637705</v>
      </c>
      <c r="I593" s="6" t="str">
        <f t="shared" si="9"/>
        <v>OK</v>
      </c>
      <c r="J593" s="7"/>
    </row>
    <row r="594" spans="1:10">
      <c r="A594">
        <v>2036</v>
      </c>
      <c r="B594" s="3" t="s">
        <v>47</v>
      </c>
      <c r="C594" s="6" t="s">
        <v>86</v>
      </c>
      <c r="D594" s="6" t="s">
        <v>51</v>
      </c>
      <c r="E594" s="6" t="s">
        <v>46</v>
      </c>
      <c r="F594" s="12">
        <v>189.76795732294076</v>
      </c>
      <c r="G594" s="6">
        <v>567</v>
      </c>
      <c r="H594" s="12">
        <f>tbl_base_ni_ri[[#This Row],[ni_total]]+tbl_base_ni_ri[[#This Row],[ri_total]]</f>
        <v>756.76795732294079</v>
      </c>
      <c r="I594" s="6" t="str">
        <f t="shared" si="9"/>
        <v>OK</v>
      </c>
      <c r="J594" s="7"/>
    </row>
    <row r="595" spans="1:10">
      <c r="A595">
        <v>2037</v>
      </c>
      <c r="B595" s="3" t="s">
        <v>47</v>
      </c>
      <c r="C595" s="6" t="s">
        <v>86</v>
      </c>
      <c r="D595" s="6" t="s">
        <v>51</v>
      </c>
      <c r="E595" s="6" t="s">
        <v>46</v>
      </c>
      <c r="F595" s="12">
        <v>192.23494076813898</v>
      </c>
      <c r="G595" s="6">
        <v>598</v>
      </c>
      <c r="H595" s="12">
        <f>tbl_base_ni_ri[[#This Row],[ni_total]]+tbl_base_ni_ri[[#This Row],[ri_total]]</f>
        <v>790.23494076813904</v>
      </c>
      <c r="I595" s="6" t="str">
        <f t="shared" si="9"/>
        <v>OK</v>
      </c>
      <c r="J595" s="7"/>
    </row>
    <row r="596" spans="1:10">
      <c r="A596">
        <v>2038</v>
      </c>
      <c r="B596" s="3" t="s">
        <v>47</v>
      </c>
      <c r="C596" s="6" t="s">
        <v>86</v>
      </c>
      <c r="D596" s="6" t="s">
        <v>51</v>
      </c>
      <c r="E596" s="6" t="s">
        <v>46</v>
      </c>
      <c r="F596" s="12">
        <v>194.73399499812476</v>
      </c>
      <c r="G596" s="6">
        <v>634</v>
      </c>
      <c r="H596" s="12">
        <f>tbl_base_ni_ri[[#This Row],[ni_total]]+tbl_base_ni_ri[[#This Row],[ri_total]]</f>
        <v>828.73399499812479</v>
      </c>
      <c r="I596" s="6" t="str">
        <f t="shared" si="9"/>
        <v>OK</v>
      </c>
      <c r="J596" s="7"/>
    </row>
    <row r="597" spans="1:10">
      <c r="A597">
        <v>2039</v>
      </c>
      <c r="B597" s="3" t="s">
        <v>47</v>
      </c>
      <c r="C597" s="6" t="s">
        <v>86</v>
      </c>
      <c r="D597" s="6" t="s">
        <v>51</v>
      </c>
      <c r="E597" s="6" t="s">
        <v>46</v>
      </c>
      <c r="F597" s="12">
        <v>197.26553693310035</v>
      </c>
      <c r="G597" s="6">
        <v>661</v>
      </c>
      <c r="H597" s="12">
        <f>tbl_base_ni_ri[[#This Row],[ni_total]]+tbl_base_ni_ri[[#This Row],[ri_total]]</f>
        <v>858.26553693310029</v>
      </c>
      <c r="I597" s="6" t="str">
        <f t="shared" si="9"/>
        <v>OK</v>
      </c>
      <c r="J597" s="7"/>
    </row>
    <row r="598" spans="1:10">
      <c r="A598">
        <v>2040</v>
      </c>
      <c r="B598" s="3" t="s">
        <v>47</v>
      </c>
      <c r="C598" s="6" t="s">
        <v>86</v>
      </c>
      <c r="D598" s="6" t="s">
        <v>51</v>
      </c>
      <c r="E598" s="6" t="s">
        <v>46</v>
      </c>
      <c r="F598" s="12">
        <v>199.82998891323064</v>
      </c>
      <c r="G598" s="6">
        <v>700</v>
      </c>
      <c r="H598" s="12">
        <f>tbl_base_ni_ri[[#This Row],[ni_total]]+tbl_base_ni_ri[[#This Row],[ri_total]]</f>
        <v>899.82998891323064</v>
      </c>
      <c r="I598" s="6" t="str">
        <f t="shared" si="9"/>
        <v>OK</v>
      </c>
      <c r="J598" s="7"/>
    </row>
    <row r="599" spans="1:10">
      <c r="A599">
        <v>2030</v>
      </c>
      <c r="B599" s="3" t="s">
        <v>47</v>
      </c>
      <c r="C599" s="6" t="s">
        <v>87</v>
      </c>
      <c r="D599" s="6" t="s">
        <v>51</v>
      </c>
      <c r="E599" s="6" t="s">
        <v>46</v>
      </c>
      <c r="F599" s="12">
        <v>152.25</v>
      </c>
      <c r="G599" s="6">
        <v>441</v>
      </c>
      <c r="H599" s="12">
        <f>tbl_base_ni_ri[[#This Row],[ni_total]]+tbl_base_ni_ri[[#This Row],[ri_total]]</f>
        <v>593.25</v>
      </c>
      <c r="I599" s="6" t="str">
        <f t="shared" si="9"/>
        <v>OK</v>
      </c>
      <c r="J599" s="7"/>
    </row>
    <row r="600" spans="1:10">
      <c r="A600">
        <v>2031</v>
      </c>
      <c r="B600" s="3" t="s">
        <v>47</v>
      </c>
      <c r="C600" s="6" t="s">
        <v>87</v>
      </c>
      <c r="D600" s="6" t="s">
        <v>51</v>
      </c>
      <c r="E600" s="6" t="s">
        <v>46</v>
      </c>
      <c r="F600" s="12">
        <v>159.86250000000001</v>
      </c>
      <c r="G600" s="6">
        <v>467</v>
      </c>
      <c r="H600" s="12">
        <f>tbl_base_ni_ri[[#This Row],[ni_total]]+tbl_base_ni_ri[[#This Row],[ri_total]]</f>
        <v>626.86249999999995</v>
      </c>
      <c r="I600" s="6" t="str">
        <f t="shared" si="9"/>
        <v>OK</v>
      </c>
      <c r="J600" s="7"/>
    </row>
    <row r="601" spans="1:10">
      <c r="A601">
        <v>2032</v>
      </c>
      <c r="B601" s="3" t="s">
        <v>47</v>
      </c>
      <c r="C601" s="6" t="s">
        <v>87</v>
      </c>
      <c r="D601" s="6" t="s">
        <v>51</v>
      </c>
      <c r="E601" s="6" t="s">
        <v>46</v>
      </c>
      <c r="F601" s="12">
        <v>167.85562500000003</v>
      </c>
      <c r="G601" s="6">
        <v>483</v>
      </c>
      <c r="H601" s="12">
        <f>tbl_base_ni_ri[[#This Row],[ni_total]]+tbl_base_ni_ri[[#This Row],[ri_total]]</f>
        <v>650.85562500000003</v>
      </c>
      <c r="I601" s="6" t="str">
        <f t="shared" si="9"/>
        <v>OK</v>
      </c>
      <c r="J601" s="7"/>
    </row>
    <row r="602" spans="1:10">
      <c r="A602">
        <v>2033</v>
      </c>
      <c r="B602" s="3" t="s">
        <v>47</v>
      </c>
      <c r="C602" s="6" t="s">
        <v>87</v>
      </c>
      <c r="D602" s="6" t="s">
        <v>51</v>
      </c>
      <c r="E602" s="6" t="s">
        <v>46</v>
      </c>
      <c r="F602" s="12">
        <v>176.24840625000004</v>
      </c>
      <c r="G602" s="6">
        <v>499</v>
      </c>
      <c r="H602" s="12">
        <f>tbl_base_ni_ri[[#This Row],[ni_total]]+tbl_base_ni_ri[[#This Row],[ri_total]]</f>
        <v>675.24840625000002</v>
      </c>
      <c r="I602" s="6" t="str">
        <f t="shared" si="9"/>
        <v>OK</v>
      </c>
      <c r="J602" s="7"/>
    </row>
    <row r="603" spans="1:10">
      <c r="A603">
        <v>2034</v>
      </c>
      <c r="B603" s="3" t="s">
        <v>47</v>
      </c>
      <c r="C603" s="6" t="s">
        <v>87</v>
      </c>
      <c r="D603" s="6" t="s">
        <v>51</v>
      </c>
      <c r="E603" s="6" t="s">
        <v>46</v>
      </c>
      <c r="F603" s="12">
        <v>181.53585843750005</v>
      </c>
      <c r="G603" s="6">
        <v>512</v>
      </c>
      <c r="H603" s="12">
        <f>tbl_base_ni_ri[[#This Row],[ni_total]]+tbl_base_ni_ri[[#This Row],[ri_total]]</f>
        <v>693.53585843750011</v>
      </c>
      <c r="I603" s="6" t="str">
        <f t="shared" si="9"/>
        <v>OK</v>
      </c>
      <c r="J603" s="7"/>
    </row>
    <row r="604" spans="1:10">
      <c r="A604">
        <v>2035</v>
      </c>
      <c r="B604" s="3" t="s">
        <v>47</v>
      </c>
      <c r="C604" s="6" t="s">
        <v>87</v>
      </c>
      <c r="D604" s="6" t="s">
        <v>51</v>
      </c>
      <c r="E604" s="6" t="s">
        <v>46</v>
      </c>
      <c r="F604" s="12">
        <v>186.98193419062505</v>
      </c>
      <c r="G604" s="6">
        <v>529</v>
      </c>
      <c r="H604" s="12">
        <f>tbl_base_ni_ri[[#This Row],[ni_total]]+tbl_base_ni_ri[[#This Row],[ri_total]]</f>
        <v>715.981934190625</v>
      </c>
      <c r="I604" s="6" t="str">
        <f t="shared" si="9"/>
        <v>OK</v>
      </c>
      <c r="J604" s="7"/>
    </row>
    <row r="605" spans="1:10">
      <c r="A605">
        <v>2036</v>
      </c>
      <c r="B605" s="3" t="s">
        <v>47</v>
      </c>
      <c r="C605" s="6" t="s">
        <v>87</v>
      </c>
      <c r="D605" s="6" t="s">
        <v>51</v>
      </c>
      <c r="E605" s="6" t="s">
        <v>46</v>
      </c>
      <c r="F605" s="12">
        <v>192.59139221634382</v>
      </c>
      <c r="G605" s="6">
        <v>545</v>
      </c>
      <c r="H605" s="12">
        <f>tbl_base_ni_ri[[#This Row],[ni_total]]+tbl_base_ni_ri[[#This Row],[ri_total]]</f>
        <v>737.59139221634382</v>
      </c>
      <c r="I605" s="6" t="str">
        <f t="shared" si="9"/>
        <v>OK</v>
      </c>
      <c r="J605" s="7"/>
    </row>
    <row r="606" spans="1:10">
      <c r="A606">
        <v>2037</v>
      </c>
      <c r="B606" s="3" t="s">
        <v>47</v>
      </c>
      <c r="C606" s="6" t="s">
        <v>87</v>
      </c>
      <c r="D606" s="6" t="s">
        <v>51</v>
      </c>
      <c r="E606" s="6" t="s">
        <v>46</v>
      </c>
      <c r="F606" s="12">
        <v>196.8284028451034</v>
      </c>
      <c r="G606" s="6">
        <v>571</v>
      </c>
      <c r="H606" s="12">
        <f>tbl_base_ni_ri[[#This Row],[ni_total]]+tbl_base_ni_ri[[#This Row],[ri_total]]</f>
        <v>767.82840284510337</v>
      </c>
      <c r="I606" s="6" t="str">
        <f t="shared" si="9"/>
        <v>OK</v>
      </c>
      <c r="J606" s="7"/>
    </row>
    <row r="607" spans="1:10">
      <c r="A607">
        <v>2038</v>
      </c>
      <c r="B607" s="3" t="s">
        <v>47</v>
      </c>
      <c r="C607" s="6" t="s">
        <v>87</v>
      </c>
      <c r="D607" s="6" t="s">
        <v>51</v>
      </c>
      <c r="E607" s="6" t="s">
        <v>46</v>
      </c>
      <c r="F607" s="12">
        <v>201.15862770769567</v>
      </c>
      <c r="G607" s="6">
        <v>580</v>
      </c>
      <c r="H607" s="12">
        <f>tbl_base_ni_ri[[#This Row],[ni_total]]+tbl_base_ni_ri[[#This Row],[ri_total]]</f>
        <v>781.1586277076957</v>
      </c>
      <c r="I607" s="6" t="str">
        <f t="shared" si="9"/>
        <v>OK</v>
      </c>
      <c r="J607" s="7"/>
    </row>
    <row r="608" spans="1:10">
      <c r="A608">
        <v>2039</v>
      </c>
      <c r="B608" s="3" t="s">
        <v>47</v>
      </c>
      <c r="C608" s="6" t="s">
        <v>87</v>
      </c>
      <c r="D608" s="6" t="s">
        <v>51</v>
      </c>
      <c r="E608" s="6" t="s">
        <v>46</v>
      </c>
      <c r="F608" s="12">
        <v>205.58411751726499</v>
      </c>
      <c r="G608" s="6">
        <v>590</v>
      </c>
      <c r="H608" s="12">
        <f>tbl_base_ni_ri[[#This Row],[ni_total]]+tbl_base_ni_ri[[#This Row],[ri_total]]</f>
        <v>795.58411751726499</v>
      </c>
      <c r="I608" s="6" t="str">
        <f t="shared" si="9"/>
        <v>OK</v>
      </c>
      <c r="J608" s="7"/>
    </row>
    <row r="609" spans="1:10">
      <c r="A609">
        <v>2040</v>
      </c>
      <c r="B609" s="3" t="s">
        <v>47</v>
      </c>
      <c r="C609" s="6" t="s">
        <v>87</v>
      </c>
      <c r="D609" s="6" t="s">
        <v>51</v>
      </c>
      <c r="E609" s="6" t="s">
        <v>46</v>
      </c>
      <c r="F609" s="12">
        <v>210.10696810264483</v>
      </c>
      <c r="G609" s="6">
        <v>595</v>
      </c>
      <c r="H609" s="12">
        <f>tbl_base_ni_ri[[#This Row],[ni_total]]+tbl_base_ni_ri[[#This Row],[ri_total]]</f>
        <v>805.10696810264483</v>
      </c>
      <c r="I609" s="6" t="str">
        <f t="shared" si="9"/>
        <v>OK</v>
      </c>
      <c r="J609" s="7"/>
    </row>
    <row r="610" spans="1:10">
      <c r="A610">
        <v>2030</v>
      </c>
      <c r="B610" s="3" t="s">
        <v>47</v>
      </c>
      <c r="C610" s="6" t="s">
        <v>88</v>
      </c>
      <c r="D610" s="6" t="s">
        <v>51</v>
      </c>
      <c r="E610" s="6" t="s">
        <v>46</v>
      </c>
      <c r="F610" s="12">
        <v>341.7</v>
      </c>
      <c r="G610" s="6">
        <v>989</v>
      </c>
      <c r="H610" s="12">
        <f>tbl_base_ni_ri[[#This Row],[ni_total]]+tbl_base_ni_ri[[#This Row],[ri_total]]</f>
        <v>1330.7</v>
      </c>
      <c r="I610" s="6" t="str">
        <f t="shared" si="9"/>
        <v>OK</v>
      </c>
      <c r="J610" s="7"/>
    </row>
    <row r="611" spans="1:10">
      <c r="A611">
        <v>2031</v>
      </c>
      <c r="B611" s="3" t="s">
        <v>47</v>
      </c>
      <c r="C611" s="6" t="s">
        <v>88</v>
      </c>
      <c r="D611" s="6" t="s">
        <v>51</v>
      </c>
      <c r="E611" s="6" t="s">
        <v>46</v>
      </c>
      <c r="F611" s="12">
        <v>343.40849999999995</v>
      </c>
      <c r="G611" s="6">
        <v>995</v>
      </c>
      <c r="H611" s="12">
        <f>tbl_base_ni_ri[[#This Row],[ni_total]]+tbl_base_ni_ri[[#This Row],[ri_total]]</f>
        <v>1338.4085</v>
      </c>
      <c r="I611" s="6" t="str">
        <f t="shared" si="9"/>
        <v>OK</v>
      </c>
      <c r="J611" s="7"/>
    </row>
    <row r="612" spans="1:10">
      <c r="A612">
        <v>2032</v>
      </c>
      <c r="B612" s="3" t="s">
        <v>47</v>
      </c>
      <c r="C612" s="6" t="s">
        <v>88</v>
      </c>
      <c r="D612" s="6" t="s">
        <v>51</v>
      </c>
      <c r="E612" s="6" t="s">
        <v>46</v>
      </c>
      <c r="F612" s="12">
        <v>345.12554249999994</v>
      </c>
      <c r="G612" s="6">
        <v>1001</v>
      </c>
      <c r="H612" s="12">
        <f>tbl_base_ni_ri[[#This Row],[ni_total]]+tbl_base_ni_ri[[#This Row],[ri_total]]</f>
        <v>1346.1255424999999</v>
      </c>
      <c r="I612" s="6" t="str">
        <f t="shared" si="9"/>
        <v>OK</v>
      </c>
      <c r="J612" s="7"/>
    </row>
    <row r="613" spans="1:10">
      <c r="A613">
        <v>2033</v>
      </c>
      <c r="B613" s="3" t="s">
        <v>47</v>
      </c>
      <c r="C613" s="6" t="s">
        <v>88</v>
      </c>
      <c r="D613" s="6" t="s">
        <v>51</v>
      </c>
      <c r="E613" s="6" t="s">
        <v>46</v>
      </c>
      <c r="F613" s="12">
        <v>346.85117021249988</v>
      </c>
      <c r="G613" s="6">
        <v>1012</v>
      </c>
      <c r="H613" s="12">
        <f>tbl_base_ni_ri[[#This Row],[ni_total]]+tbl_base_ni_ri[[#This Row],[ri_total]]</f>
        <v>1358.8511702124999</v>
      </c>
      <c r="I613" s="6" t="str">
        <f t="shared" si="9"/>
        <v>OK</v>
      </c>
      <c r="J613" s="7"/>
    </row>
    <row r="614" spans="1:10">
      <c r="A614">
        <v>2034</v>
      </c>
      <c r="B614" s="3" t="s">
        <v>47</v>
      </c>
      <c r="C614" s="6" t="s">
        <v>88</v>
      </c>
      <c r="D614" s="6" t="s">
        <v>51</v>
      </c>
      <c r="E614" s="6" t="s">
        <v>46</v>
      </c>
      <c r="F614" s="12">
        <v>347.54487255292486</v>
      </c>
      <c r="G614" s="6">
        <v>1032</v>
      </c>
      <c r="H614" s="12">
        <f>tbl_base_ni_ri[[#This Row],[ni_total]]+tbl_base_ni_ri[[#This Row],[ri_total]]</f>
        <v>1379.544872552925</v>
      </c>
      <c r="I614" s="6" t="str">
        <f t="shared" si="9"/>
        <v>OK</v>
      </c>
      <c r="J614" s="7"/>
    </row>
    <row r="615" spans="1:10">
      <c r="A615">
        <v>2035</v>
      </c>
      <c r="B615" s="3" t="s">
        <v>47</v>
      </c>
      <c r="C615" s="6" t="s">
        <v>88</v>
      </c>
      <c r="D615" s="6" t="s">
        <v>51</v>
      </c>
      <c r="E615" s="6" t="s">
        <v>46</v>
      </c>
      <c r="F615" s="12">
        <v>348.23996229803072</v>
      </c>
      <c r="G615" s="6">
        <v>1056</v>
      </c>
      <c r="H615" s="12">
        <f>tbl_base_ni_ri[[#This Row],[ni_total]]+tbl_base_ni_ri[[#This Row],[ri_total]]</f>
        <v>1404.2399622980306</v>
      </c>
      <c r="I615" s="6" t="str">
        <f t="shared" si="9"/>
        <v>OK</v>
      </c>
      <c r="J615" s="7"/>
    </row>
    <row r="616" spans="1:10">
      <c r="A616">
        <v>2036</v>
      </c>
      <c r="B616" s="3" t="s">
        <v>47</v>
      </c>
      <c r="C616" s="6" t="s">
        <v>88</v>
      </c>
      <c r="D616" s="6" t="s">
        <v>51</v>
      </c>
      <c r="E616" s="6" t="s">
        <v>46</v>
      </c>
      <c r="F616" s="12">
        <v>348.93644222262679</v>
      </c>
      <c r="G616" s="6">
        <v>1076</v>
      </c>
      <c r="H616" s="12">
        <f>tbl_base_ni_ri[[#This Row],[ni_total]]+tbl_base_ni_ri[[#This Row],[ri_total]]</f>
        <v>1424.9364422226267</v>
      </c>
      <c r="I616" s="6" t="str">
        <f t="shared" si="9"/>
        <v>OK</v>
      </c>
      <c r="J616" s="7"/>
    </row>
    <row r="617" spans="1:10">
      <c r="A617">
        <v>2037</v>
      </c>
      <c r="B617" s="3" t="s">
        <v>47</v>
      </c>
      <c r="C617" s="6" t="s">
        <v>88</v>
      </c>
      <c r="D617" s="6" t="s">
        <v>51</v>
      </c>
      <c r="E617" s="6" t="s">
        <v>46</v>
      </c>
      <c r="F617" s="12">
        <v>349.28537866484936</v>
      </c>
      <c r="G617" s="6">
        <v>1094</v>
      </c>
      <c r="H617" s="12">
        <f>tbl_base_ni_ri[[#This Row],[ni_total]]+tbl_base_ni_ri[[#This Row],[ri_total]]</f>
        <v>1443.2853786648493</v>
      </c>
      <c r="I617" s="6" t="str">
        <f t="shared" si="9"/>
        <v>OK</v>
      </c>
      <c r="J617" s="7"/>
    </row>
    <row r="618" spans="1:10">
      <c r="A618">
        <v>2038</v>
      </c>
      <c r="B618" s="3" t="s">
        <v>47</v>
      </c>
      <c r="C618" s="6" t="s">
        <v>88</v>
      </c>
      <c r="D618" s="6" t="s">
        <v>51</v>
      </c>
      <c r="E618" s="6" t="s">
        <v>46</v>
      </c>
      <c r="F618" s="12">
        <v>349.63466404351419</v>
      </c>
      <c r="G618" s="6">
        <v>1105</v>
      </c>
      <c r="H618" s="12">
        <f>tbl_base_ni_ri[[#This Row],[ni_total]]+tbl_base_ni_ri[[#This Row],[ri_total]]</f>
        <v>1454.6346640435142</v>
      </c>
      <c r="I618" s="6" t="str">
        <f t="shared" si="9"/>
        <v>OK</v>
      </c>
      <c r="J618" s="7"/>
    </row>
    <row r="619" spans="1:10">
      <c r="A619">
        <v>2039</v>
      </c>
      <c r="B619" s="3" t="s">
        <v>47</v>
      </c>
      <c r="C619" s="6" t="s">
        <v>88</v>
      </c>
      <c r="D619" s="6" t="s">
        <v>51</v>
      </c>
      <c r="E619" s="6" t="s">
        <v>46</v>
      </c>
      <c r="F619" s="12">
        <v>349.98429870755768</v>
      </c>
      <c r="G619" s="6">
        <v>1123</v>
      </c>
      <c r="H619" s="12">
        <f>tbl_base_ni_ri[[#This Row],[ni_total]]+tbl_base_ni_ri[[#This Row],[ri_total]]</f>
        <v>1472.9842987075576</v>
      </c>
      <c r="I619" s="6" t="str">
        <f t="shared" si="9"/>
        <v>OK</v>
      </c>
      <c r="J619" s="7"/>
    </row>
    <row r="620" spans="1:10">
      <c r="A620">
        <v>2040</v>
      </c>
      <c r="B620" s="3" t="s">
        <v>47</v>
      </c>
      <c r="C620" s="6" t="s">
        <v>88</v>
      </c>
      <c r="D620" s="6" t="s">
        <v>51</v>
      </c>
      <c r="E620" s="6" t="s">
        <v>46</v>
      </c>
      <c r="F620" s="12">
        <v>350.3342830062652</v>
      </c>
      <c r="G620" s="6">
        <v>1155</v>
      </c>
      <c r="H620" s="12">
        <f>tbl_base_ni_ri[[#This Row],[ni_total]]+tbl_base_ni_ri[[#This Row],[ri_total]]</f>
        <v>1505.3342830062652</v>
      </c>
      <c r="I620" s="6" t="str">
        <f t="shared" si="9"/>
        <v>OK</v>
      </c>
      <c r="J620" s="7"/>
    </row>
    <row r="621" spans="1:10">
      <c r="A621">
        <v>2030</v>
      </c>
      <c r="B621" s="3" t="s">
        <v>47</v>
      </c>
      <c r="C621" s="6" t="s">
        <v>89</v>
      </c>
      <c r="D621" s="6" t="s">
        <v>51</v>
      </c>
      <c r="E621" s="6" t="s">
        <v>46</v>
      </c>
      <c r="F621" s="12">
        <v>322.07</v>
      </c>
      <c r="G621" s="6">
        <v>801</v>
      </c>
      <c r="H621" s="12">
        <f>tbl_base_ni_ri[[#This Row],[ni_total]]+tbl_base_ni_ri[[#This Row],[ri_total]]</f>
        <v>1123.07</v>
      </c>
      <c r="I621" s="6" t="str">
        <f t="shared" si="9"/>
        <v>OK</v>
      </c>
      <c r="J621" s="7"/>
    </row>
    <row r="622" spans="1:10">
      <c r="A622">
        <v>2031</v>
      </c>
      <c r="B622" s="3" t="s">
        <v>47</v>
      </c>
      <c r="C622" s="6" t="s">
        <v>89</v>
      </c>
      <c r="D622" s="6" t="s">
        <v>51</v>
      </c>
      <c r="E622" s="6" t="s">
        <v>46</v>
      </c>
      <c r="F622" s="12">
        <v>344.61490000000003</v>
      </c>
      <c r="G622" s="6">
        <v>823</v>
      </c>
      <c r="H622" s="12">
        <f>tbl_base_ni_ri[[#This Row],[ni_total]]+tbl_base_ni_ri[[#This Row],[ri_total]]</f>
        <v>1167.6149</v>
      </c>
      <c r="I622" s="6" t="str">
        <f t="shared" si="9"/>
        <v>OK</v>
      </c>
      <c r="J622" s="7"/>
    </row>
    <row r="623" spans="1:10">
      <c r="A623">
        <v>2032</v>
      </c>
      <c r="B623" s="3" t="s">
        <v>47</v>
      </c>
      <c r="C623" s="6" t="s">
        <v>89</v>
      </c>
      <c r="D623" s="6" t="s">
        <v>51</v>
      </c>
      <c r="E623" s="6" t="s">
        <v>46</v>
      </c>
      <c r="F623" s="12">
        <v>368.73794300000003</v>
      </c>
      <c r="G623" s="6">
        <v>862</v>
      </c>
      <c r="H623" s="12">
        <f>tbl_base_ni_ri[[#This Row],[ni_total]]+tbl_base_ni_ri[[#This Row],[ri_total]]</f>
        <v>1230.7379430000001</v>
      </c>
      <c r="I623" s="6" t="str">
        <f t="shared" si="9"/>
        <v>OK</v>
      </c>
      <c r="J623" s="7"/>
    </row>
    <row r="624" spans="1:10">
      <c r="A624">
        <v>2033</v>
      </c>
      <c r="B624" s="3" t="s">
        <v>47</v>
      </c>
      <c r="C624" s="6" t="s">
        <v>89</v>
      </c>
      <c r="D624" s="6" t="s">
        <v>51</v>
      </c>
      <c r="E624" s="6" t="s">
        <v>46</v>
      </c>
      <c r="F624" s="12">
        <v>394.54959901000007</v>
      </c>
      <c r="G624" s="6">
        <v>903</v>
      </c>
      <c r="H624" s="12">
        <f>tbl_base_ni_ri[[#This Row],[ni_total]]+tbl_base_ni_ri[[#This Row],[ri_total]]</f>
        <v>1297.5495990100001</v>
      </c>
      <c r="I624" s="6" t="str">
        <f t="shared" si="9"/>
        <v>OK</v>
      </c>
      <c r="J624" s="7"/>
    </row>
    <row r="625" spans="1:10">
      <c r="A625">
        <v>2034</v>
      </c>
      <c r="B625" s="3" t="s">
        <v>47</v>
      </c>
      <c r="C625" s="6" t="s">
        <v>89</v>
      </c>
      <c r="D625" s="6" t="s">
        <v>51</v>
      </c>
      <c r="E625" s="6" t="s">
        <v>46</v>
      </c>
      <c r="F625" s="12">
        <v>414.27707896050009</v>
      </c>
      <c r="G625" s="6">
        <v>940</v>
      </c>
      <c r="H625" s="12">
        <f>tbl_base_ni_ri[[#This Row],[ni_total]]+tbl_base_ni_ri[[#This Row],[ri_total]]</f>
        <v>1354.2770789605001</v>
      </c>
      <c r="I625" s="6" t="str">
        <f t="shared" si="9"/>
        <v>OK</v>
      </c>
      <c r="J625" s="7"/>
    </row>
    <row r="626" spans="1:10">
      <c r="A626">
        <v>2035</v>
      </c>
      <c r="B626" s="3" t="s">
        <v>47</v>
      </c>
      <c r="C626" s="6" t="s">
        <v>89</v>
      </c>
      <c r="D626" s="6" t="s">
        <v>51</v>
      </c>
      <c r="E626" s="6" t="s">
        <v>46</v>
      </c>
      <c r="F626" s="12">
        <v>434.99093290852511</v>
      </c>
      <c r="G626" s="6">
        <v>979</v>
      </c>
      <c r="H626" s="12">
        <f>tbl_base_ni_ri[[#This Row],[ni_total]]+tbl_base_ni_ri[[#This Row],[ri_total]]</f>
        <v>1413.9909329085251</v>
      </c>
      <c r="I626" s="6" t="str">
        <f t="shared" si="9"/>
        <v>OK</v>
      </c>
      <c r="J626" s="7"/>
    </row>
    <row r="627" spans="1:10">
      <c r="A627">
        <v>2036</v>
      </c>
      <c r="B627" s="3" t="s">
        <v>47</v>
      </c>
      <c r="C627" s="6" t="s">
        <v>89</v>
      </c>
      <c r="D627" s="6" t="s">
        <v>51</v>
      </c>
      <c r="E627" s="6" t="s">
        <v>46</v>
      </c>
      <c r="F627" s="12">
        <v>456.74047955395139</v>
      </c>
      <c r="G627" s="6">
        <v>1023</v>
      </c>
      <c r="H627" s="12">
        <f>tbl_base_ni_ri[[#This Row],[ni_total]]+tbl_base_ni_ri[[#This Row],[ri_total]]</f>
        <v>1479.7404795539514</v>
      </c>
      <c r="I627" s="6" t="str">
        <f t="shared" si="9"/>
        <v>OK</v>
      </c>
      <c r="J627" s="7"/>
    </row>
    <row r="628" spans="1:10">
      <c r="A628">
        <v>2037</v>
      </c>
      <c r="B628" s="3" t="s">
        <v>47</v>
      </c>
      <c r="C628" s="6" t="s">
        <v>89</v>
      </c>
      <c r="D628" s="6" t="s">
        <v>51</v>
      </c>
      <c r="E628" s="6" t="s">
        <v>46</v>
      </c>
      <c r="F628" s="12">
        <v>470.44269394056994</v>
      </c>
      <c r="G628" s="6">
        <v>1051</v>
      </c>
      <c r="H628" s="12">
        <f>tbl_base_ni_ri[[#This Row],[ni_total]]+tbl_base_ni_ri[[#This Row],[ri_total]]</f>
        <v>1521.4426939405698</v>
      </c>
      <c r="I628" s="6" t="str">
        <f t="shared" si="9"/>
        <v>OK</v>
      </c>
      <c r="J628" s="7"/>
    </row>
    <row r="629" spans="1:10">
      <c r="A629">
        <v>2038</v>
      </c>
      <c r="B629" s="3" t="s">
        <v>47</v>
      </c>
      <c r="C629" s="6" t="s">
        <v>89</v>
      </c>
      <c r="D629" s="6" t="s">
        <v>51</v>
      </c>
      <c r="E629" s="6" t="s">
        <v>46</v>
      </c>
      <c r="F629" s="12">
        <v>484.55597475878704</v>
      </c>
      <c r="G629" s="6">
        <v>1094</v>
      </c>
      <c r="H629" s="12">
        <f>tbl_base_ni_ri[[#This Row],[ni_total]]+tbl_base_ni_ri[[#This Row],[ri_total]]</f>
        <v>1578.555974758787</v>
      </c>
      <c r="I629" s="6" t="str">
        <f t="shared" si="9"/>
        <v>OK</v>
      </c>
      <c r="J629" s="7"/>
    </row>
    <row r="630" spans="1:10">
      <c r="A630">
        <v>2039</v>
      </c>
      <c r="B630" s="3" t="s">
        <v>47</v>
      </c>
      <c r="C630" s="6" t="s">
        <v>89</v>
      </c>
      <c r="D630" s="6" t="s">
        <v>51</v>
      </c>
      <c r="E630" s="6" t="s">
        <v>46</v>
      </c>
      <c r="F630" s="12">
        <v>499.09265400155067</v>
      </c>
      <c r="G630" s="6">
        <v>1122</v>
      </c>
      <c r="H630" s="12">
        <f>tbl_base_ni_ri[[#This Row],[ni_total]]+tbl_base_ni_ri[[#This Row],[ri_total]]</f>
        <v>1621.0926540015507</v>
      </c>
      <c r="I630" s="6" t="str">
        <f t="shared" si="9"/>
        <v>OK</v>
      </c>
      <c r="J630" s="7"/>
    </row>
    <row r="631" spans="1:10">
      <c r="A631">
        <v>2040</v>
      </c>
      <c r="B631" s="3" t="s">
        <v>47</v>
      </c>
      <c r="C631" s="6" t="s">
        <v>89</v>
      </c>
      <c r="D631" s="6" t="s">
        <v>51</v>
      </c>
      <c r="E631" s="6" t="s">
        <v>46</v>
      </c>
      <c r="F631" s="12">
        <v>514.06543362159721</v>
      </c>
      <c r="G631" s="6">
        <v>1157</v>
      </c>
      <c r="H631" s="12">
        <f>tbl_base_ni_ri[[#This Row],[ni_total]]+tbl_base_ni_ri[[#This Row],[ri_total]]</f>
        <v>1671.0654336215971</v>
      </c>
      <c r="I631" s="6" t="str">
        <f t="shared" si="9"/>
        <v>OK</v>
      </c>
      <c r="J631" s="7"/>
    </row>
    <row r="632" spans="1:10">
      <c r="A632">
        <v>2030</v>
      </c>
      <c r="B632" s="3" t="s">
        <v>47</v>
      </c>
      <c r="C632" s="6" t="s">
        <v>90</v>
      </c>
      <c r="D632" s="6" t="s">
        <v>51</v>
      </c>
      <c r="E632" s="6" t="s">
        <v>46</v>
      </c>
      <c r="F632" s="12">
        <v>106.05</v>
      </c>
      <c r="G632" s="6">
        <v>217</v>
      </c>
      <c r="H632" s="12">
        <f>tbl_base_ni_ri[[#This Row],[ni_total]]+tbl_base_ni_ri[[#This Row],[ri_total]]</f>
        <v>323.05</v>
      </c>
      <c r="I632" s="6" t="str">
        <f t="shared" si="9"/>
        <v>OK</v>
      </c>
      <c r="J632" s="7"/>
    </row>
    <row r="633" spans="1:10">
      <c r="A633">
        <v>2031</v>
      </c>
      <c r="B633" s="3" t="s">
        <v>47</v>
      </c>
      <c r="C633" s="6" t="s">
        <v>90</v>
      </c>
      <c r="D633" s="6" t="s">
        <v>51</v>
      </c>
      <c r="E633" s="6" t="s">
        <v>46</v>
      </c>
      <c r="F633" s="12">
        <v>107.1105</v>
      </c>
      <c r="G633" s="6">
        <v>225</v>
      </c>
      <c r="H633" s="12">
        <f>tbl_base_ni_ri[[#This Row],[ni_total]]+tbl_base_ni_ri[[#This Row],[ri_total]]</f>
        <v>332.1105</v>
      </c>
      <c r="I633" s="6" t="str">
        <f t="shared" si="9"/>
        <v>OK</v>
      </c>
      <c r="J633" s="7"/>
    </row>
    <row r="634" spans="1:10">
      <c r="A634">
        <v>2032</v>
      </c>
      <c r="B634" s="3" t="s">
        <v>47</v>
      </c>
      <c r="C634" s="6" t="s">
        <v>90</v>
      </c>
      <c r="D634" s="6" t="s">
        <v>51</v>
      </c>
      <c r="E634" s="6" t="s">
        <v>46</v>
      </c>
      <c r="F634" s="12">
        <v>108.181605</v>
      </c>
      <c r="G634" s="6">
        <v>234</v>
      </c>
      <c r="H634" s="12">
        <f>tbl_base_ni_ri[[#This Row],[ni_total]]+tbl_base_ni_ri[[#This Row],[ri_total]]</f>
        <v>342.18160499999999</v>
      </c>
      <c r="I634" s="6" t="str">
        <f t="shared" si="9"/>
        <v>OK</v>
      </c>
      <c r="J634" s="7"/>
    </row>
    <row r="635" spans="1:10">
      <c r="A635">
        <v>2033</v>
      </c>
      <c r="B635" s="3" t="s">
        <v>47</v>
      </c>
      <c r="C635" s="6" t="s">
        <v>90</v>
      </c>
      <c r="D635" s="6" t="s">
        <v>51</v>
      </c>
      <c r="E635" s="6" t="s">
        <v>46</v>
      </c>
      <c r="F635" s="12">
        <v>109.26342105000001</v>
      </c>
      <c r="G635" s="6">
        <v>241</v>
      </c>
      <c r="H635" s="12">
        <f>tbl_base_ni_ri[[#This Row],[ni_total]]+tbl_base_ni_ri[[#This Row],[ri_total]]</f>
        <v>350.26342105000003</v>
      </c>
      <c r="I635" s="6" t="str">
        <f t="shared" si="9"/>
        <v>OK</v>
      </c>
      <c r="J635" s="7"/>
    </row>
    <row r="636" spans="1:10">
      <c r="A636">
        <v>2034</v>
      </c>
      <c r="B636" s="3" t="s">
        <v>47</v>
      </c>
      <c r="C636" s="6" t="s">
        <v>90</v>
      </c>
      <c r="D636" s="6" t="s">
        <v>51</v>
      </c>
      <c r="E636" s="6" t="s">
        <v>46</v>
      </c>
      <c r="F636" s="12">
        <v>110.3560552605</v>
      </c>
      <c r="G636" s="6">
        <v>251</v>
      </c>
      <c r="H636" s="12">
        <f>tbl_base_ni_ri[[#This Row],[ni_total]]+tbl_base_ni_ri[[#This Row],[ri_total]]</f>
        <v>361.3560552605</v>
      </c>
      <c r="I636" s="6" t="str">
        <f t="shared" si="9"/>
        <v>OK</v>
      </c>
      <c r="J636" s="7"/>
    </row>
    <row r="637" spans="1:10">
      <c r="A637">
        <v>2035</v>
      </c>
      <c r="B637" s="3" t="s">
        <v>47</v>
      </c>
      <c r="C637" s="6" t="s">
        <v>90</v>
      </c>
      <c r="D637" s="6" t="s">
        <v>51</v>
      </c>
      <c r="E637" s="6" t="s">
        <v>46</v>
      </c>
      <c r="F637" s="12">
        <v>111.459615813105</v>
      </c>
      <c r="G637" s="6">
        <v>261</v>
      </c>
      <c r="H637" s="12">
        <f>tbl_base_ni_ri[[#This Row],[ni_total]]+tbl_base_ni_ri[[#This Row],[ri_total]]</f>
        <v>372.45961581310502</v>
      </c>
      <c r="I637" s="6" t="str">
        <f t="shared" si="9"/>
        <v>OK</v>
      </c>
      <c r="J637" s="7"/>
    </row>
    <row r="638" spans="1:10">
      <c r="A638">
        <v>2036</v>
      </c>
      <c r="B638" s="3" t="s">
        <v>47</v>
      </c>
      <c r="C638" s="6" t="s">
        <v>90</v>
      </c>
      <c r="D638" s="6" t="s">
        <v>51</v>
      </c>
      <c r="E638" s="6" t="s">
        <v>46</v>
      </c>
      <c r="F638" s="12">
        <v>112.57421197123605</v>
      </c>
      <c r="G638" s="6">
        <v>268</v>
      </c>
      <c r="H638" s="12">
        <f>tbl_base_ni_ri[[#This Row],[ni_total]]+tbl_base_ni_ri[[#This Row],[ri_total]]</f>
        <v>380.57421197123608</v>
      </c>
      <c r="I638" s="6" t="str">
        <f t="shared" si="9"/>
        <v>OK</v>
      </c>
      <c r="J638" s="7"/>
    </row>
    <row r="639" spans="1:10">
      <c r="A639">
        <v>2037</v>
      </c>
      <c r="B639" s="3" t="s">
        <v>47</v>
      </c>
      <c r="C639" s="6" t="s">
        <v>90</v>
      </c>
      <c r="D639" s="6" t="s">
        <v>51</v>
      </c>
      <c r="E639" s="6" t="s">
        <v>46</v>
      </c>
      <c r="F639" s="12">
        <v>113.69995409094841</v>
      </c>
      <c r="G639" s="6">
        <v>275</v>
      </c>
      <c r="H639" s="12">
        <f>tbl_base_ni_ri[[#This Row],[ni_total]]+tbl_base_ni_ri[[#This Row],[ri_total]]</f>
        <v>388.69995409094838</v>
      </c>
      <c r="I639" s="6" t="str">
        <f t="shared" si="9"/>
        <v>OK</v>
      </c>
      <c r="J639" s="7"/>
    </row>
    <row r="640" spans="1:10">
      <c r="A640">
        <v>2038</v>
      </c>
      <c r="B640" s="3" t="s">
        <v>47</v>
      </c>
      <c r="C640" s="6" t="s">
        <v>90</v>
      </c>
      <c r="D640" s="6" t="s">
        <v>51</v>
      </c>
      <c r="E640" s="6" t="s">
        <v>46</v>
      </c>
      <c r="F640" s="12">
        <v>114.8369536318579</v>
      </c>
      <c r="G640" s="6">
        <v>283</v>
      </c>
      <c r="H640" s="12">
        <f>tbl_base_ni_ri[[#This Row],[ni_total]]+tbl_base_ni_ri[[#This Row],[ri_total]]</f>
        <v>397.83695363185791</v>
      </c>
      <c r="I640" s="6" t="str">
        <f t="shared" si="9"/>
        <v>OK</v>
      </c>
      <c r="J640" s="7"/>
    </row>
    <row r="641" spans="1:10">
      <c r="A641">
        <v>2039</v>
      </c>
      <c r="B641" s="3" t="s">
        <v>47</v>
      </c>
      <c r="C641" s="6" t="s">
        <v>90</v>
      </c>
      <c r="D641" s="6" t="s">
        <v>51</v>
      </c>
      <c r="E641" s="6" t="s">
        <v>46</v>
      </c>
      <c r="F641" s="12">
        <v>115.98532316817648</v>
      </c>
      <c r="G641" s="6">
        <v>291</v>
      </c>
      <c r="H641" s="12">
        <f>tbl_base_ni_ri[[#This Row],[ni_total]]+tbl_base_ni_ri[[#This Row],[ri_total]]</f>
        <v>406.98532316817648</v>
      </c>
      <c r="I641" s="6" t="str">
        <f t="shared" si="9"/>
        <v>OK</v>
      </c>
      <c r="J641" s="7"/>
    </row>
    <row r="642" spans="1:10">
      <c r="A642">
        <v>2040</v>
      </c>
      <c r="B642" s="3" t="s">
        <v>47</v>
      </c>
      <c r="C642" s="6" t="s">
        <v>90</v>
      </c>
      <c r="D642" s="6" t="s">
        <v>51</v>
      </c>
      <c r="E642" s="6" t="s">
        <v>46</v>
      </c>
      <c r="F642" s="12">
        <v>117.14517639985824</v>
      </c>
      <c r="G642" s="6">
        <v>296</v>
      </c>
      <c r="H642" s="12">
        <f>tbl_base_ni_ri[[#This Row],[ni_total]]+tbl_base_ni_ri[[#This Row],[ri_total]]</f>
        <v>413.14517639985826</v>
      </c>
      <c r="I642" s="6" t="str">
        <f t="shared" si="9"/>
        <v>OK</v>
      </c>
      <c r="J642" s="7"/>
    </row>
    <row r="643" spans="1:10">
      <c r="A643">
        <v>2030</v>
      </c>
      <c r="B643" s="3" t="s">
        <v>47</v>
      </c>
      <c r="C643" s="6" t="s">
        <v>91</v>
      </c>
      <c r="D643" s="6" t="s">
        <v>51</v>
      </c>
      <c r="E643" s="6" t="s">
        <v>46</v>
      </c>
      <c r="F643" s="12">
        <v>152.51</v>
      </c>
      <c r="G643" s="6">
        <v>395</v>
      </c>
      <c r="H643" s="12">
        <f>tbl_base_ni_ri[[#This Row],[ni_total]]+tbl_base_ni_ri[[#This Row],[ri_total]]</f>
        <v>547.51</v>
      </c>
      <c r="I643" s="6" t="str">
        <f t="shared" si="9"/>
        <v>OK</v>
      </c>
      <c r="J643" s="7"/>
    </row>
    <row r="644" spans="1:10">
      <c r="A644">
        <v>2031</v>
      </c>
      <c r="B644" s="3" t="s">
        <v>47</v>
      </c>
      <c r="C644" s="6" t="s">
        <v>91</v>
      </c>
      <c r="D644" s="6" t="s">
        <v>51</v>
      </c>
      <c r="E644" s="6" t="s">
        <v>46</v>
      </c>
      <c r="F644" s="12">
        <v>154.0351</v>
      </c>
      <c r="G644" s="6">
        <v>403</v>
      </c>
      <c r="H644" s="12">
        <f>tbl_base_ni_ri[[#This Row],[ni_total]]+tbl_base_ni_ri[[#This Row],[ri_total]]</f>
        <v>557.03510000000006</v>
      </c>
      <c r="I644" s="6" t="str">
        <f t="shared" si="9"/>
        <v>OK</v>
      </c>
      <c r="J644" s="7"/>
    </row>
    <row r="645" spans="1:10">
      <c r="A645">
        <v>2032</v>
      </c>
      <c r="B645" s="3" t="s">
        <v>47</v>
      </c>
      <c r="C645" s="6" t="s">
        <v>91</v>
      </c>
      <c r="D645" s="6" t="s">
        <v>51</v>
      </c>
      <c r="E645" s="6" t="s">
        <v>46</v>
      </c>
      <c r="F645" s="12">
        <v>155.57545100000002</v>
      </c>
      <c r="G645" s="6">
        <v>412</v>
      </c>
      <c r="H645" s="12">
        <f>tbl_base_ni_ri[[#This Row],[ni_total]]+tbl_base_ni_ri[[#This Row],[ri_total]]</f>
        <v>567.57545100000004</v>
      </c>
      <c r="I645" s="6" t="str">
        <f t="shared" ref="I645:I708" si="10">IF(OR(F645="",G645="",H645=""),"",IF(ABS(H645-F645-G645)&lt;0.01,"OK","Revisar MT"))</f>
        <v>OK</v>
      </c>
      <c r="J645" s="7"/>
    </row>
    <row r="646" spans="1:10">
      <c r="A646">
        <v>2033</v>
      </c>
      <c r="B646" s="3" t="s">
        <v>47</v>
      </c>
      <c r="C646" s="6" t="s">
        <v>91</v>
      </c>
      <c r="D646" s="6" t="s">
        <v>51</v>
      </c>
      <c r="E646" s="6" t="s">
        <v>46</v>
      </c>
      <c r="F646" s="12">
        <v>157.13120551000003</v>
      </c>
      <c r="G646" s="6">
        <v>421</v>
      </c>
      <c r="H646" s="12">
        <f>tbl_base_ni_ri[[#This Row],[ni_total]]+tbl_base_ni_ri[[#This Row],[ri_total]]</f>
        <v>578.13120550999997</v>
      </c>
      <c r="I646" s="6" t="str">
        <f t="shared" si="10"/>
        <v>OK</v>
      </c>
      <c r="J646" s="7"/>
    </row>
    <row r="647" spans="1:10">
      <c r="A647">
        <v>2034</v>
      </c>
      <c r="B647" s="3" t="s">
        <v>47</v>
      </c>
      <c r="C647" s="6" t="s">
        <v>91</v>
      </c>
      <c r="D647" s="6" t="s">
        <v>51</v>
      </c>
      <c r="E647" s="6" t="s">
        <v>46</v>
      </c>
      <c r="F647" s="12">
        <v>158.70251756510004</v>
      </c>
      <c r="G647" s="6">
        <v>428</v>
      </c>
      <c r="H647" s="12">
        <f>tbl_base_ni_ri[[#This Row],[ni_total]]+tbl_base_ni_ri[[#This Row],[ri_total]]</f>
        <v>586.70251756510004</v>
      </c>
      <c r="I647" s="6" t="str">
        <f t="shared" si="10"/>
        <v>OK</v>
      </c>
      <c r="J647" s="7"/>
    </row>
    <row r="648" spans="1:10">
      <c r="A648">
        <v>2035</v>
      </c>
      <c r="B648" s="3" t="s">
        <v>47</v>
      </c>
      <c r="C648" s="6" t="s">
        <v>91</v>
      </c>
      <c r="D648" s="6" t="s">
        <v>51</v>
      </c>
      <c r="E648" s="6" t="s">
        <v>46</v>
      </c>
      <c r="F648" s="12">
        <v>160.28954274075105</v>
      </c>
      <c r="G648" s="6">
        <v>435</v>
      </c>
      <c r="H648" s="12">
        <f>tbl_base_ni_ri[[#This Row],[ni_total]]+tbl_base_ni_ri[[#This Row],[ri_total]]</f>
        <v>595.28954274075102</v>
      </c>
      <c r="I648" s="6" t="str">
        <f t="shared" si="10"/>
        <v>OK</v>
      </c>
      <c r="J648" s="7"/>
    </row>
    <row r="649" spans="1:10">
      <c r="A649">
        <v>2036</v>
      </c>
      <c r="B649" s="3" t="s">
        <v>47</v>
      </c>
      <c r="C649" s="6" t="s">
        <v>91</v>
      </c>
      <c r="D649" s="6" t="s">
        <v>51</v>
      </c>
      <c r="E649" s="6" t="s">
        <v>46</v>
      </c>
      <c r="F649" s="12">
        <v>161.89243816815855</v>
      </c>
      <c r="G649" s="6">
        <v>444</v>
      </c>
      <c r="H649" s="12">
        <f>tbl_base_ni_ri[[#This Row],[ni_total]]+tbl_base_ni_ri[[#This Row],[ri_total]]</f>
        <v>605.89243816815861</v>
      </c>
      <c r="I649" s="6" t="str">
        <f t="shared" si="10"/>
        <v>OK</v>
      </c>
      <c r="J649" s="7"/>
    </row>
    <row r="650" spans="1:10">
      <c r="A650">
        <v>2037</v>
      </c>
      <c r="B650" s="3" t="s">
        <v>47</v>
      </c>
      <c r="C650" s="6" t="s">
        <v>91</v>
      </c>
      <c r="D650" s="6" t="s">
        <v>51</v>
      </c>
      <c r="E650" s="6" t="s">
        <v>46</v>
      </c>
      <c r="F650" s="12">
        <v>163.51136254984013</v>
      </c>
      <c r="G650" s="6">
        <v>449</v>
      </c>
      <c r="H650" s="12">
        <f>tbl_base_ni_ri[[#This Row],[ni_total]]+tbl_base_ni_ri[[#This Row],[ri_total]]</f>
        <v>612.5113625498401</v>
      </c>
      <c r="I650" s="6" t="str">
        <f t="shared" si="10"/>
        <v>OK</v>
      </c>
      <c r="J650" s="7"/>
    </row>
    <row r="651" spans="1:10">
      <c r="A651">
        <v>2038</v>
      </c>
      <c r="B651" s="3" t="s">
        <v>47</v>
      </c>
      <c r="C651" s="6" t="s">
        <v>91</v>
      </c>
      <c r="D651" s="6" t="s">
        <v>51</v>
      </c>
      <c r="E651" s="6" t="s">
        <v>46</v>
      </c>
      <c r="F651" s="12">
        <v>165.14647617533853</v>
      </c>
      <c r="G651" s="6">
        <v>454</v>
      </c>
      <c r="H651" s="12">
        <f>tbl_base_ni_ri[[#This Row],[ni_total]]+tbl_base_ni_ri[[#This Row],[ri_total]]</f>
        <v>619.14647617533853</v>
      </c>
      <c r="I651" s="6" t="str">
        <f t="shared" si="10"/>
        <v>OK</v>
      </c>
      <c r="J651" s="7"/>
    </row>
    <row r="652" spans="1:10">
      <c r="A652">
        <v>2039</v>
      </c>
      <c r="B652" s="3" t="s">
        <v>47</v>
      </c>
      <c r="C652" s="6" t="s">
        <v>91</v>
      </c>
      <c r="D652" s="6" t="s">
        <v>51</v>
      </c>
      <c r="E652" s="6" t="s">
        <v>46</v>
      </c>
      <c r="F652" s="12">
        <v>166.79794093709191</v>
      </c>
      <c r="G652" s="6">
        <v>462</v>
      </c>
      <c r="H652" s="12">
        <f>tbl_base_ni_ri[[#This Row],[ni_total]]+tbl_base_ni_ri[[#This Row],[ri_total]]</f>
        <v>628.79794093709188</v>
      </c>
      <c r="I652" s="6" t="str">
        <f t="shared" si="10"/>
        <v>OK</v>
      </c>
      <c r="J652" s="7"/>
    </row>
    <row r="653" spans="1:10">
      <c r="A653">
        <v>2040</v>
      </c>
      <c r="B653" s="3" t="s">
        <v>47</v>
      </c>
      <c r="C653" s="6" t="s">
        <v>91</v>
      </c>
      <c r="D653" s="6" t="s">
        <v>51</v>
      </c>
      <c r="E653" s="6" t="s">
        <v>46</v>
      </c>
      <c r="F653" s="12">
        <v>168.46592034646284</v>
      </c>
      <c r="G653" s="6">
        <v>471</v>
      </c>
      <c r="H653" s="12">
        <f>tbl_base_ni_ri[[#This Row],[ni_total]]+tbl_base_ni_ri[[#This Row],[ri_total]]</f>
        <v>639.46592034646278</v>
      </c>
      <c r="I653" s="6" t="str">
        <f t="shared" si="10"/>
        <v>OK</v>
      </c>
      <c r="J653" s="7"/>
    </row>
    <row r="654" spans="1:10">
      <c r="A654">
        <v>2030</v>
      </c>
      <c r="B654" s="3" t="s">
        <v>47</v>
      </c>
      <c r="C654" s="6" t="s">
        <v>92</v>
      </c>
      <c r="D654" s="6" t="s">
        <v>51</v>
      </c>
      <c r="E654" s="6" t="s">
        <v>46</v>
      </c>
      <c r="F654" s="12">
        <v>135.89000000000001</v>
      </c>
      <c r="G654" s="6">
        <v>434</v>
      </c>
      <c r="H654" s="12">
        <f>tbl_base_ni_ri[[#This Row],[ni_total]]+tbl_base_ni_ri[[#This Row],[ri_total]]</f>
        <v>569.89</v>
      </c>
      <c r="I654" s="6" t="str">
        <f t="shared" si="10"/>
        <v>OK</v>
      </c>
      <c r="J654" s="7"/>
    </row>
    <row r="655" spans="1:10">
      <c r="A655">
        <v>2031</v>
      </c>
      <c r="B655" s="3" t="s">
        <v>47</v>
      </c>
      <c r="C655" s="6" t="s">
        <v>92</v>
      </c>
      <c r="D655" s="6" t="s">
        <v>51</v>
      </c>
      <c r="E655" s="6" t="s">
        <v>46</v>
      </c>
      <c r="F655" s="12">
        <v>145.40230000000003</v>
      </c>
      <c r="G655" s="6">
        <v>467</v>
      </c>
      <c r="H655" s="12">
        <f>tbl_base_ni_ri[[#This Row],[ni_total]]+tbl_base_ni_ri[[#This Row],[ri_total]]</f>
        <v>612.40229999999997</v>
      </c>
      <c r="I655" s="6" t="str">
        <f t="shared" si="10"/>
        <v>OK</v>
      </c>
      <c r="J655" s="7"/>
    </row>
    <row r="656" spans="1:10">
      <c r="A656">
        <v>2032</v>
      </c>
      <c r="B656" s="3" t="s">
        <v>47</v>
      </c>
      <c r="C656" s="6" t="s">
        <v>92</v>
      </c>
      <c r="D656" s="6" t="s">
        <v>51</v>
      </c>
      <c r="E656" s="6" t="s">
        <v>46</v>
      </c>
      <c r="F656" s="12">
        <v>159.94253000000003</v>
      </c>
      <c r="G656" s="6">
        <v>497</v>
      </c>
      <c r="H656" s="12">
        <f>tbl_base_ni_ri[[#This Row],[ni_total]]+tbl_base_ni_ri[[#This Row],[ri_total]]</f>
        <v>656.94253000000003</v>
      </c>
      <c r="I656" s="6" t="str">
        <f t="shared" si="10"/>
        <v>OK</v>
      </c>
      <c r="J656" s="7"/>
    </row>
    <row r="657" spans="1:10">
      <c r="A657">
        <v>2033</v>
      </c>
      <c r="B657" s="3" t="s">
        <v>47</v>
      </c>
      <c r="C657" s="6" t="s">
        <v>92</v>
      </c>
      <c r="D657" s="6" t="s">
        <v>51</v>
      </c>
      <c r="E657" s="6" t="s">
        <v>46</v>
      </c>
      <c r="F657" s="12">
        <v>175.93678300000005</v>
      </c>
      <c r="G657" s="6">
        <v>523</v>
      </c>
      <c r="H657" s="12">
        <f>tbl_base_ni_ri[[#This Row],[ni_total]]+tbl_base_ni_ri[[#This Row],[ri_total]]</f>
        <v>698.9367830000001</v>
      </c>
      <c r="I657" s="6" t="str">
        <f t="shared" si="10"/>
        <v>OK</v>
      </c>
      <c r="J657" s="7"/>
    </row>
    <row r="658" spans="1:10">
      <c r="A658">
        <v>2034</v>
      </c>
      <c r="B658" s="3" t="s">
        <v>47</v>
      </c>
      <c r="C658" s="6" t="s">
        <v>92</v>
      </c>
      <c r="D658" s="6" t="s">
        <v>51</v>
      </c>
      <c r="E658" s="6" t="s">
        <v>46</v>
      </c>
      <c r="F658" s="12">
        <v>193.53046130000007</v>
      </c>
      <c r="G658" s="6">
        <v>556</v>
      </c>
      <c r="H658" s="12">
        <f>tbl_base_ni_ri[[#This Row],[ni_total]]+tbl_base_ni_ri[[#This Row],[ri_total]]</f>
        <v>749.53046130000007</v>
      </c>
      <c r="I658" s="6" t="str">
        <f t="shared" si="10"/>
        <v>OK</v>
      </c>
      <c r="J658" s="7"/>
    </row>
    <row r="659" spans="1:10">
      <c r="A659">
        <v>2035</v>
      </c>
      <c r="B659" s="3" t="s">
        <v>47</v>
      </c>
      <c r="C659" s="6" t="s">
        <v>92</v>
      </c>
      <c r="D659" s="6" t="s">
        <v>51</v>
      </c>
      <c r="E659" s="6" t="s">
        <v>46</v>
      </c>
      <c r="F659" s="12">
        <v>208.2387763588001</v>
      </c>
      <c r="G659" s="6">
        <v>588</v>
      </c>
      <c r="H659" s="12">
        <f>tbl_base_ni_ri[[#This Row],[ni_total]]+tbl_base_ni_ri[[#This Row],[ri_total]]</f>
        <v>796.23877635880012</v>
      </c>
      <c r="I659" s="6" t="str">
        <f t="shared" si="10"/>
        <v>OK</v>
      </c>
      <c r="J659" s="7"/>
    </row>
    <row r="660" spans="1:10">
      <c r="A660">
        <v>2036</v>
      </c>
      <c r="B660" s="3" t="s">
        <v>47</v>
      </c>
      <c r="C660" s="6" t="s">
        <v>92</v>
      </c>
      <c r="D660" s="6" t="s">
        <v>51</v>
      </c>
      <c r="E660" s="6" t="s">
        <v>46</v>
      </c>
      <c r="F660" s="12">
        <v>224.06492336206892</v>
      </c>
      <c r="G660" s="6">
        <v>601</v>
      </c>
      <c r="H660" s="12">
        <f>tbl_base_ni_ri[[#This Row],[ni_total]]+tbl_base_ni_ri[[#This Row],[ri_total]]</f>
        <v>825.06492336206895</v>
      </c>
      <c r="I660" s="6" t="str">
        <f t="shared" si="10"/>
        <v>OK</v>
      </c>
      <c r="J660" s="7"/>
    </row>
    <row r="661" spans="1:10">
      <c r="A661">
        <v>2037</v>
      </c>
      <c r="B661" s="3" t="s">
        <v>47</v>
      </c>
      <c r="C661" s="6" t="s">
        <v>92</v>
      </c>
      <c r="D661" s="6" t="s">
        <v>51</v>
      </c>
      <c r="E661" s="6" t="s">
        <v>46</v>
      </c>
      <c r="F661" s="12">
        <v>241.09385753758619</v>
      </c>
      <c r="G661" s="6">
        <v>623</v>
      </c>
      <c r="H661" s="12">
        <f>tbl_base_ni_ri[[#This Row],[ni_total]]+tbl_base_ni_ri[[#This Row],[ri_total]]</f>
        <v>864.09385753758625</v>
      </c>
      <c r="I661" s="6" t="str">
        <f t="shared" si="10"/>
        <v>OK</v>
      </c>
      <c r="J661" s="7"/>
    </row>
    <row r="662" spans="1:10">
      <c r="A662">
        <v>2038</v>
      </c>
      <c r="B662" s="3" t="s">
        <v>47</v>
      </c>
      <c r="C662" s="6" t="s">
        <v>92</v>
      </c>
      <c r="D662" s="6" t="s">
        <v>51</v>
      </c>
      <c r="E662" s="6" t="s">
        <v>46</v>
      </c>
      <c r="F662" s="12">
        <v>259.41699071044275</v>
      </c>
      <c r="G662" s="6">
        <v>645</v>
      </c>
      <c r="H662" s="12">
        <f>tbl_base_ni_ri[[#This Row],[ni_total]]+tbl_base_ni_ri[[#This Row],[ri_total]]</f>
        <v>904.41699071044275</v>
      </c>
      <c r="I662" s="6" t="str">
        <f t="shared" si="10"/>
        <v>OK</v>
      </c>
      <c r="J662" s="7"/>
    </row>
    <row r="663" spans="1:10">
      <c r="A663">
        <v>2039</v>
      </c>
      <c r="B663" s="3" t="s">
        <v>47</v>
      </c>
      <c r="C663" s="6" t="s">
        <v>92</v>
      </c>
      <c r="D663" s="6" t="s">
        <v>51</v>
      </c>
      <c r="E663" s="6" t="s">
        <v>46</v>
      </c>
      <c r="F663" s="12">
        <v>279.13268200443639</v>
      </c>
      <c r="G663" s="6">
        <v>670</v>
      </c>
      <c r="H663" s="12">
        <f>tbl_base_ni_ri[[#This Row],[ni_total]]+tbl_base_ni_ri[[#This Row],[ri_total]]</f>
        <v>949.13268200443645</v>
      </c>
      <c r="I663" s="6" t="str">
        <f t="shared" si="10"/>
        <v>OK</v>
      </c>
      <c r="J663" s="7"/>
    </row>
    <row r="664" spans="1:10">
      <c r="A664">
        <v>2040</v>
      </c>
      <c r="B664" s="3" t="s">
        <v>47</v>
      </c>
      <c r="C664" s="6" t="s">
        <v>92</v>
      </c>
      <c r="D664" s="6" t="s">
        <v>51</v>
      </c>
      <c r="E664" s="6" t="s">
        <v>46</v>
      </c>
      <c r="F664" s="12">
        <v>300.34676583677356</v>
      </c>
      <c r="G664" s="6">
        <v>900</v>
      </c>
      <c r="H664" s="12">
        <f>tbl_base_ni_ri[[#This Row],[ni_total]]+tbl_base_ni_ri[[#This Row],[ri_total]]</f>
        <v>1200.3467658367736</v>
      </c>
      <c r="I664" s="6" t="str">
        <f t="shared" si="10"/>
        <v>OK</v>
      </c>
      <c r="J664" s="7"/>
    </row>
    <row r="665" spans="1:10">
      <c r="A665">
        <v>2030</v>
      </c>
      <c r="B665" s="3" t="s">
        <v>47</v>
      </c>
      <c r="C665" s="6" t="s">
        <v>93</v>
      </c>
      <c r="D665" s="6" t="s">
        <v>51</v>
      </c>
      <c r="E665" s="6" t="s">
        <v>46</v>
      </c>
      <c r="F665" s="12">
        <v>131.25</v>
      </c>
      <c r="G665" s="6">
        <v>221</v>
      </c>
      <c r="H665" s="12">
        <f>tbl_base_ni_ri[[#This Row],[ni_total]]+tbl_base_ni_ri[[#This Row],[ri_total]]</f>
        <v>352.25</v>
      </c>
      <c r="I665" s="6" t="str">
        <f t="shared" si="10"/>
        <v>OK</v>
      </c>
      <c r="J665" s="7"/>
    </row>
    <row r="666" spans="1:10">
      <c r="A666">
        <v>2031</v>
      </c>
      <c r="B666" s="3" t="s">
        <v>47</v>
      </c>
      <c r="C666" s="6" t="s">
        <v>93</v>
      </c>
      <c r="D666" s="6" t="s">
        <v>51</v>
      </c>
      <c r="E666" s="6" t="s">
        <v>46</v>
      </c>
      <c r="F666" s="12">
        <v>137.8125</v>
      </c>
      <c r="G666" s="6">
        <v>234</v>
      </c>
      <c r="H666" s="12">
        <f>tbl_base_ni_ri[[#This Row],[ni_total]]+tbl_base_ni_ri[[#This Row],[ri_total]]</f>
        <v>371.8125</v>
      </c>
      <c r="I666" s="6" t="str">
        <f t="shared" si="10"/>
        <v>OK</v>
      </c>
      <c r="J666" s="7"/>
    </row>
    <row r="667" spans="1:10">
      <c r="A667">
        <v>2032</v>
      </c>
      <c r="B667" s="3" t="s">
        <v>47</v>
      </c>
      <c r="C667" s="6" t="s">
        <v>93</v>
      </c>
      <c r="D667" s="6" t="s">
        <v>51</v>
      </c>
      <c r="E667" s="6" t="s">
        <v>46</v>
      </c>
      <c r="F667" s="12">
        <v>144.703125</v>
      </c>
      <c r="G667" s="6">
        <v>245</v>
      </c>
      <c r="H667" s="12">
        <f>tbl_base_ni_ri[[#This Row],[ni_total]]+tbl_base_ni_ri[[#This Row],[ri_total]]</f>
        <v>389.703125</v>
      </c>
      <c r="I667" s="6" t="str">
        <f t="shared" si="10"/>
        <v>OK</v>
      </c>
      <c r="J667" s="7"/>
    </row>
    <row r="668" spans="1:10">
      <c r="A668">
        <v>2033</v>
      </c>
      <c r="B668" s="3" t="s">
        <v>47</v>
      </c>
      <c r="C668" s="6" t="s">
        <v>93</v>
      </c>
      <c r="D668" s="6" t="s">
        <v>51</v>
      </c>
      <c r="E668" s="6" t="s">
        <v>46</v>
      </c>
      <c r="F668" s="12">
        <v>151.93828125000002</v>
      </c>
      <c r="G668" s="6">
        <v>256</v>
      </c>
      <c r="H668" s="12">
        <f>tbl_base_ni_ri[[#This Row],[ni_total]]+tbl_base_ni_ri[[#This Row],[ri_total]]</f>
        <v>407.93828125000005</v>
      </c>
      <c r="I668" s="6" t="str">
        <f t="shared" si="10"/>
        <v>OK</v>
      </c>
      <c r="J668" s="7"/>
    </row>
    <row r="669" spans="1:10">
      <c r="A669">
        <v>2034</v>
      </c>
      <c r="B669" s="3" t="s">
        <v>47</v>
      </c>
      <c r="C669" s="6" t="s">
        <v>93</v>
      </c>
      <c r="D669" s="6" t="s">
        <v>51</v>
      </c>
      <c r="E669" s="6" t="s">
        <v>46</v>
      </c>
      <c r="F669" s="12">
        <v>158.01581250000001</v>
      </c>
      <c r="G669" s="6">
        <v>271</v>
      </c>
      <c r="H669" s="12">
        <f>tbl_base_ni_ri[[#This Row],[ni_total]]+tbl_base_ni_ri[[#This Row],[ri_total]]</f>
        <v>429.01581250000004</v>
      </c>
      <c r="I669" s="6" t="str">
        <f t="shared" si="10"/>
        <v>OK</v>
      </c>
      <c r="J669" s="7"/>
    </row>
    <row r="670" spans="1:10">
      <c r="A670">
        <v>2035</v>
      </c>
      <c r="B670" s="3" t="s">
        <v>47</v>
      </c>
      <c r="C670" s="6" t="s">
        <v>93</v>
      </c>
      <c r="D670" s="6" t="s">
        <v>51</v>
      </c>
      <c r="E670" s="6" t="s">
        <v>46</v>
      </c>
      <c r="F670" s="12">
        <v>164.33644500000003</v>
      </c>
      <c r="G670" s="6">
        <v>282</v>
      </c>
      <c r="H670" s="12">
        <f>tbl_base_ni_ri[[#This Row],[ni_total]]+tbl_base_ni_ri[[#This Row],[ri_total]]</f>
        <v>446.33644500000003</v>
      </c>
      <c r="I670" s="6" t="str">
        <f t="shared" si="10"/>
        <v>OK</v>
      </c>
      <c r="J670" s="7"/>
    </row>
    <row r="671" spans="1:10">
      <c r="A671">
        <v>2036</v>
      </c>
      <c r="B671" s="3" t="s">
        <v>47</v>
      </c>
      <c r="C671" s="6" t="s">
        <v>93</v>
      </c>
      <c r="D671" s="6" t="s">
        <v>51</v>
      </c>
      <c r="E671" s="6" t="s">
        <v>46</v>
      </c>
      <c r="F671" s="12">
        <v>170.90990280000003</v>
      </c>
      <c r="G671" s="6">
        <v>293</v>
      </c>
      <c r="H671" s="12">
        <f>tbl_base_ni_ri[[#This Row],[ni_total]]+tbl_base_ni_ri[[#This Row],[ri_total]]</f>
        <v>463.90990280000005</v>
      </c>
      <c r="I671" s="6" t="str">
        <f t="shared" si="10"/>
        <v>OK</v>
      </c>
      <c r="J671" s="7"/>
    </row>
    <row r="672" spans="1:10">
      <c r="A672">
        <v>2037</v>
      </c>
      <c r="B672" s="3" t="s">
        <v>47</v>
      </c>
      <c r="C672" s="6" t="s">
        <v>93</v>
      </c>
      <c r="D672" s="6" t="s">
        <v>51</v>
      </c>
      <c r="E672" s="6" t="s">
        <v>46</v>
      </c>
      <c r="F672" s="12">
        <v>177.40447910640003</v>
      </c>
      <c r="G672" s="6">
        <v>303</v>
      </c>
      <c r="H672" s="12">
        <f>tbl_base_ni_ri[[#This Row],[ni_total]]+tbl_base_ni_ri[[#This Row],[ri_total]]</f>
        <v>480.4044791064</v>
      </c>
      <c r="I672" s="6" t="str">
        <f t="shared" si="10"/>
        <v>OK</v>
      </c>
      <c r="J672" s="7"/>
    </row>
    <row r="673" spans="1:10">
      <c r="A673">
        <v>2038</v>
      </c>
      <c r="B673" s="3" t="s">
        <v>47</v>
      </c>
      <c r="C673" s="6" t="s">
        <v>93</v>
      </c>
      <c r="D673" s="6" t="s">
        <v>51</v>
      </c>
      <c r="E673" s="6" t="s">
        <v>46</v>
      </c>
      <c r="F673" s="12">
        <v>184.14584931244323</v>
      </c>
      <c r="G673" s="6">
        <v>310</v>
      </c>
      <c r="H673" s="12">
        <f>tbl_base_ni_ri[[#This Row],[ni_total]]+tbl_base_ni_ri[[#This Row],[ri_total]]</f>
        <v>494.14584931244326</v>
      </c>
      <c r="I673" s="6" t="str">
        <f t="shared" si="10"/>
        <v>OK</v>
      </c>
      <c r="J673" s="7"/>
    </row>
    <row r="674" spans="1:10">
      <c r="A674">
        <v>2039</v>
      </c>
      <c r="B674" s="3" t="s">
        <v>47</v>
      </c>
      <c r="C674" s="6" t="s">
        <v>93</v>
      </c>
      <c r="D674" s="6" t="s">
        <v>51</v>
      </c>
      <c r="E674" s="6" t="s">
        <v>46</v>
      </c>
      <c r="F674" s="12">
        <v>191.14339158631608</v>
      </c>
      <c r="G674" s="6">
        <v>315</v>
      </c>
      <c r="H674" s="12">
        <f>tbl_base_ni_ri[[#This Row],[ni_total]]+tbl_base_ni_ri[[#This Row],[ri_total]]</f>
        <v>506.14339158631606</v>
      </c>
      <c r="I674" s="6" t="str">
        <f t="shared" si="10"/>
        <v>OK</v>
      </c>
      <c r="J674" s="7"/>
    </row>
    <row r="675" spans="1:10">
      <c r="A675">
        <v>2040</v>
      </c>
      <c r="B675" s="3" t="s">
        <v>47</v>
      </c>
      <c r="C675" s="6" t="s">
        <v>93</v>
      </c>
      <c r="D675" s="6" t="s">
        <v>51</v>
      </c>
      <c r="E675" s="6" t="s">
        <v>46</v>
      </c>
      <c r="F675" s="12">
        <v>198.40684046659609</v>
      </c>
      <c r="G675" s="6">
        <v>502</v>
      </c>
      <c r="H675" s="12">
        <f>tbl_base_ni_ri[[#This Row],[ni_total]]+tbl_base_ni_ri[[#This Row],[ri_total]]</f>
        <v>700.40684046659612</v>
      </c>
      <c r="I675" s="6" t="str">
        <f t="shared" si="10"/>
        <v>OK</v>
      </c>
      <c r="J675" s="7"/>
    </row>
    <row r="676" spans="1:10">
      <c r="A676">
        <v>2030</v>
      </c>
      <c r="B676" s="3" t="s">
        <v>47</v>
      </c>
      <c r="C676" s="6" t="s">
        <v>94</v>
      </c>
      <c r="D676" s="6" t="s">
        <v>51</v>
      </c>
      <c r="E676" s="6" t="s">
        <v>46</v>
      </c>
      <c r="F676" s="12">
        <v>193.67000000000002</v>
      </c>
      <c r="G676" s="6">
        <v>378</v>
      </c>
      <c r="H676" s="12">
        <f>tbl_base_ni_ri[[#This Row],[ni_total]]+tbl_base_ni_ri[[#This Row],[ri_total]]</f>
        <v>571.67000000000007</v>
      </c>
      <c r="I676" s="6" t="str">
        <f t="shared" si="10"/>
        <v>OK</v>
      </c>
      <c r="J676" s="7"/>
    </row>
    <row r="677" spans="1:10">
      <c r="A677">
        <v>2031</v>
      </c>
      <c r="B677" s="3" t="s">
        <v>47</v>
      </c>
      <c r="C677" s="6" t="s">
        <v>94</v>
      </c>
      <c r="D677" s="6" t="s">
        <v>51</v>
      </c>
      <c r="E677" s="6" t="s">
        <v>46</v>
      </c>
      <c r="F677" s="12">
        <v>207.22690000000003</v>
      </c>
      <c r="G677" s="6">
        <v>413</v>
      </c>
      <c r="H677" s="12">
        <f>tbl_base_ni_ri[[#This Row],[ni_total]]+tbl_base_ni_ri[[#This Row],[ri_total]]</f>
        <v>620.2269</v>
      </c>
      <c r="I677" s="6" t="str">
        <f t="shared" si="10"/>
        <v>OK</v>
      </c>
      <c r="J677" s="7"/>
    </row>
    <row r="678" spans="1:10">
      <c r="A678">
        <v>2032</v>
      </c>
      <c r="B678" s="3" t="s">
        <v>47</v>
      </c>
      <c r="C678" s="6" t="s">
        <v>94</v>
      </c>
      <c r="D678" s="6" t="s">
        <v>51</v>
      </c>
      <c r="E678" s="6" t="s">
        <v>46</v>
      </c>
      <c r="F678" s="12">
        <v>221.73278300000004</v>
      </c>
      <c r="G678" s="6">
        <v>445</v>
      </c>
      <c r="H678" s="12">
        <f>tbl_base_ni_ri[[#This Row],[ni_total]]+tbl_base_ni_ri[[#This Row],[ri_total]]</f>
        <v>666.73278300000004</v>
      </c>
      <c r="I678" s="6" t="str">
        <f t="shared" si="10"/>
        <v>OK</v>
      </c>
      <c r="J678" s="7"/>
    </row>
    <row r="679" spans="1:10">
      <c r="A679">
        <v>2033</v>
      </c>
      <c r="B679" s="3" t="s">
        <v>47</v>
      </c>
      <c r="C679" s="6" t="s">
        <v>94</v>
      </c>
      <c r="D679" s="6" t="s">
        <v>51</v>
      </c>
      <c r="E679" s="6" t="s">
        <v>46</v>
      </c>
      <c r="F679" s="12">
        <v>237.25407781000007</v>
      </c>
      <c r="G679" s="6">
        <v>501</v>
      </c>
      <c r="H679" s="12">
        <f>tbl_base_ni_ri[[#This Row],[ni_total]]+tbl_base_ni_ri[[#This Row],[ri_total]]</f>
        <v>738.25407781000013</v>
      </c>
      <c r="I679" s="6" t="str">
        <f t="shared" si="10"/>
        <v>OK</v>
      </c>
      <c r="J679" s="7"/>
    </row>
    <row r="680" spans="1:10">
      <c r="A680">
        <v>2034</v>
      </c>
      <c r="B680" s="3" t="s">
        <v>47</v>
      </c>
      <c r="C680" s="6" t="s">
        <v>94</v>
      </c>
      <c r="D680" s="6" t="s">
        <v>51</v>
      </c>
      <c r="E680" s="6" t="s">
        <v>46</v>
      </c>
      <c r="F680" s="12">
        <v>249.11678170050007</v>
      </c>
      <c r="G680" s="6">
        <v>587</v>
      </c>
      <c r="H680" s="12">
        <f>tbl_base_ni_ri[[#This Row],[ni_total]]+tbl_base_ni_ri[[#This Row],[ri_total]]</f>
        <v>836.11678170050004</v>
      </c>
      <c r="I680" s="6" t="str">
        <f t="shared" si="10"/>
        <v>OK</v>
      </c>
      <c r="J680" s="7"/>
    </row>
    <row r="681" spans="1:10">
      <c r="A681">
        <v>2035</v>
      </c>
      <c r="B681" s="3" t="s">
        <v>47</v>
      </c>
      <c r="C681" s="6" t="s">
        <v>94</v>
      </c>
      <c r="D681" s="6" t="s">
        <v>51</v>
      </c>
      <c r="E681" s="6" t="s">
        <v>46</v>
      </c>
      <c r="F681" s="12">
        <v>261.57262078552509</v>
      </c>
      <c r="G681" s="6">
        <v>678</v>
      </c>
      <c r="H681" s="12">
        <f>tbl_base_ni_ri[[#This Row],[ni_total]]+tbl_base_ni_ri[[#This Row],[ri_total]]</f>
        <v>939.57262078552503</v>
      </c>
      <c r="I681" s="6" t="str">
        <f t="shared" si="10"/>
        <v>OK</v>
      </c>
      <c r="J681" s="7"/>
    </row>
    <row r="682" spans="1:10">
      <c r="A682">
        <v>2036</v>
      </c>
      <c r="B682" s="3" t="s">
        <v>47</v>
      </c>
      <c r="C682" s="6" t="s">
        <v>94</v>
      </c>
      <c r="D682" s="6" t="s">
        <v>51</v>
      </c>
      <c r="E682" s="6" t="s">
        <v>46</v>
      </c>
      <c r="F682" s="12">
        <v>274.65125182480136</v>
      </c>
      <c r="G682" s="6">
        <v>734</v>
      </c>
      <c r="H682" s="12">
        <f>tbl_base_ni_ri[[#This Row],[ni_total]]+tbl_base_ni_ri[[#This Row],[ri_total]]</f>
        <v>1008.6512518248014</v>
      </c>
      <c r="I682" s="6" t="str">
        <f t="shared" si="10"/>
        <v>OK</v>
      </c>
      <c r="J682" s="7"/>
    </row>
    <row r="683" spans="1:10">
      <c r="A683">
        <v>2037</v>
      </c>
      <c r="B683" s="3" t="s">
        <v>47</v>
      </c>
      <c r="C683" s="6" t="s">
        <v>94</v>
      </c>
      <c r="D683" s="6" t="s">
        <v>51</v>
      </c>
      <c r="E683" s="6" t="s">
        <v>46</v>
      </c>
      <c r="F683" s="12">
        <v>280.14427686129739</v>
      </c>
      <c r="G683" s="6">
        <v>802</v>
      </c>
      <c r="H683" s="12">
        <f>tbl_base_ni_ri[[#This Row],[ni_total]]+tbl_base_ni_ri[[#This Row],[ri_total]]</f>
        <v>1082.1442768612974</v>
      </c>
      <c r="I683" s="6" t="str">
        <f t="shared" si="10"/>
        <v>OK</v>
      </c>
      <c r="J683" s="7"/>
    </row>
    <row r="684" spans="1:10">
      <c r="A684">
        <v>2038</v>
      </c>
      <c r="B684" s="3" t="s">
        <v>47</v>
      </c>
      <c r="C684" s="6" t="s">
        <v>94</v>
      </c>
      <c r="D684" s="6" t="s">
        <v>51</v>
      </c>
      <c r="E684" s="6" t="s">
        <v>46</v>
      </c>
      <c r="F684" s="12">
        <v>285.74716239852336</v>
      </c>
      <c r="G684" s="6">
        <v>889</v>
      </c>
      <c r="H684" s="12">
        <f>tbl_base_ni_ri[[#This Row],[ni_total]]+tbl_base_ni_ri[[#This Row],[ri_total]]</f>
        <v>1174.7471623985234</v>
      </c>
      <c r="I684" s="6" t="str">
        <f t="shared" si="10"/>
        <v>OK</v>
      </c>
      <c r="J684" s="7"/>
    </row>
    <row r="685" spans="1:10">
      <c r="A685">
        <v>2039</v>
      </c>
      <c r="B685" s="3" t="s">
        <v>47</v>
      </c>
      <c r="C685" s="6" t="s">
        <v>94</v>
      </c>
      <c r="D685" s="6" t="s">
        <v>51</v>
      </c>
      <c r="E685" s="6" t="s">
        <v>46</v>
      </c>
      <c r="F685" s="12">
        <v>291.46210564649385</v>
      </c>
      <c r="G685" s="6">
        <v>945</v>
      </c>
      <c r="H685" s="12">
        <f>tbl_base_ni_ri[[#This Row],[ni_total]]+tbl_base_ni_ri[[#This Row],[ri_total]]</f>
        <v>1236.4621056464939</v>
      </c>
      <c r="I685" s="6" t="str">
        <f t="shared" si="10"/>
        <v>OK</v>
      </c>
      <c r="J685" s="7"/>
    </row>
    <row r="686" spans="1:10">
      <c r="A686">
        <v>2040</v>
      </c>
      <c r="B686" s="3" t="s">
        <v>47</v>
      </c>
      <c r="C686" s="6" t="s">
        <v>94</v>
      </c>
      <c r="D686" s="6" t="s">
        <v>51</v>
      </c>
      <c r="E686" s="6" t="s">
        <v>46</v>
      </c>
      <c r="F686" s="12">
        <v>300</v>
      </c>
      <c r="G686" s="6">
        <v>990</v>
      </c>
      <c r="H686" s="12">
        <f>tbl_base_ni_ri[[#This Row],[ni_total]]+tbl_base_ni_ri[[#This Row],[ri_total]]</f>
        <v>1290</v>
      </c>
      <c r="I686" s="6" t="str">
        <f t="shared" si="10"/>
        <v>OK</v>
      </c>
      <c r="J686" s="7"/>
    </row>
    <row r="687" spans="1:10">
      <c r="A687">
        <v>2030</v>
      </c>
      <c r="B687" s="3" t="s">
        <v>47</v>
      </c>
      <c r="C687" s="6" t="s">
        <v>95</v>
      </c>
      <c r="D687" s="6" t="s">
        <v>51</v>
      </c>
      <c r="E687" s="6" t="s">
        <v>46</v>
      </c>
      <c r="F687" s="12">
        <v>166.92000000000002</v>
      </c>
      <c r="G687" s="6">
        <v>279</v>
      </c>
      <c r="H687" s="12">
        <f>tbl_base_ni_ri[[#This Row],[ni_total]]+tbl_base_ni_ri[[#This Row],[ri_total]]</f>
        <v>445.92</v>
      </c>
      <c r="I687" s="6" t="str">
        <f t="shared" si="10"/>
        <v>OK</v>
      </c>
      <c r="J687" s="7"/>
    </row>
    <row r="688" spans="1:10">
      <c r="A688">
        <v>2031</v>
      </c>
      <c r="B688" s="3" t="s">
        <v>47</v>
      </c>
      <c r="C688" s="6" t="s">
        <v>95</v>
      </c>
      <c r="D688" s="6" t="s">
        <v>51</v>
      </c>
      <c r="E688" s="6" t="s">
        <v>46</v>
      </c>
      <c r="F688" s="12">
        <v>178.60440000000003</v>
      </c>
      <c r="G688" s="6">
        <v>362</v>
      </c>
      <c r="H688" s="12">
        <f>tbl_base_ni_ri[[#This Row],[ni_total]]+tbl_base_ni_ri[[#This Row],[ri_total]]</f>
        <v>540.60440000000006</v>
      </c>
      <c r="I688" s="6" t="str">
        <f t="shared" si="10"/>
        <v>OK</v>
      </c>
      <c r="J688" s="7"/>
    </row>
    <row r="689" spans="1:10">
      <c r="A689">
        <v>2032</v>
      </c>
      <c r="B689" s="3" t="s">
        <v>47</v>
      </c>
      <c r="C689" s="6" t="s">
        <v>95</v>
      </c>
      <c r="D689" s="6" t="s">
        <v>51</v>
      </c>
      <c r="E689" s="6" t="s">
        <v>46</v>
      </c>
      <c r="F689" s="12">
        <v>191.10670800000003</v>
      </c>
      <c r="G689" s="6">
        <v>386</v>
      </c>
      <c r="H689" s="12">
        <f>tbl_base_ni_ri[[#This Row],[ni_total]]+tbl_base_ni_ri[[#This Row],[ri_total]]</f>
        <v>577.10670800000003</v>
      </c>
      <c r="I689" s="6" t="str">
        <f t="shared" si="10"/>
        <v>OK</v>
      </c>
      <c r="J689" s="7"/>
    </row>
    <row r="690" spans="1:10">
      <c r="A690">
        <v>2033</v>
      </c>
      <c r="B690" s="3" t="s">
        <v>47</v>
      </c>
      <c r="C690" s="6" t="s">
        <v>95</v>
      </c>
      <c r="D690" s="6" t="s">
        <v>51</v>
      </c>
      <c r="E690" s="6" t="s">
        <v>46</v>
      </c>
      <c r="F690" s="12">
        <v>204.48417756000003</v>
      </c>
      <c r="G690" s="6">
        <v>413</v>
      </c>
      <c r="H690" s="12">
        <f>tbl_base_ni_ri[[#This Row],[ni_total]]+tbl_base_ni_ri[[#This Row],[ri_total]]</f>
        <v>617.48417756000003</v>
      </c>
      <c r="I690" s="6" t="str">
        <f t="shared" si="10"/>
        <v>OK</v>
      </c>
      <c r="J690" s="7"/>
    </row>
    <row r="691" spans="1:10">
      <c r="A691">
        <v>2034</v>
      </c>
      <c r="B691" s="3" t="s">
        <v>47</v>
      </c>
      <c r="C691" s="6" t="s">
        <v>95</v>
      </c>
      <c r="D691" s="6" t="s">
        <v>51</v>
      </c>
      <c r="E691" s="6" t="s">
        <v>46</v>
      </c>
      <c r="F691" s="12">
        <v>214.70838643800005</v>
      </c>
      <c r="G691" s="6">
        <v>437</v>
      </c>
      <c r="H691" s="12">
        <f>tbl_base_ni_ri[[#This Row],[ni_total]]+tbl_base_ni_ri[[#This Row],[ri_total]]</f>
        <v>651.70838643800005</v>
      </c>
      <c r="I691" s="6" t="str">
        <f t="shared" si="10"/>
        <v>OK</v>
      </c>
      <c r="J691" s="7"/>
    </row>
    <row r="692" spans="1:10">
      <c r="A692">
        <v>2035</v>
      </c>
      <c r="B692" s="3" t="s">
        <v>47</v>
      </c>
      <c r="C692" s="6" t="s">
        <v>95</v>
      </c>
      <c r="D692" s="6" t="s">
        <v>51</v>
      </c>
      <c r="E692" s="6" t="s">
        <v>46</v>
      </c>
      <c r="F692" s="12">
        <v>225.44380575990007</v>
      </c>
      <c r="G692" s="6">
        <v>456</v>
      </c>
      <c r="H692" s="12">
        <f>tbl_base_ni_ri[[#This Row],[ni_total]]+tbl_base_ni_ri[[#This Row],[ri_total]]</f>
        <v>681.4438057599001</v>
      </c>
      <c r="I692" s="6" t="str">
        <f t="shared" si="10"/>
        <v>OK</v>
      </c>
      <c r="J692" s="7"/>
    </row>
    <row r="693" spans="1:10">
      <c r="A693">
        <v>2036</v>
      </c>
      <c r="B693" s="3" t="s">
        <v>47</v>
      </c>
      <c r="C693" s="6" t="s">
        <v>95</v>
      </c>
      <c r="D693" s="6" t="s">
        <v>51</v>
      </c>
      <c r="E693" s="6" t="s">
        <v>46</v>
      </c>
      <c r="F693" s="12">
        <v>236.71599604789509</v>
      </c>
      <c r="G693" s="6">
        <v>479</v>
      </c>
      <c r="H693" s="12">
        <f>tbl_base_ni_ri[[#This Row],[ni_total]]+tbl_base_ni_ri[[#This Row],[ri_total]]</f>
        <v>715.71599604789503</v>
      </c>
      <c r="I693" s="6" t="str">
        <f t="shared" si="10"/>
        <v>OK</v>
      </c>
      <c r="J693" s="7"/>
    </row>
    <row r="694" spans="1:10">
      <c r="A694">
        <v>2037</v>
      </c>
      <c r="B694" s="3" t="s">
        <v>47</v>
      </c>
      <c r="C694" s="6" t="s">
        <v>95</v>
      </c>
      <c r="D694" s="6" t="s">
        <v>51</v>
      </c>
      <c r="E694" s="6" t="s">
        <v>46</v>
      </c>
      <c r="F694" s="12">
        <v>243.81747592933195</v>
      </c>
      <c r="G694" s="6">
        <v>501</v>
      </c>
      <c r="H694" s="12">
        <f>tbl_base_ni_ri[[#This Row],[ni_total]]+tbl_base_ni_ri[[#This Row],[ri_total]]</f>
        <v>744.81747592933198</v>
      </c>
      <c r="I694" s="6" t="str">
        <f t="shared" si="10"/>
        <v>OK</v>
      </c>
      <c r="J694" s="7"/>
    </row>
    <row r="695" spans="1:10">
      <c r="A695">
        <v>2038</v>
      </c>
      <c r="B695" s="3" t="s">
        <v>47</v>
      </c>
      <c r="C695" s="6" t="s">
        <v>95</v>
      </c>
      <c r="D695" s="6" t="s">
        <v>51</v>
      </c>
      <c r="E695" s="6" t="s">
        <v>46</v>
      </c>
      <c r="F695" s="12">
        <v>251.13200020721192</v>
      </c>
      <c r="G695" s="6">
        <v>523</v>
      </c>
      <c r="H695" s="12">
        <f>tbl_base_ni_ri[[#This Row],[ni_total]]+tbl_base_ni_ri[[#This Row],[ri_total]]</f>
        <v>774.13200020721195</v>
      </c>
      <c r="I695" s="6" t="str">
        <f t="shared" si="10"/>
        <v>OK</v>
      </c>
      <c r="J695" s="7"/>
    </row>
    <row r="696" spans="1:10">
      <c r="A696">
        <v>2039</v>
      </c>
      <c r="B696" s="3" t="s">
        <v>47</v>
      </c>
      <c r="C696" s="6" t="s">
        <v>95</v>
      </c>
      <c r="D696" s="6" t="s">
        <v>51</v>
      </c>
      <c r="E696" s="6" t="s">
        <v>46</v>
      </c>
      <c r="F696" s="12">
        <v>258.66596021342826</v>
      </c>
      <c r="G696" s="6">
        <v>538</v>
      </c>
      <c r="H696" s="12">
        <f>tbl_base_ni_ri[[#This Row],[ni_total]]+tbl_base_ni_ri[[#This Row],[ri_total]]</f>
        <v>796.66596021342821</v>
      </c>
      <c r="I696" s="6" t="str">
        <f t="shared" si="10"/>
        <v>OK</v>
      </c>
      <c r="J696" s="7"/>
    </row>
    <row r="697" spans="1:10">
      <c r="A697">
        <v>2040</v>
      </c>
      <c r="B697" s="3" t="s">
        <v>47</v>
      </c>
      <c r="C697" s="6" t="s">
        <v>95</v>
      </c>
      <c r="D697" s="6" t="s">
        <v>51</v>
      </c>
      <c r="E697" s="6" t="s">
        <v>46</v>
      </c>
      <c r="F697" s="12">
        <v>300</v>
      </c>
      <c r="G697" s="6">
        <v>553</v>
      </c>
      <c r="H697" s="12">
        <f>tbl_base_ni_ri[[#This Row],[ni_total]]+tbl_base_ni_ri[[#This Row],[ri_total]]</f>
        <v>853</v>
      </c>
      <c r="I697" s="6" t="str">
        <f t="shared" si="10"/>
        <v>OK</v>
      </c>
      <c r="J697" s="7"/>
    </row>
    <row r="698" spans="1:10">
      <c r="A698">
        <v>2030</v>
      </c>
      <c r="B698" s="6"/>
      <c r="C698" s="6" t="s">
        <v>50</v>
      </c>
      <c r="D698" t="s">
        <v>105</v>
      </c>
      <c r="E698" s="6"/>
      <c r="F698">
        <v>4876</v>
      </c>
      <c r="G698">
        <v>12494</v>
      </c>
      <c r="H698" s="12">
        <f>tbl_base_ni_ri[[#This Row],[ni_total]]+tbl_base_ni_ri[[#This Row],[ri_total]]</f>
        <v>17370</v>
      </c>
      <c r="I698" s="6" t="str">
        <f t="shared" si="10"/>
        <v>OK</v>
      </c>
      <c r="J698" s="7"/>
    </row>
    <row r="699" spans="1:10">
      <c r="A699">
        <v>2031</v>
      </c>
      <c r="B699" s="6"/>
      <c r="C699" s="6" t="s">
        <v>50</v>
      </c>
      <c r="D699" t="s">
        <v>105</v>
      </c>
      <c r="E699" s="6"/>
      <c r="F699">
        <v>4892</v>
      </c>
      <c r="G699">
        <v>12535</v>
      </c>
      <c r="H699" s="12">
        <f>tbl_base_ni_ri[[#This Row],[ni_total]]+tbl_base_ni_ri[[#This Row],[ri_total]]</f>
        <v>17427</v>
      </c>
      <c r="I699" s="6" t="str">
        <f t="shared" si="10"/>
        <v>OK</v>
      </c>
      <c r="J699" s="7"/>
    </row>
    <row r="700" spans="1:10">
      <c r="A700">
        <v>2032</v>
      </c>
      <c r="B700" s="6"/>
      <c r="C700" s="6" t="s">
        <v>50</v>
      </c>
      <c r="D700" t="s">
        <v>105</v>
      </c>
      <c r="E700" s="6"/>
      <c r="F700">
        <v>5013</v>
      </c>
      <c r="G700">
        <v>12300</v>
      </c>
      <c r="H700" s="12">
        <f>tbl_base_ni_ri[[#This Row],[ni_total]]+tbl_base_ni_ri[[#This Row],[ri_total]]</f>
        <v>17313</v>
      </c>
      <c r="I700" s="6" t="str">
        <f t="shared" si="10"/>
        <v>OK</v>
      </c>
      <c r="J700" s="7"/>
    </row>
    <row r="701" spans="1:10">
      <c r="A701">
        <v>2033</v>
      </c>
      <c r="B701" s="6"/>
      <c r="C701" s="6" t="s">
        <v>50</v>
      </c>
      <c r="D701" t="s">
        <v>105</v>
      </c>
      <c r="E701" s="6"/>
      <c r="F701">
        <v>5196</v>
      </c>
      <c r="G701">
        <v>12200</v>
      </c>
      <c r="H701" s="12">
        <f>tbl_base_ni_ri[[#This Row],[ni_total]]+tbl_base_ni_ri[[#This Row],[ri_total]]</f>
        <v>17396</v>
      </c>
      <c r="I701" s="6" t="str">
        <f t="shared" si="10"/>
        <v>OK</v>
      </c>
      <c r="J701" s="7"/>
    </row>
    <row r="702" spans="1:10">
      <c r="A702">
        <v>2034</v>
      </c>
      <c r="B702" s="6"/>
      <c r="C702" s="6" t="s">
        <v>50</v>
      </c>
      <c r="D702" t="s">
        <v>105</v>
      </c>
      <c r="E702" s="6"/>
      <c r="F702">
        <v>5482</v>
      </c>
      <c r="G702">
        <v>12150</v>
      </c>
      <c r="H702" s="12">
        <f>tbl_base_ni_ri[[#This Row],[ni_total]]+tbl_base_ni_ri[[#This Row],[ri_total]]</f>
        <v>17632</v>
      </c>
      <c r="I702" s="6" t="str">
        <f t="shared" si="10"/>
        <v>OK</v>
      </c>
      <c r="J702" s="7"/>
    </row>
    <row r="703" spans="1:10">
      <c r="A703">
        <v>2035</v>
      </c>
      <c r="B703" s="6"/>
      <c r="C703" s="6" t="s">
        <v>50</v>
      </c>
      <c r="D703" t="s">
        <v>105</v>
      </c>
      <c r="E703" s="6"/>
      <c r="F703">
        <v>5885</v>
      </c>
      <c r="G703">
        <v>12100</v>
      </c>
      <c r="H703" s="12">
        <f>tbl_base_ni_ri[[#This Row],[ni_total]]+tbl_base_ni_ri[[#This Row],[ri_total]]</f>
        <v>17985</v>
      </c>
      <c r="I703" s="6" t="str">
        <f t="shared" si="10"/>
        <v>OK</v>
      </c>
      <c r="J703" s="7"/>
    </row>
    <row r="704" spans="1:10">
      <c r="A704">
        <v>2036</v>
      </c>
      <c r="B704" s="6"/>
      <c r="C704" s="6" t="s">
        <v>50</v>
      </c>
      <c r="D704" t="s">
        <v>105</v>
      </c>
      <c r="E704" s="6"/>
      <c r="F704">
        <v>6465</v>
      </c>
      <c r="G704">
        <v>12100</v>
      </c>
      <c r="H704" s="12">
        <f>tbl_base_ni_ri[[#This Row],[ni_total]]+tbl_base_ni_ri[[#This Row],[ri_total]]</f>
        <v>18565</v>
      </c>
      <c r="I704" s="6" t="str">
        <f t="shared" si="10"/>
        <v>OK</v>
      </c>
      <c r="J704" s="7"/>
    </row>
    <row r="705" spans="1:10">
      <c r="A705">
        <v>2037</v>
      </c>
      <c r="B705" s="6"/>
      <c r="C705" s="6" t="s">
        <v>50</v>
      </c>
      <c r="D705" t="s">
        <v>105</v>
      </c>
      <c r="E705" s="6"/>
      <c r="F705">
        <v>7215</v>
      </c>
      <c r="G705">
        <v>12100</v>
      </c>
      <c r="H705" s="12">
        <f>tbl_base_ni_ri[[#This Row],[ni_total]]+tbl_base_ni_ri[[#This Row],[ri_total]]</f>
        <v>19315</v>
      </c>
      <c r="I705" s="6" t="str">
        <f t="shared" si="10"/>
        <v>OK</v>
      </c>
      <c r="J705" s="7"/>
    </row>
    <row r="706" spans="1:10">
      <c r="A706">
        <v>2038</v>
      </c>
      <c r="B706" s="6"/>
      <c r="C706" s="6" t="s">
        <v>50</v>
      </c>
      <c r="D706" t="s">
        <v>105</v>
      </c>
      <c r="E706" s="6"/>
      <c r="F706">
        <v>8105</v>
      </c>
      <c r="G706">
        <v>12350</v>
      </c>
      <c r="H706" s="12">
        <f>tbl_base_ni_ri[[#This Row],[ni_total]]+tbl_base_ni_ri[[#This Row],[ri_total]]</f>
        <v>20455</v>
      </c>
      <c r="I706" s="6" t="str">
        <f t="shared" si="10"/>
        <v>OK</v>
      </c>
      <c r="J706" s="7"/>
    </row>
    <row r="707" spans="1:10">
      <c r="A707">
        <v>2039</v>
      </c>
      <c r="B707" s="6"/>
      <c r="C707" s="6" t="s">
        <v>50</v>
      </c>
      <c r="D707" t="s">
        <v>105</v>
      </c>
      <c r="E707" s="6"/>
      <c r="F707">
        <v>9165</v>
      </c>
      <c r="G707">
        <v>12800</v>
      </c>
      <c r="H707" s="12">
        <f>tbl_base_ni_ri[[#This Row],[ni_total]]+tbl_base_ni_ri[[#This Row],[ri_total]]</f>
        <v>21965</v>
      </c>
      <c r="I707" s="6" t="str">
        <f t="shared" si="10"/>
        <v>OK</v>
      </c>
      <c r="J707" s="7"/>
    </row>
    <row r="708" spans="1:10">
      <c r="A708">
        <v>2040</v>
      </c>
      <c r="B708" s="6"/>
      <c r="C708" s="6" t="s">
        <v>50</v>
      </c>
      <c r="D708" t="s">
        <v>105</v>
      </c>
      <c r="E708" s="6"/>
      <c r="F708">
        <v>10273</v>
      </c>
      <c r="G708">
        <v>13400</v>
      </c>
      <c r="H708" s="12">
        <f>tbl_base_ni_ri[[#This Row],[ni_total]]+tbl_base_ni_ri[[#This Row],[ri_total]]</f>
        <v>23673</v>
      </c>
      <c r="I708" s="6" t="str">
        <f t="shared" si="10"/>
        <v>OK</v>
      </c>
      <c r="J708" s="7"/>
    </row>
    <row r="709" spans="1:10">
      <c r="A709">
        <v>2030</v>
      </c>
      <c r="B709" s="6"/>
      <c r="C709" s="6" t="s">
        <v>50</v>
      </c>
      <c r="D709" s="6" t="s">
        <v>106</v>
      </c>
      <c r="E709" s="6"/>
      <c r="F709">
        <v>2794</v>
      </c>
      <c r="G709">
        <v>11342</v>
      </c>
      <c r="H709" s="12">
        <f>tbl_base_ni_ri[[#This Row],[ni_total]]+tbl_base_ni_ri[[#This Row],[ri_total]]</f>
        <v>14136</v>
      </c>
      <c r="I709" s="6" t="str">
        <f t="shared" ref="I709:I772" si="11">IF(OR(F709="",G709="",H709=""),"",IF(ABS(H709-F709-G709)&lt;0.01,"OK","Revisar MT"))</f>
        <v>OK</v>
      </c>
      <c r="J709" s="7"/>
    </row>
    <row r="710" spans="1:10">
      <c r="A710">
        <v>2031</v>
      </c>
      <c r="B710" s="6"/>
      <c r="C710" s="6" t="s">
        <v>50</v>
      </c>
      <c r="D710" s="6" t="s">
        <v>106</v>
      </c>
      <c r="E710" s="6"/>
      <c r="F710">
        <v>2640</v>
      </c>
      <c r="G710">
        <v>11515</v>
      </c>
      <c r="H710" s="12">
        <f>tbl_base_ni_ri[[#This Row],[ni_total]]+tbl_base_ni_ri[[#This Row],[ri_total]]</f>
        <v>14155</v>
      </c>
      <c r="I710" s="6" t="str">
        <f t="shared" si="11"/>
        <v>OK</v>
      </c>
      <c r="J710" s="7"/>
    </row>
    <row r="711" spans="1:10">
      <c r="A711">
        <v>2032</v>
      </c>
      <c r="B711" s="6"/>
      <c r="C711" s="6" t="s">
        <v>50</v>
      </c>
      <c r="D711" s="6" t="s">
        <v>106</v>
      </c>
      <c r="E711" s="6"/>
      <c r="F711">
        <v>2379</v>
      </c>
      <c r="G711">
        <v>10448</v>
      </c>
      <c r="H711" s="12">
        <f>tbl_base_ni_ri[[#This Row],[ni_total]]+tbl_base_ni_ri[[#This Row],[ri_total]]</f>
        <v>12827</v>
      </c>
      <c r="I711" s="6" t="str">
        <f t="shared" si="11"/>
        <v>OK</v>
      </c>
      <c r="J711" s="7"/>
    </row>
    <row r="712" spans="1:10">
      <c r="A712">
        <v>2033</v>
      </c>
      <c r="B712" s="6"/>
      <c r="C712" s="6" t="s">
        <v>50</v>
      </c>
      <c r="D712" s="6" t="s">
        <v>106</v>
      </c>
      <c r="E712" s="6"/>
      <c r="F712">
        <v>2198</v>
      </c>
      <c r="G712">
        <v>9985</v>
      </c>
      <c r="H712" s="12">
        <f>tbl_base_ni_ri[[#This Row],[ni_total]]+tbl_base_ni_ri[[#This Row],[ri_total]]</f>
        <v>12183</v>
      </c>
      <c r="I712" s="6" t="str">
        <f t="shared" si="11"/>
        <v>OK</v>
      </c>
      <c r="J712" s="7"/>
    </row>
    <row r="713" spans="1:10">
      <c r="A713">
        <v>2034</v>
      </c>
      <c r="B713" s="6"/>
      <c r="C713" s="6" t="s">
        <v>50</v>
      </c>
      <c r="D713" s="6" t="s">
        <v>106</v>
      </c>
      <c r="E713" s="6"/>
      <c r="F713">
        <v>2098</v>
      </c>
      <c r="G713">
        <v>9785</v>
      </c>
      <c r="H713" s="12">
        <f>tbl_base_ni_ri[[#This Row],[ni_total]]+tbl_base_ni_ri[[#This Row],[ri_total]]</f>
        <v>11883</v>
      </c>
      <c r="I713" s="6" t="str">
        <f t="shared" si="11"/>
        <v>OK</v>
      </c>
      <c r="J713" s="7"/>
    </row>
    <row r="714" spans="1:10">
      <c r="A714">
        <v>2035</v>
      </c>
      <c r="B714" s="6"/>
      <c r="C714" s="6" t="s">
        <v>50</v>
      </c>
      <c r="D714" s="6" t="s">
        <v>106</v>
      </c>
      <c r="E714" s="6"/>
      <c r="F714">
        <v>2103</v>
      </c>
      <c r="G714">
        <v>9878</v>
      </c>
      <c r="H714" s="12">
        <f>tbl_base_ni_ri[[#This Row],[ni_total]]+tbl_base_ni_ri[[#This Row],[ri_total]]</f>
        <v>11981</v>
      </c>
      <c r="I714" s="6" t="str">
        <f t="shared" si="11"/>
        <v>OK</v>
      </c>
      <c r="J714" s="7"/>
    </row>
    <row r="715" spans="1:10">
      <c r="A715">
        <v>2036</v>
      </c>
      <c r="B715" s="6"/>
      <c r="C715" s="6" t="s">
        <v>50</v>
      </c>
      <c r="D715" s="6" t="s">
        <v>106</v>
      </c>
      <c r="E715" s="6"/>
      <c r="F715">
        <v>2152</v>
      </c>
      <c r="G715">
        <v>10256</v>
      </c>
      <c r="H715" s="12">
        <f>tbl_base_ni_ri[[#This Row],[ni_total]]+tbl_base_ni_ri[[#This Row],[ri_total]]</f>
        <v>12408</v>
      </c>
      <c r="I715" s="6" t="str">
        <f t="shared" si="11"/>
        <v>OK</v>
      </c>
      <c r="J715" s="7"/>
    </row>
    <row r="716" spans="1:10">
      <c r="A716">
        <v>2037</v>
      </c>
      <c r="B716" s="6"/>
      <c r="C716" s="6" t="s">
        <v>50</v>
      </c>
      <c r="D716" s="6" t="s">
        <v>106</v>
      </c>
      <c r="E716" s="6"/>
      <c r="F716">
        <v>2470</v>
      </c>
      <c r="G716">
        <v>11767</v>
      </c>
      <c r="H716" s="12">
        <f>tbl_base_ni_ri[[#This Row],[ni_total]]+tbl_base_ni_ri[[#This Row],[ri_total]]</f>
        <v>14237</v>
      </c>
      <c r="I716" s="6" t="str">
        <f t="shared" si="11"/>
        <v>OK</v>
      </c>
      <c r="J716" s="7"/>
    </row>
    <row r="717" spans="1:10">
      <c r="A717">
        <v>2038</v>
      </c>
      <c r="B717" s="6"/>
      <c r="C717" s="6" t="s">
        <v>50</v>
      </c>
      <c r="D717" s="6" t="s">
        <v>106</v>
      </c>
      <c r="E717" s="6"/>
      <c r="F717">
        <v>2867</v>
      </c>
      <c r="G717">
        <v>13132</v>
      </c>
      <c r="H717" s="12">
        <f>tbl_base_ni_ri[[#This Row],[ni_total]]+tbl_base_ni_ri[[#This Row],[ri_total]]</f>
        <v>15999</v>
      </c>
      <c r="I717" s="6" t="str">
        <f t="shared" si="11"/>
        <v>OK</v>
      </c>
      <c r="J717" s="7"/>
    </row>
    <row r="718" spans="1:10">
      <c r="A718">
        <v>2039</v>
      </c>
      <c r="B718" s="6"/>
      <c r="C718" s="6" t="s">
        <v>50</v>
      </c>
      <c r="D718" s="6" t="s">
        <v>106</v>
      </c>
      <c r="E718" s="6"/>
      <c r="F718">
        <v>3555</v>
      </c>
      <c r="G718">
        <v>13754</v>
      </c>
      <c r="H718" s="12">
        <f>tbl_base_ni_ri[[#This Row],[ni_total]]+tbl_base_ni_ri[[#This Row],[ri_total]]</f>
        <v>17309</v>
      </c>
      <c r="I718" s="6" t="str">
        <f t="shared" si="11"/>
        <v>OK</v>
      </c>
      <c r="J718" s="7"/>
    </row>
    <row r="719" spans="1:10">
      <c r="A719">
        <v>2040</v>
      </c>
      <c r="B719" s="6"/>
      <c r="C719" s="6" t="s">
        <v>50</v>
      </c>
      <c r="D719" s="6" t="s">
        <v>106</v>
      </c>
      <c r="E719" s="6"/>
      <c r="F719">
        <v>5395</v>
      </c>
      <c r="G719">
        <v>14145</v>
      </c>
      <c r="H719" s="12">
        <f>tbl_base_ni_ri[[#This Row],[ni_total]]+tbl_base_ni_ri[[#This Row],[ri_total]]</f>
        <v>19540</v>
      </c>
      <c r="I719" s="6" t="str">
        <f t="shared" si="11"/>
        <v>OK</v>
      </c>
      <c r="J719" s="7"/>
    </row>
    <row r="720" spans="1:10">
      <c r="A720" s="15">
        <v>2026</v>
      </c>
      <c r="B720" s="6"/>
      <c r="C720" s="6" t="s">
        <v>56</v>
      </c>
      <c r="D720" s="6" t="s">
        <v>45</v>
      </c>
      <c r="E720" s="6"/>
      <c r="F720" s="6">
        <v>180</v>
      </c>
      <c r="G720" s="6">
        <v>0</v>
      </c>
      <c r="H720" s="12">
        <f>tbl_base_ni_ri[[#This Row],[ni_total]]+tbl_base_ni_ri[[#This Row],[ri_total]]</f>
        <v>180</v>
      </c>
      <c r="I720" s="6" t="str">
        <f t="shared" si="11"/>
        <v>OK</v>
      </c>
      <c r="J720" s="7"/>
    </row>
    <row r="721" spans="1:10">
      <c r="A721" s="15">
        <v>2027</v>
      </c>
      <c r="B721" s="6"/>
      <c r="C721" s="6" t="s">
        <v>56</v>
      </c>
      <c r="D721" s="6" t="s">
        <v>45</v>
      </c>
      <c r="E721" s="6"/>
      <c r="F721" s="6">
        <v>192</v>
      </c>
      <c r="G721" s="6">
        <v>170</v>
      </c>
      <c r="H721" s="12">
        <f>tbl_base_ni_ri[[#This Row],[ni_total]]+tbl_base_ni_ri[[#This Row],[ri_total]]</f>
        <v>362</v>
      </c>
      <c r="I721" s="6" t="str">
        <f t="shared" si="11"/>
        <v>OK</v>
      </c>
      <c r="J721" s="7"/>
    </row>
    <row r="722" spans="1:10">
      <c r="A722" s="15">
        <v>2028</v>
      </c>
      <c r="B722" s="6"/>
      <c r="C722" s="6" t="s">
        <v>56</v>
      </c>
      <c r="D722" s="6" t="s">
        <v>45</v>
      </c>
      <c r="E722" s="6"/>
      <c r="F722" s="6">
        <v>222</v>
      </c>
      <c r="G722" s="6">
        <v>338</v>
      </c>
      <c r="H722" s="12">
        <f>tbl_base_ni_ri[[#This Row],[ni_total]]+tbl_base_ni_ri[[#This Row],[ri_total]]</f>
        <v>560</v>
      </c>
      <c r="I722" s="6" t="str">
        <f t="shared" si="11"/>
        <v>OK</v>
      </c>
      <c r="J722" s="7"/>
    </row>
    <row r="723" spans="1:10">
      <c r="A723" s="15">
        <v>2029</v>
      </c>
      <c r="B723" s="6"/>
      <c r="C723" s="6" t="s">
        <v>56</v>
      </c>
      <c r="D723" s="6" t="s">
        <v>45</v>
      </c>
      <c r="E723" s="6"/>
      <c r="F723" s="6">
        <v>233</v>
      </c>
      <c r="G723" s="6">
        <v>385</v>
      </c>
      <c r="H723" s="12">
        <f>tbl_base_ni_ri[[#This Row],[ni_total]]+tbl_base_ni_ri[[#This Row],[ri_total]]</f>
        <v>618</v>
      </c>
      <c r="I723" s="6" t="str">
        <f t="shared" si="11"/>
        <v>OK</v>
      </c>
      <c r="J723" s="7"/>
    </row>
    <row r="724" spans="1:10">
      <c r="A724" s="15">
        <v>2026</v>
      </c>
      <c r="B724" s="6"/>
      <c r="C724" s="6" t="s">
        <v>58</v>
      </c>
      <c r="D724" s="6" t="s">
        <v>45</v>
      </c>
      <c r="E724" s="6"/>
      <c r="F724" s="6">
        <v>300</v>
      </c>
      <c r="G724" s="6">
        <v>455</v>
      </c>
      <c r="H724" s="12">
        <f>tbl_base_ni_ri[[#This Row],[ni_total]]+tbl_base_ni_ri[[#This Row],[ri_total]]</f>
        <v>755</v>
      </c>
      <c r="I724" s="6" t="str">
        <f t="shared" si="11"/>
        <v>OK</v>
      </c>
      <c r="J724" s="7"/>
    </row>
    <row r="725" spans="1:10">
      <c r="A725" s="15">
        <v>2027</v>
      </c>
      <c r="B725" s="6"/>
      <c r="C725" s="6" t="s">
        <v>58</v>
      </c>
      <c r="D725" s="6" t="s">
        <v>45</v>
      </c>
      <c r="E725" s="6"/>
      <c r="F725" s="6">
        <v>307</v>
      </c>
      <c r="G725" s="6">
        <v>461</v>
      </c>
      <c r="H725" s="12">
        <f>tbl_base_ni_ri[[#This Row],[ni_total]]+tbl_base_ni_ri[[#This Row],[ri_total]]</f>
        <v>768</v>
      </c>
      <c r="I725" s="6" t="str">
        <f t="shared" si="11"/>
        <v>OK</v>
      </c>
      <c r="J725" s="7"/>
    </row>
    <row r="726" spans="1:10">
      <c r="A726" s="15">
        <v>2028</v>
      </c>
      <c r="B726" s="6"/>
      <c r="C726" s="6" t="s">
        <v>58</v>
      </c>
      <c r="D726" s="6" t="s">
        <v>45</v>
      </c>
      <c r="E726" s="6"/>
      <c r="F726" s="6">
        <v>332</v>
      </c>
      <c r="G726" s="6">
        <v>490</v>
      </c>
      <c r="H726" s="12">
        <f>tbl_base_ni_ri[[#This Row],[ni_total]]+tbl_base_ni_ri[[#This Row],[ri_total]]</f>
        <v>822</v>
      </c>
      <c r="I726" s="6" t="str">
        <f t="shared" si="11"/>
        <v>OK</v>
      </c>
      <c r="J726" s="7"/>
    </row>
    <row r="727" spans="1:10">
      <c r="A727" s="15">
        <v>2029</v>
      </c>
      <c r="B727" s="6"/>
      <c r="C727" s="6" t="s">
        <v>58</v>
      </c>
      <c r="D727" s="6" t="s">
        <v>45</v>
      </c>
      <c r="E727" s="6"/>
      <c r="F727" s="6">
        <v>341</v>
      </c>
      <c r="G727" s="6">
        <v>521</v>
      </c>
      <c r="H727" s="12">
        <f>tbl_base_ni_ri[[#This Row],[ni_total]]+tbl_base_ni_ri[[#This Row],[ri_total]]</f>
        <v>862</v>
      </c>
      <c r="I727" s="6" t="str">
        <f t="shared" si="11"/>
        <v>OK</v>
      </c>
      <c r="J727" s="7"/>
    </row>
    <row r="728" spans="1:10">
      <c r="A728" s="15">
        <v>2026</v>
      </c>
      <c r="B728" s="6"/>
      <c r="C728" s="6" t="s">
        <v>60</v>
      </c>
      <c r="D728" s="6" t="s">
        <v>45</v>
      </c>
      <c r="E728" s="6"/>
      <c r="F728" s="6">
        <v>220</v>
      </c>
      <c r="G728" s="6">
        <v>346</v>
      </c>
      <c r="H728" s="12">
        <f>tbl_base_ni_ri[[#This Row],[ni_total]]+tbl_base_ni_ri[[#This Row],[ri_total]]</f>
        <v>566</v>
      </c>
      <c r="I728" s="6" t="str">
        <f t="shared" si="11"/>
        <v>OK</v>
      </c>
      <c r="J728" s="7"/>
    </row>
    <row r="729" spans="1:10">
      <c r="A729" s="15">
        <v>2027</v>
      </c>
      <c r="B729" s="6"/>
      <c r="C729" s="6" t="s">
        <v>60</v>
      </c>
      <c r="D729" s="6" t="s">
        <v>45</v>
      </c>
      <c r="E729" s="6"/>
      <c r="F729" s="6">
        <v>229</v>
      </c>
      <c r="G729" s="6">
        <v>340</v>
      </c>
      <c r="H729" s="12">
        <f>tbl_base_ni_ri[[#This Row],[ni_total]]+tbl_base_ni_ri[[#This Row],[ri_total]]</f>
        <v>569</v>
      </c>
      <c r="I729" s="6" t="str">
        <f t="shared" si="11"/>
        <v>OK</v>
      </c>
      <c r="J729" s="7"/>
    </row>
    <row r="730" spans="1:10">
      <c r="A730" s="15">
        <v>2028</v>
      </c>
      <c r="B730" s="6"/>
      <c r="C730" s="6" t="s">
        <v>60</v>
      </c>
      <c r="D730" s="6" t="s">
        <v>45</v>
      </c>
      <c r="E730" s="6"/>
      <c r="F730" s="6">
        <v>234</v>
      </c>
      <c r="G730" s="6">
        <v>369</v>
      </c>
      <c r="H730" s="12">
        <f>tbl_base_ni_ri[[#This Row],[ni_total]]+tbl_base_ni_ri[[#This Row],[ri_total]]</f>
        <v>603</v>
      </c>
      <c r="I730" s="6" t="str">
        <f t="shared" si="11"/>
        <v>OK</v>
      </c>
      <c r="J730" s="7"/>
    </row>
    <row r="731" spans="1:10">
      <c r="A731" s="15">
        <v>2029</v>
      </c>
      <c r="B731" s="6"/>
      <c r="C731" s="6" t="s">
        <v>60</v>
      </c>
      <c r="D731" s="6" t="s">
        <v>45</v>
      </c>
      <c r="E731" s="6"/>
      <c r="F731" s="6">
        <v>242</v>
      </c>
      <c r="G731" s="6">
        <v>394</v>
      </c>
      <c r="H731" s="12">
        <f>tbl_base_ni_ri[[#This Row],[ni_total]]+tbl_base_ni_ri[[#This Row],[ri_total]]</f>
        <v>636</v>
      </c>
      <c r="I731" s="6" t="str">
        <f t="shared" si="11"/>
        <v>OK</v>
      </c>
      <c r="J731" s="7"/>
    </row>
    <row r="732" spans="1:10">
      <c r="A732" s="15">
        <v>2026</v>
      </c>
      <c r="B732" s="6"/>
      <c r="C732" s="6" t="s">
        <v>62</v>
      </c>
      <c r="D732" s="6" t="s">
        <v>45</v>
      </c>
      <c r="E732" s="6"/>
      <c r="F732" s="6">
        <v>300</v>
      </c>
      <c r="G732" s="6">
        <v>483</v>
      </c>
      <c r="H732" s="12">
        <f>tbl_base_ni_ri[[#This Row],[ni_total]]+tbl_base_ni_ri[[#This Row],[ri_total]]</f>
        <v>783</v>
      </c>
      <c r="I732" s="6" t="str">
        <f t="shared" si="11"/>
        <v>OK</v>
      </c>
      <c r="J732" s="7"/>
    </row>
    <row r="733" spans="1:10">
      <c r="A733" s="15">
        <v>2027</v>
      </c>
      <c r="B733" s="6"/>
      <c r="C733" s="6" t="s">
        <v>62</v>
      </c>
      <c r="D733" s="6" t="s">
        <v>45</v>
      </c>
      <c r="E733" s="6"/>
      <c r="F733" s="6">
        <v>305</v>
      </c>
      <c r="G733" s="6">
        <v>493</v>
      </c>
      <c r="H733" s="12">
        <f>tbl_base_ni_ri[[#This Row],[ni_total]]+tbl_base_ni_ri[[#This Row],[ri_total]]</f>
        <v>798</v>
      </c>
      <c r="I733" s="6" t="str">
        <f t="shared" si="11"/>
        <v>OK</v>
      </c>
      <c r="J733" s="7"/>
    </row>
    <row r="734" spans="1:10">
      <c r="A734" s="15">
        <v>2028</v>
      </c>
      <c r="B734" s="6"/>
      <c r="C734" s="6" t="s">
        <v>62</v>
      </c>
      <c r="D734" s="6" t="s">
        <v>45</v>
      </c>
      <c r="E734" s="6"/>
      <c r="F734" s="6">
        <v>320</v>
      </c>
      <c r="G734" s="6">
        <v>550</v>
      </c>
      <c r="H734" s="12">
        <f>tbl_base_ni_ri[[#This Row],[ni_total]]+tbl_base_ni_ri[[#This Row],[ri_total]]</f>
        <v>870</v>
      </c>
      <c r="I734" s="6" t="str">
        <f t="shared" si="11"/>
        <v>OK</v>
      </c>
      <c r="J734" s="7"/>
    </row>
    <row r="735" spans="1:10">
      <c r="A735" s="15">
        <v>2029</v>
      </c>
      <c r="B735" s="6"/>
      <c r="C735" s="6" t="s">
        <v>62</v>
      </c>
      <c r="D735" s="6" t="s">
        <v>45</v>
      </c>
      <c r="E735" s="6"/>
      <c r="F735" s="6">
        <v>341</v>
      </c>
      <c r="G735" s="6">
        <v>573</v>
      </c>
      <c r="H735" s="12">
        <f>tbl_base_ni_ri[[#This Row],[ni_total]]+tbl_base_ni_ri[[#This Row],[ri_total]]</f>
        <v>914</v>
      </c>
      <c r="I735" s="6" t="str">
        <f t="shared" si="11"/>
        <v>OK</v>
      </c>
      <c r="J735" s="7"/>
    </row>
    <row r="736" spans="1:10">
      <c r="A736" s="15">
        <v>2026</v>
      </c>
      <c r="B736" s="6"/>
      <c r="C736" s="6" t="s">
        <v>64</v>
      </c>
      <c r="D736" s="6" t="s">
        <v>45</v>
      </c>
      <c r="E736" s="6"/>
      <c r="F736" s="6">
        <v>560</v>
      </c>
      <c r="G736" s="6">
        <v>1013</v>
      </c>
      <c r="H736" s="12">
        <f>tbl_base_ni_ri[[#This Row],[ni_total]]+tbl_base_ni_ri[[#This Row],[ri_total]]</f>
        <v>1573</v>
      </c>
      <c r="I736" s="6" t="str">
        <f t="shared" si="11"/>
        <v>OK</v>
      </c>
      <c r="J736" s="7"/>
    </row>
    <row r="737" spans="1:10">
      <c r="A737" s="15">
        <v>2027</v>
      </c>
      <c r="B737" s="6"/>
      <c r="C737" s="6" t="s">
        <v>64</v>
      </c>
      <c r="D737" s="6" t="s">
        <v>45</v>
      </c>
      <c r="E737" s="6"/>
      <c r="F737" s="6">
        <v>561</v>
      </c>
      <c r="G737" s="6">
        <v>1000</v>
      </c>
      <c r="H737" s="12">
        <f>tbl_base_ni_ri[[#This Row],[ni_total]]+tbl_base_ni_ri[[#This Row],[ri_total]]</f>
        <v>1561</v>
      </c>
      <c r="I737" s="6" t="str">
        <f t="shared" si="11"/>
        <v>OK</v>
      </c>
      <c r="J737" s="7"/>
    </row>
    <row r="738" spans="1:10">
      <c r="A738" s="15">
        <v>2028</v>
      </c>
      <c r="B738" s="6"/>
      <c r="C738" s="6" t="s">
        <v>64</v>
      </c>
      <c r="D738" s="6" t="s">
        <v>45</v>
      </c>
      <c r="E738" s="6"/>
      <c r="F738" s="6">
        <v>569</v>
      </c>
      <c r="G738" s="6">
        <v>976</v>
      </c>
      <c r="H738" s="12">
        <f>tbl_base_ni_ri[[#This Row],[ni_total]]+tbl_base_ni_ri[[#This Row],[ri_total]]</f>
        <v>1545</v>
      </c>
      <c r="I738" s="6" t="str">
        <f t="shared" si="11"/>
        <v>OK</v>
      </c>
      <c r="J738" s="7"/>
    </row>
    <row r="739" spans="1:10">
      <c r="A739" s="15">
        <v>2029</v>
      </c>
      <c r="B739" s="6"/>
      <c r="C739" s="6" t="s">
        <v>64</v>
      </c>
      <c r="D739" s="6" t="s">
        <v>45</v>
      </c>
      <c r="E739" s="6"/>
      <c r="F739" s="6">
        <v>581</v>
      </c>
      <c r="G739" s="6">
        <v>989</v>
      </c>
      <c r="H739" s="12">
        <f>tbl_base_ni_ri[[#This Row],[ni_total]]+tbl_base_ni_ri[[#This Row],[ri_total]]</f>
        <v>1570</v>
      </c>
      <c r="I739" s="6" t="str">
        <f t="shared" si="11"/>
        <v>OK</v>
      </c>
      <c r="J739" s="7"/>
    </row>
    <row r="740" spans="1:10">
      <c r="A740" s="15">
        <v>2026</v>
      </c>
      <c r="B740" s="6"/>
      <c r="C740" s="6" t="s">
        <v>66</v>
      </c>
      <c r="D740" s="6" t="s">
        <v>45</v>
      </c>
      <c r="E740" s="6"/>
      <c r="F740" s="6">
        <v>260</v>
      </c>
      <c r="G740" s="6">
        <v>479</v>
      </c>
      <c r="H740" s="12">
        <f>tbl_base_ni_ri[[#This Row],[ni_total]]+tbl_base_ni_ri[[#This Row],[ri_total]]</f>
        <v>739</v>
      </c>
      <c r="I740" s="6" t="str">
        <f t="shared" si="11"/>
        <v>OK</v>
      </c>
      <c r="J740" s="7"/>
    </row>
    <row r="741" spans="1:10">
      <c r="A741" s="15">
        <v>2027</v>
      </c>
      <c r="B741" s="6"/>
      <c r="C741" s="6" t="s">
        <v>66</v>
      </c>
      <c r="D741" s="6" t="s">
        <v>45</v>
      </c>
      <c r="E741" s="6"/>
      <c r="F741" s="6">
        <v>274</v>
      </c>
      <c r="G741" s="6">
        <v>468</v>
      </c>
      <c r="H741" s="12">
        <f>tbl_base_ni_ri[[#This Row],[ni_total]]+tbl_base_ni_ri[[#This Row],[ri_total]]</f>
        <v>742</v>
      </c>
      <c r="I741" s="6" t="str">
        <f t="shared" si="11"/>
        <v>OK</v>
      </c>
      <c r="J741" s="7"/>
    </row>
    <row r="742" spans="1:10">
      <c r="A742" s="15">
        <v>2028</v>
      </c>
      <c r="B742" s="6"/>
      <c r="C742" s="6" t="s">
        <v>66</v>
      </c>
      <c r="D742" s="6" t="s">
        <v>45</v>
      </c>
      <c r="E742" s="6"/>
      <c r="F742" s="6">
        <v>280</v>
      </c>
      <c r="G742" s="6">
        <v>469</v>
      </c>
      <c r="H742" s="12">
        <f>tbl_base_ni_ri[[#This Row],[ni_total]]+tbl_base_ni_ri[[#This Row],[ri_total]]</f>
        <v>749</v>
      </c>
      <c r="I742" s="6" t="str">
        <f t="shared" si="11"/>
        <v>OK</v>
      </c>
      <c r="J742" s="7"/>
    </row>
    <row r="743" spans="1:10">
      <c r="A743" s="15">
        <v>2029</v>
      </c>
      <c r="B743" s="6"/>
      <c r="C743" s="6" t="s">
        <v>66</v>
      </c>
      <c r="D743" s="6" t="s">
        <v>45</v>
      </c>
      <c r="E743" s="6"/>
      <c r="F743" s="6">
        <v>286</v>
      </c>
      <c r="G743" s="6">
        <v>494</v>
      </c>
      <c r="H743" s="12">
        <f>tbl_base_ni_ri[[#This Row],[ni_total]]+tbl_base_ni_ri[[#This Row],[ri_total]]</f>
        <v>780</v>
      </c>
      <c r="I743" s="6" t="str">
        <f t="shared" si="11"/>
        <v>OK</v>
      </c>
      <c r="J743" s="7"/>
    </row>
    <row r="744" spans="1:10">
      <c r="A744" s="15">
        <v>2026</v>
      </c>
      <c r="B744" s="6"/>
      <c r="C744" s="6" t="s">
        <v>68</v>
      </c>
      <c r="D744" s="6" t="s">
        <v>45</v>
      </c>
      <c r="E744" s="6"/>
      <c r="F744" s="6">
        <v>395</v>
      </c>
      <c r="G744" s="6">
        <v>639</v>
      </c>
      <c r="H744" s="12">
        <f>tbl_base_ni_ri[[#This Row],[ni_total]]+tbl_base_ni_ri[[#This Row],[ri_total]]</f>
        <v>1034</v>
      </c>
      <c r="I744" s="6" t="str">
        <f t="shared" si="11"/>
        <v>OK</v>
      </c>
      <c r="J744" s="7"/>
    </row>
    <row r="745" spans="1:10">
      <c r="A745" s="15">
        <v>2027</v>
      </c>
      <c r="B745" s="6"/>
      <c r="C745" s="6" t="s">
        <v>68</v>
      </c>
      <c r="D745" s="6" t="s">
        <v>45</v>
      </c>
      <c r="E745" s="6"/>
      <c r="F745" s="6">
        <v>401</v>
      </c>
      <c r="G745" s="6">
        <v>656</v>
      </c>
      <c r="H745" s="12">
        <f>tbl_base_ni_ri[[#This Row],[ni_total]]+tbl_base_ni_ri[[#This Row],[ri_total]]</f>
        <v>1057</v>
      </c>
      <c r="I745" s="6" t="str">
        <f t="shared" si="11"/>
        <v>OK</v>
      </c>
      <c r="J745" s="7"/>
    </row>
    <row r="746" spans="1:10">
      <c r="A746" s="15">
        <v>2028</v>
      </c>
      <c r="B746" s="6"/>
      <c r="C746" s="6" t="s">
        <v>68</v>
      </c>
      <c r="D746" s="6" t="s">
        <v>45</v>
      </c>
      <c r="E746" s="6"/>
      <c r="F746" s="6">
        <v>405</v>
      </c>
      <c r="G746" s="6">
        <v>673</v>
      </c>
      <c r="H746" s="12">
        <f>tbl_base_ni_ri[[#This Row],[ni_total]]+tbl_base_ni_ri[[#This Row],[ri_total]]</f>
        <v>1078</v>
      </c>
      <c r="I746" s="6" t="str">
        <f t="shared" si="11"/>
        <v>OK</v>
      </c>
      <c r="J746" s="7"/>
    </row>
    <row r="747" spans="1:10">
      <c r="A747" s="15">
        <v>2029</v>
      </c>
      <c r="B747" s="6"/>
      <c r="C747" s="6" t="s">
        <v>68</v>
      </c>
      <c r="D747" s="6" t="s">
        <v>45</v>
      </c>
      <c r="E747" s="6"/>
      <c r="F747" s="6">
        <v>409</v>
      </c>
      <c r="G747" s="6">
        <v>679</v>
      </c>
      <c r="H747" s="12">
        <f>tbl_base_ni_ri[[#This Row],[ni_total]]+tbl_base_ni_ri[[#This Row],[ri_total]]</f>
        <v>1088</v>
      </c>
      <c r="I747" s="6" t="str">
        <f t="shared" si="11"/>
        <v>OK</v>
      </c>
      <c r="J747" s="7"/>
    </row>
    <row r="748" spans="1:10">
      <c r="A748" s="15">
        <v>2026</v>
      </c>
      <c r="B748" s="6"/>
      <c r="C748" s="6" t="s">
        <v>69</v>
      </c>
      <c r="D748" s="6" t="s">
        <v>45</v>
      </c>
      <c r="E748" s="6"/>
      <c r="F748" s="6">
        <v>440</v>
      </c>
      <c r="G748" s="6">
        <v>693</v>
      </c>
      <c r="H748" s="12">
        <f>tbl_base_ni_ri[[#This Row],[ni_total]]+tbl_base_ni_ri[[#This Row],[ri_total]]</f>
        <v>1133</v>
      </c>
      <c r="I748" s="6" t="str">
        <f t="shared" si="11"/>
        <v>OK</v>
      </c>
      <c r="J748" s="7"/>
    </row>
    <row r="749" spans="1:10">
      <c r="A749" s="15">
        <v>2027</v>
      </c>
      <c r="B749" s="6"/>
      <c r="C749" s="6" t="s">
        <v>69</v>
      </c>
      <c r="D749" s="6" t="s">
        <v>45</v>
      </c>
      <c r="E749" s="6"/>
      <c r="F749" s="6">
        <v>440</v>
      </c>
      <c r="G749" s="6">
        <v>711</v>
      </c>
      <c r="H749" s="12">
        <f>tbl_base_ni_ri[[#This Row],[ni_total]]+tbl_base_ni_ri[[#This Row],[ri_total]]</f>
        <v>1151</v>
      </c>
      <c r="I749" s="6" t="str">
        <f t="shared" si="11"/>
        <v>OK</v>
      </c>
      <c r="J749" s="7"/>
    </row>
    <row r="750" spans="1:10">
      <c r="A750" s="16">
        <v>2028</v>
      </c>
      <c r="B750" s="6"/>
      <c r="C750" s="6" t="s">
        <v>69</v>
      </c>
      <c r="D750" s="6" t="s">
        <v>45</v>
      </c>
      <c r="E750" s="6"/>
      <c r="F750" s="6">
        <v>463</v>
      </c>
      <c r="G750" s="6">
        <v>699</v>
      </c>
      <c r="H750" s="12">
        <f>tbl_base_ni_ri[[#This Row],[ni_total]]+tbl_base_ni_ri[[#This Row],[ri_total]]</f>
        <v>1162</v>
      </c>
      <c r="I750" s="6" t="str">
        <f t="shared" si="11"/>
        <v>OK</v>
      </c>
      <c r="J750" s="7"/>
    </row>
    <row r="751" spans="1:10">
      <c r="A751" s="16">
        <v>2029</v>
      </c>
      <c r="B751" s="6"/>
      <c r="C751" s="6" t="s">
        <v>69</v>
      </c>
      <c r="D751" s="6" t="s">
        <v>45</v>
      </c>
      <c r="E751" s="6"/>
      <c r="F751" s="6">
        <v>523</v>
      </c>
      <c r="G751" s="6">
        <v>741</v>
      </c>
      <c r="H751" s="12">
        <f>tbl_base_ni_ri[[#This Row],[ni_total]]+tbl_base_ni_ri[[#This Row],[ri_total]]</f>
        <v>1264</v>
      </c>
      <c r="I751" s="6" t="str">
        <f t="shared" si="11"/>
        <v>OK</v>
      </c>
      <c r="J751" s="7"/>
    </row>
    <row r="752" spans="1:10">
      <c r="A752" s="16">
        <v>2026</v>
      </c>
      <c r="B752" s="6"/>
      <c r="C752" s="6" t="s">
        <v>71</v>
      </c>
      <c r="D752" s="6" t="s">
        <v>45</v>
      </c>
      <c r="E752" s="6"/>
      <c r="F752" s="6">
        <v>100</v>
      </c>
      <c r="G752" s="6">
        <v>154</v>
      </c>
      <c r="H752" s="12">
        <f>tbl_base_ni_ri[[#This Row],[ni_total]]+tbl_base_ni_ri[[#This Row],[ri_total]]</f>
        <v>254</v>
      </c>
      <c r="I752" s="6" t="str">
        <f t="shared" si="11"/>
        <v>OK</v>
      </c>
      <c r="J752" s="7"/>
    </row>
    <row r="753" spans="1:10">
      <c r="A753" s="16">
        <v>2027</v>
      </c>
      <c r="B753" s="6"/>
      <c r="C753" s="6" t="s">
        <v>71</v>
      </c>
      <c r="D753" s="6" t="s">
        <v>45</v>
      </c>
      <c r="E753" s="6"/>
      <c r="F753" s="6">
        <v>106</v>
      </c>
      <c r="G753" s="6">
        <v>177</v>
      </c>
      <c r="H753" s="12">
        <f>tbl_base_ni_ri[[#This Row],[ni_total]]+tbl_base_ni_ri[[#This Row],[ri_total]]</f>
        <v>283</v>
      </c>
      <c r="I753" s="6" t="str">
        <f t="shared" si="11"/>
        <v>OK</v>
      </c>
      <c r="J753" s="7"/>
    </row>
    <row r="754" spans="1:10">
      <c r="A754" s="16">
        <v>2028</v>
      </c>
      <c r="B754" s="6"/>
      <c r="C754" s="6" t="s">
        <v>71</v>
      </c>
      <c r="D754" s="6" t="s">
        <v>45</v>
      </c>
      <c r="E754" s="6"/>
      <c r="F754" s="6">
        <v>117</v>
      </c>
      <c r="G754" s="6">
        <v>173</v>
      </c>
      <c r="H754" s="12">
        <f>tbl_base_ni_ri[[#This Row],[ni_total]]+tbl_base_ni_ri[[#This Row],[ri_total]]</f>
        <v>290</v>
      </c>
      <c r="I754" s="6" t="str">
        <f t="shared" si="11"/>
        <v>OK</v>
      </c>
      <c r="J754" s="7"/>
    </row>
    <row r="755" spans="1:10">
      <c r="A755" s="16">
        <v>2029</v>
      </c>
      <c r="B755" s="6"/>
      <c r="C755" s="6" t="s">
        <v>71</v>
      </c>
      <c r="D755" s="6" t="s">
        <v>45</v>
      </c>
      <c r="E755" s="6"/>
      <c r="F755" s="6">
        <v>131</v>
      </c>
      <c r="G755" s="6">
        <v>195</v>
      </c>
      <c r="H755" s="12">
        <f>tbl_base_ni_ri[[#This Row],[ni_total]]+tbl_base_ni_ri[[#This Row],[ri_total]]</f>
        <v>326</v>
      </c>
      <c r="I755" s="6" t="str">
        <f t="shared" si="11"/>
        <v>OK</v>
      </c>
      <c r="J755" s="7"/>
    </row>
    <row r="756" spans="1:10">
      <c r="A756" s="16">
        <v>2026</v>
      </c>
      <c r="B756" s="6"/>
      <c r="C756" s="6" t="s">
        <v>73</v>
      </c>
      <c r="D756" s="6" t="s">
        <v>45</v>
      </c>
      <c r="E756" s="6"/>
      <c r="F756" s="6">
        <v>550</v>
      </c>
      <c r="G756" s="6">
        <v>970</v>
      </c>
      <c r="H756" s="12">
        <f>tbl_base_ni_ri[[#This Row],[ni_total]]+tbl_base_ni_ri[[#This Row],[ri_total]]</f>
        <v>1520</v>
      </c>
      <c r="I756" s="6" t="str">
        <f t="shared" si="11"/>
        <v>OK</v>
      </c>
      <c r="J756" s="7"/>
    </row>
    <row r="757" spans="1:10">
      <c r="A757" s="16">
        <v>2027</v>
      </c>
      <c r="B757" s="6"/>
      <c r="C757" s="6" t="s">
        <v>73</v>
      </c>
      <c r="D757" s="6" t="s">
        <v>45</v>
      </c>
      <c r="E757" s="6"/>
      <c r="F757" s="6">
        <v>550</v>
      </c>
      <c r="G757" s="6">
        <v>1019</v>
      </c>
      <c r="H757" s="12">
        <f>tbl_base_ni_ri[[#This Row],[ni_total]]+tbl_base_ni_ri[[#This Row],[ri_total]]</f>
        <v>1569</v>
      </c>
      <c r="I757" s="6" t="str">
        <f t="shared" si="11"/>
        <v>OK</v>
      </c>
      <c r="J757" s="7"/>
    </row>
    <row r="758" spans="1:10">
      <c r="A758" s="16">
        <v>2028</v>
      </c>
      <c r="B758" s="6"/>
      <c r="C758" s="6" t="s">
        <v>73</v>
      </c>
      <c r="D758" s="6" t="s">
        <v>45</v>
      </c>
      <c r="E758" s="6"/>
      <c r="F758" s="6">
        <v>571</v>
      </c>
      <c r="G758" s="6">
        <v>1050</v>
      </c>
      <c r="H758" s="12">
        <f>tbl_base_ni_ri[[#This Row],[ni_total]]+tbl_base_ni_ri[[#This Row],[ri_total]]</f>
        <v>1621</v>
      </c>
      <c r="I758" s="6" t="str">
        <f t="shared" si="11"/>
        <v>OK</v>
      </c>
      <c r="J758" s="7"/>
    </row>
    <row r="759" spans="1:10">
      <c r="A759" s="16">
        <v>2029</v>
      </c>
      <c r="B759" s="6"/>
      <c r="C759" s="6" t="s">
        <v>73</v>
      </c>
      <c r="D759" s="6" t="s">
        <v>45</v>
      </c>
      <c r="E759" s="6"/>
      <c r="F759" s="6">
        <v>587</v>
      </c>
      <c r="G759" s="6">
        <v>1067</v>
      </c>
      <c r="H759" s="12">
        <f>tbl_base_ni_ri[[#This Row],[ni_total]]+tbl_base_ni_ri[[#This Row],[ri_total]]</f>
        <v>1654</v>
      </c>
      <c r="I759" s="6" t="str">
        <f t="shared" si="11"/>
        <v>OK</v>
      </c>
      <c r="J759" s="7"/>
    </row>
    <row r="760" spans="1:10">
      <c r="A760" s="16">
        <v>2026</v>
      </c>
      <c r="B760" s="6"/>
      <c r="C760" s="6" t="s">
        <v>74</v>
      </c>
      <c r="D760" s="6" t="s">
        <v>45</v>
      </c>
      <c r="E760" s="6"/>
      <c r="F760" s="6">
        <v>300</v>
      </c>
      <c r="G760" s="6">
        <v>525</v>
      </c>
      <c r="H760" s="12">
        <f>tbl_base_ni_ri[[#This Row],[ni_total]]+tbl_base_ni_ri[[#This Row],[ri_total]]</f>
        <v>825</v>
      </c>
      <c r="I760" s="6" t="str">
        <f t="shared" si="11"/>
        <v>OK</v>
      </c>
      <c r="J760" s="7"/>
    </row>
    <row r="761" spans="1:10">
      <c r="A761" s="16">
        <v>2027</v>
      </c>
      <c r="B761" s="6"/>
      <c r="C761" s="6" t="s">
        <v>74</v>
      </c>
      <c r="D761" s="6" t="s">
        <v>45</v>
      </c>
      <c r="E761" s="6"/>
      <c r="F761" s="6">
        <v>300</v>
      </c>
      <c r="G761" s="6">
        <v>523</v>
      </c>
      <c r="H761" s="12">
        <f>tbl_base_ni_ri[[#This Row],[ni_total]]+tbl_base_ni_ri[[#This Row],[ri_total]]</f>
        <v>823</v>
      </c>
      <c r="I761" s="6" t="str">
        <f t="shared" si="11"/>
        <v>OK</v>
      </c>
      <c r="J761" s="7"/>
    </row>
    <row r="762" spans="1:10">
      <c r="A762" s="16">
        <v>2028</v>
      </c>
      <c r="B762" s="6"/>
      <c r="C762" s="6" t="s">
        <v>74</v>
      </c>
      <c r="D762" s="6" t="s">
        <v>45</v>
      </c>
      <c r="E762" s="6"/>
      <c r="F762" s="6">
        <v>309</v>
      </c>
      <c r="G762" s="6">
        <v>523</v>
      </c>
      <c r="H762" s="12">
        <f>tbl_base_ni_ri[[#This Row],[ni_total]]+tbl_base_ni_ri[[#This Row],[ri_total]]</f>
        <v>832</v>
      </c>
      <c r="I762" s="6" t="str">
        <f t="shared" si="11"/>
        <v>OK</v>
      </c>
      <c r="J762" s="7"/>
    </row>
    <row r="763" spans="1:10">
      <c r="A763" s="16">
        <v>2029</v>
      </c>
      <c r="B763" s="6"/>
      <c r="C763" s="6" t="s">
        <v>74</v>
      </c>
      <c r="D763" s="6" t="s">
        <v>45</v>
      </c>
      <c r="E763" s="6"/>
      <c r="F763" s="6">
        <v>318</v>
      </c>
      <c r="G763" s="6">
        <v>534</v>
      </c>
      <c r="H763" s="12">
        <f>tbl_base_ni_ri[[#This Row],[ni_total]]+tbl_base_ni_ri[[#This Row],[ri_total]]</f>
        <v>852</v>
      </c>
      <c r="I763" s="6" t="str">
        <f t="shared" si="11"/>
        <v>OK</v>
      </c>
      <c r="J763" s="7"/>
    </row>
    <row r="764" spans="1:10">
      <c r="A764" s="16">
        <v>2026</v>
      </c>
      <c r="B764" s="6"/>
      <c r="C764" s="6" t="s">
        <v>75</v>
      </c>
      <c r="D764" s="6" t="s">
        <v>45</v>
      </c>
      <c r="E764" s="6"/>
      <c r="F764" s="6">
        <v>250</v>
      </c>
      <c r="G764" s="6">
        <v>338</v>
      </c>
      <c r="H764" s="12">
        <f>tbl_base_ni_ri[[#This Row],[ni_total]]+tbl_base_ni_ri[[#This Row],[ri_total]]</f>
        <v>588</v>
      </c>
      <c r="I764" s="6" t="str">
        <f t="shared" si="11"/>
        <v>OK</v>
      </c>
      <c r="J764" s="7"/>
    </row>
    <row r="765" spans="1:10">
      <c r="A765" s="16">
        <v>2027</v>
      </c>
      <c r="B765" s="6"/>
      <c r="C765" s="6" t="s">
        <v>75</v>
      </c>
      <c r="D765" s="6" t="s">
        <v>45</v>
      </c>
      <c r="E765" s="6"/>
      <c r="F765" s="6">
        <v>260</v>
      </c>
      <c r="G765" s="6">
        <v>348</v>
      </c>
      <c r="H765" s="12">
        <f>tbl_base_ni_ri[[#This Row],[ni_total]]+tbl_base_ni_ri[[#This Row],[ri_total]]</f>
        <v>608</v>
      </c>
      <c r="I765" s="6" t="str">
        <f t="shared" si="11"/>
        <v>OK</v>
      </c>
      <c r="J765" s="7"/>
    </row>
    <row r="766" spans="1:10">
      <c r="A766" s="16">
        <v>2028</v>
      </c>
      <c r="B766" s="6"/>
      <c r="C766" s="6" t="s">
        <v>75</v>
      </c>
      <c r="D766" s="6" t="s">
        <v>45</v>
      </c>
      <c r="E766" s="6"/>
      <c r="F766" s="6">
        <v>281</v>
      </c>
      <c r="G766" s="6">
        <v>389</v>
      </c>
      <c r="H766" s="12">
        <f>tbl_base_ni_ri[[#This Row],[ni_total]]+tbl_base_ni_ri[[#This Row],[ri_total]]</f>
        <v>670</v>
      </c>
      <c r="I766" s="6" t="str">
        <f t="shared" si="11"/>
        <v>OK</v>
      </c>
      <c r="J766" s="7"/>
    </row>
    <row r="767" spans="1:10">
      <c r="A767" s="16">
        <v>2029</v>
      </c>
      <c r="B767" s="6"/>
      <c r="C767" s="6" t="s">
        <v>75</v>
      </c>
      <c r="D767" s="6" t="s">
        <v>45</v>
      </c>
      <c r="E767" s="6"/>
      <c r="F767" s="6">
        <v>302</v>
      </c>
      <c r="G767" s="6">
        <v>416</v>
      </c>
      <c r="H767" s="12">
        <f>tbl_base_ni_ri[[#This Row],[ni_total]]+tbl_base_ni_ri[[#This Row],[ri_total]]</f>
        <v>718</v>
      </c>
      <c r="I767" s="6" t="str">
        <f t="shared" si="11"/>
        <v>OK</v>
      </c>
      <c r="J767" s="7"/>
    </row>
    <row r="768" spans="1:10">
      <c r="A768" s="16">
        <v>2026</v>
      </c>
      <c r="B768" s="6"/>
      <c r="C768" s="6" t="s">
        <v>76</v>
      </c>
      <c r="D768" s="6" t="s">
        <v>45</v>
      </c>
      <c r="E768" s="6"/>
      <c r="F768" s="6">
        <v>200</v>
      </c>
      <c r="G768" s="6">
        <v>456</v>
      </c>
      <c r="H768" s="12">
        <f>tbl_base_ni_ri[[#This Row],[ni_total]]+tbl_base_ni_ri[[#This Row],[ri_total]]</f>
        <v>656</v>
      </c>
      <c r="I768" s="6" t="str">
        <f t="shared" si="11"/>
        <v>OK</v>
      </c>
      <c r="J768" s="7"/>
    </row>
    <row r="769" spans="1:10">
      <c r="A769" s="16">
        <v>2027</v>
      </c>
      <c r="B769" s="6"/>
      <c r="C769" s="6" t="s">
        <v>76</v>
      </c>
      <c r="D769" s="6" t="s">
        <v>45</v>
      </c>
      <c r="E769" s="6"/>
      <c r="F769" s="6">
        <v>218</v>
      </c>
      <c r="G769" s="6">
        <v>404</v>
      </c>
      <c r="H769" s="12">
        <f>tbl_base_ni_ri[[#This Row],[ni_total]]+tbl_base_ni_ri[[#This Row],[ri_total]]</f>
        <v>622</v>
      </c>
      <c r="I769" s="6" t="str">
        <f t="shared" si="11"/>
        <v>OK</v>
      </c>
      <c r="J769" s="7"/>
    </row>
    <row r="770" spans="1:10">
      <c r="A770" s="16">
        <v>2028</v>
      </c>
      <c r="B770" s="6"/>
      <c r="C770" s="6" t="s">
        <v>76</v>
      </c>
      <c r="D770" s="6" t="s">
        <v>45</v>
      </c>
      <c r="E770" s="6"/>
      <c r="F770" s="6">
        <v>223</v>
      </c>
      <c r="G770" s="6">
        <v>409</v>
      </c>
      <c r="H770" s="12">
        <f>tbl_base_ni_ri[[#This Row],[ni_total]]+tbl_base_ni_ri[[#This Row],[ri_total]]</f>
        <v>632</v>
      </c>
      <c r="I770" s="6" t="str">
        <f t="shared" si="11"/>
        <v>OK</v>
      </c>
      <c r="J770" s="7"/>
    </row>
    <row r="771" spans="1:10">
      <c r="A771" s="16">
        <v>2029</v>
      </c>
      <c r="B771" s="6"/>
      <c r="C771" s="6" t="s">
        <v>76</v>
      </c>
      <c r="D771" s="6" t="s">
        <v>45</v>
      </c>
      <c r="E771" s="6"/>
      <c r="F771" s="6">
        <v>225</v>
      </c>
      <c r="G771" s="6">
        <v>433</v>
      </c>
      <c r="H771" s="12">
        <f>tbl_base_ni_ri[[#This Row],[ni_total]]+tbl_base_ni_ri[[#This Row],[ri_total]]</f>
        <v>658</v>
      </c>
      <c r="I771" s="6" t="str">
        <f t="shared" si="11"/>
        <v>OK</v>
      </c>
      <c r="J771" s="7"/>
    </row>
    <row r="772" spans="1:10">
      <c r="A772" s="16">
        <v>2026</v>
      </c>
      <c r="B772" s="6"/>
      <c r="C772" s="6" t="s">
        <v>77</v>
      </c>
      <c r="D772" s="6" t="s">
        <v>45</v>
      </c>
      <c r="E772" s="6"/>
      <c r="F772" s="6">
        <v>255</v>
      </c>
      <c r="G772" s="6">
        <v>446</v>
      </c>
      <c r="H772" s="12">
        <f>tbl_base_ni_ri[[#This Row],[ni_total]]+tbl_base_ni_ri[[#This Row],[ri_total]]</f>
        <v>701</v>
      </c>
      <c r="I772" s="6" t="str">
        <f t="shared" si="11"/>
        <v>OK</v>
      </c>
      <c r="J772" s="7"/>
    </row>
    <row r="773" spans="1:10">
      <c r="A773" s="16">
        <v>2027</v>
      </c>
      <c r="B773" s="6"/>
      <c r="C773" s="6" t="s">
        <v>77</v>
      </c>
      <c r="D773" s="6" t="s">
        <v>45</v>
      </c>
      <c r="E773" s="6"/>
      <c r="F773" s="6">
        <v>273</v>
      </c>
      <c r="G773" s="6">
        <v>428</v>
      </c>
      <c r="H773" s="12">
        <f>tbl_base_ni_ri[[#This Row],[ni_total]]+tbl_base_ni_ri[[#This Row],[ri_total]]</f>
        <v>701</v>
      </c>
      <c r="I773" s="6" t="str">
        <f t="shared" ref="I773:I836" si="12">IF(OR(F773="",G773="",H773=""),"",IF(ABS(H773-F773-G773)&lt;0.01,"OK","Revisar MT"))</f>
        <v>OK</v>
      </c>
      <c r="J773" s="7"/>
    </row>
    <row r="774" spans="1:10">
      <c r="A774" s="16">
        <v>2028</v>
      </c>
      <c r="B774" s="6"/>
      <c r="C774" s="6" t="s">
        <v>77</v>
      </c>
      <c r="D774" s="6" t="s">
        <v>45</v>
      </c>
      <c r="E774" s="6"/>
      <c r="F774" s="6">
        <v>296</v>
      </c>
      <c r="G774" s="6">
        <v>466</v>
      </c>
      <c r="H774" s="12">
        <f>tbl_base_ni_ri[[#This Row],[ni_total]]+tbl_base_ni_ri[[#This Row],[ri_total]]</f>
        <v>762</v>
      </c>
      <c r="I774" s="6" t="str">
        <f t="shared" si="12"/>
        <v>OK</v>
      </c>
      <c r="J774" s="7"/>
    </row>
    <row r="775" spans="1:10">
      <c r="A775" s="16">
        <v>2029</v>
      </c>
      <c r="B775" s="6"/>
      <c r="C775" s="6" t="s">
        <v>77</v>
      </c>
      <c r="D775" s="6" t="s">
        <v>45</v>
      </c>
      <c r="E775" s="6"/>
      <c r="F775" s="6">
        <v>317</v>
      </c>
      <c r="G775" s="6">
        <v>509</v>
      </c>
      <c r="H775" s="12">
        <f>tbl_base_ni_ri[[#This Row],[ni_total]]+tbl_base_ni_ri[[#This Row],[ri_total]]</f>
        <v>826</v>
      </c>
      <c r="I775" s="6" t="str">
        <f t="shared" si="12"/>
        <v>OK</v>
      </c>
      <c r="J775" s="7"/>
    </row>
    <row r="776" spans="1:10">
      <c r="A776" s="16">
        <v>2026</v>
      </c>
      <c r="B776" s="6"/>
      <c r="C776" s="6" t="s">
        <v>78</v>
      </c>
      <c r="D776" s="6" t="s">
        <v>45</v>
      </c>
      <c r="E776" s="6"/>
      <c r="F776" s="6">
        <v>550</v>
      </c>
      <c r="G776" s="6">
        <v>841</v>
      </c>
      <c r="H776" s="12">
        <f>tbl_base_ni_ri[[#This Row],[ni_total]]+tbl_base_ni_ri[[#This Row],[ri_total]]</f>
        <v>1391</v>
      </c>
      <c r="I776" s="6" t="str">
        <f t="shared" si="12"/>
        <v>OK</v>
      </c>
      <c r="J776" s="7"/>
    </row>
    <row r="777" spans="1:10">
      <c r="A777" s="16">
        <v>2027</v>
      </c>
      <c r="B777" s="6"/>
      <c r="C777" s="6" t="s">
        <v>78</v>
      </c>
      <c r="D777" s="6" t="s">
        <v>45</v>
      </c>
      <c r="E777" s="6"/>
      <c r="F777" s="6">
        <v>569</v>
      </c>
      <c r="G777" s="6">
        <v>895</v>
      </c>
      <c r="H777" s="12">
        <f>tbl_base_ni_ri[[#This Row],[ni_total]]+tbl_base_ni_ri[[#This Row],[ri_total]]</f>
        <v>1464</v>
      </c>
      <c r="I777" s="6" t="str">
        <f t="shared" si="12"/>
        <v>OK</v>
      </c>
      <c r="J777" s="7"/>
    </row>
    <row r="778" spans="1:10">
      <c r="A778" s="16">
        <v>2028</v>
      </c>
      <c r="B778" s="6"/>
      <c r="C778" s="6" t="s">
        <v>78</v>
      </c>
      <c r="D778" s="6" t="s">
        <v>45</v>
      </c>
      <c r="E778" s="6"/>
      <c r="F778" s="6">
        <v>589</v>
      </c>
      <c r="G778" s="6">
        <v>913</v>
      </c>
      <c r="H778" s="12">
        <f>tbl_base_ni_ri[[#This Row],[ni_total]]+tbl_base_ni_ri[[#This Row],[ri_total]]</f>
        <v>1502</v>
      </c>
      <c r="I778" s="6" t="str">
        <f t="shared" si="12"/>
        <v>OK</v>
      </c>
      <c r="J778" s="7"/>
    </row>
    <row r="779" spans="1:10">
      <c r="A779" s="16">
        <v>2029</v>
      </c>
      <c r="B779" s="6"/>
      <c r="C779" s="6" t="s">
        <v>78</v>
      </c>
      <c r="D779" s="6" t="s">
        <v>45</v>
      </c>
      <c r="E779" s="6"/>
      <c r="F779" s="6">
        <v>631</v>
      </c>
      <c r="G779" s="6">
        <v>956</v>
      </c>
      <c r="H779" s="12">
        <f>tbl_base_ni_ri[[#This Row],[ni_total]]+tbl_base_ni_ri[[#This Row],[ri_total]]</f>
        <v>1587</v>
      </c>
      <c r="I779" s="6" t="str">
        <f t="shared" si="12"/>
        <v>OK</v>
      </c>
      <c r="J779" s="7"/>
    </row>
    <row r="780" spans="1:10">
      <c r="A780" s="16">
        <v>2026</v>
      </c>
      <c r="B780" s="6"/>
      <c r="C780" s="6" t="s">
        <v>79</v>
      </c>
      <c r="D780" s="6" t="s">
        <v>45</v>
      </c>
      <c r="E780" s="6"/>
      <c r="F780" s="6">
        <v>70</v>
      </c>
      <c r="G780" s="6">
        <v>135</v>
      </c>
      <c r="H780" s="12">
        <f>tbl_base_ni_ri[[#This Row],[ni_total]]+tbl_base_ni_ri[[#This Row],[ri_total]]</f>
        <v>205</v>
      </c>
      <c r="I780" s="6" t="str">
        <f t="shared" si="12"/>
        <v>OK</v>
      </c>
      <c r="J780" s="7"/>
    </row>
    <row r="781" spans="1:10">
      <c r="A781" s="16">
        <v>2027</v>
      </c>
      <c r="B781" s="6"/>
      <c r="C781" s="6" t="s">
        <v>79</v>
      </c>
      <c r="D781" s="6" t="s">
        <v>45</v>
      </c>
      <c r="E781" s="6"/>
      <c r="F781" s="6">
        <v>80</v>
      </c>
      <c r="G781" s="6">
        <v>119</v>
      </c>
      <c r="H781" s="12">
        <f>tbl_base_ni_ri[[#This Row],[ni_total]]+tbl_base_ni_ri[[#This Row],[ri_total]]</f>
        <v>199</v>
      </c>
      <c r="I781" s="6" t="str">
        <f t="shared" si="12"/>
        <v>OK</v>
      </c>
      <c r="J781" s="7"/>
    </row>
    <row r="782" spans="1:10">
      <c r="A782" s="16">
        <v>2028</v>
      </c>
      <c r="B782" s="6"/>
      <c r="C782" s="6" t="s">
        <v>79</v>
      </c>
      <c r="D782" s="6" t="s">
        <v>45</v>
      </c>
      <c r="E782" s="6"/>
      <c r="F782" s="6">
        <v>0</v>
      </c>
      <c r="G782" s="6">
        <v>128</v>
      </c>
      <c r="H782" s="12">
        <f>tbl_base_ni_ri[[#This Row],[ni_total]]+tbl_base_ni_ri[[#This Row],[ri_total]]</f>
        <v>128</v>
      </c>
      <c r="I782" s="6" t="str">
        <f t="shared" si="12"/>
        <v>OK</v>
      </c>
      <c r="J782" s="7"/>
    </row>
    <row r="783" spans="1:10">
      <c r="A783" s="16">
        <v>2029</v>
      </c>
      <c r="B783" s="6"/>
      <c r="C783" s="6" t="s">
        <v>79</v>
      </c>
      <c r="D783" s="6" t="s">
        <v>45</v>
      </c>
      <c r="E783" s="6"/>
      <c r="F783" s="6">
        <v>0</v>
      </c>
      <c r="G783" s="6">
        <v>66</v>
      </c>
      <c r="H783" s="12">
        <f>tbl_base_ni_ri[[#This Row],[ni_total]]+tbl_base_ni_ri[[#This Row],[ri_total]]</f>
        <v>66</v>
      </c>
      <c r="I783" s="6" t="str">
        <f t="shared" si="12"/>
        <v>OK</v>
      </c>
      <c r="J783" s="7"/>
    </row>
    <row r="784" spans="1:10">
      <c r="A784" s="16">
        <v>2026</v>
      </c>
      <c r="B784" s="6"/>
      <c r="C784" s="6" t="s">
        <v>80</v>
      </c>
      <c r="D784" s="6" t="s">
        <v>45</v>
      </c>
      <c r="E784" s="6"/>
      <c r="F784" s="6">
        <v>160</v>
      </c>
      <c r="G784" s="6">
        <v>258</v>
      </c>
      <c r="H784" s="12">
        <f>tbl_base_ni_ri[[#This Row],[ni_total]]+tbl_base_ni_ri[[#This Row],[ri_total]]</f>
        <v>418</v>
      </c>
      <c r="I784" s="6" t="str">
        <f t="shared" si="12"/>
        <v>OK</v>
      </c>
      <c r="J784" s="7"/>
    </row>
    <row r="785" spans="1:10">
      <c r="A785" s="16">
        <v>2027</v>
      </c>
      <c r="B785" s="6"/>
      <c r="C785" s="6" t="s">
        <v>80</v>
      </c>
      <c r="D785" s="6" t="s">
        <v>45</v>
      </c>
      <c r="E785" s="6"/>
      <c r="F785" s="6">
        <v>160</v>
      </c>
      <c r="G785" s="6">
        <v>254</v>
      </c>
      <c r="H785" s="12">
        <f>tbl_base_ni_ri[[#This Row],[ni_total]]+tbl_base_ni_ri[[#This Row],[ri_total]]</f>
        <v>414</v>
      </c>
      <c r="I785" s="6" t="str">
        <f t="shared" si="12"/>
        <v>OK</v>
      </c>
      <c r="J785" s="7"/>
    </row>
    <row r="786" spans="1:10">
      <c r="A786" s="16">
        <v>2028</v>
      </c>
      <c r="B786" s="6"/>
      <c r="C786" s="6" t="s">
        <v>80</v>
      </c>
      <c r="D786" s="6" t="s">
        <v>45</v>
      </c>
      <c r="E786" s="6"/>
      <c r="F786" s="6">
        <v>163</v>
      </c>
      <c r="G786" s="6">
        <v>268</v>
      </c>
      <c r="H786" s="12">
        <f>tbl_base_ni_ri[[#This Row],[ni_total]]+tbl_base_ni_ri[[#This Row],[ri_total]]</f>
        <v>431</v>
      </c>
      <c r="I786" s="6" t="str">
        <f t="shared" si="12"/>
        <v>OK</v>
      </c>
      <c r="J786" s="7"/>
    </row>
    <row r="787" spans="1:10">
      <c r="A787" s="16">
        <v>2029</v>
      </c>
      <c r="B787" s="6"/>
      <c r="C787" s="6" t="s">
        <v>80</v>
      </c>
      <c r="D787" s="6" t="s">
        <v>45</v>
      </c>
      <c r="E787" s="6"/>
      <c r="F787" s="6">
        <v>165</v>
      </c>
      <c r="G787" s="6">
        <v>283</v>
      </c>
      <c r="H787" s="12">
        <f>tbl_base_ni_ri[[#This Row],[ni_total]]+tbl_base_ni_ri[[#This Row],[ri_total]]</f>
        <v>448</v>
      </c>
      <c r="I787" s="6" t="str">
        <f t="shared" si="12"/>
        <v>OK</v>
      </c>
      <c r="J787" s="7"/>
    </row>
    <row r="788" spans="1:10">
      <c r="A788" s="16">
        <v>2026</v>
      </c>
      <c r="B788" s="6"/>
      <c r="C788" s="6" t="s">
        <v>81</v>
      </c>
      <c r="D788" s="6" t="s">
        <v>45</v>
      </c>
      <c r="E788" s="6"/>
      <c r="F788" s="6">
        <v>190</v>
      </c>
      <c r="G788" s="6">
        <v>277</v>
      </c>
      <c r="H788" s="12">
        <f>tbl_base_ni_ri[[#This Row],[ni_total]]+tbl_base_ni_ri[[#This Row],[ri_total]]</f>
        <v>467</v>
      </c>
      <c r="I788" s="6" t="str">
        <f t="shared" si="12"/>
        <v>OK</v>
      </c>
      <c r="J788" s="7"/>
    </row>
    <row r="789" spans="1:10">
      <c r="A789" s="16">
        <v>2027</v>
      </c>
      <c r="B789" s="6"/>
      <c r="C789" s="6" t="s">
        <v>81</v>
      </c>
      <c r="D789" s="6" t="s">
        <v>45</v>
      </c>
      <c r="E789" s="6"/>
      <c r="F789" s="6">
        <v>201</v>
      </c>
      <c r="G789" s="6">
        <v>293</v>
      </c>
      <c r="H789" s="12">
        <f>tbl_base_ni_ri[[#This Row],[ni_total]]+tbl_base_ni_ri[[#This Row],[ri_total]]</f>
        <v>494</v>
      </c>
      <c r="I789" s="6" t="str">
        <f t="shared" si="12"/>
        <v>OK</v>
      </c>
      <c r="J789" s="7"/>
    </row>
    <row r="790" spans="1:10">
      <c r="A790" s="16">
        <v>2028</v>
      </c>
      <c r="B790" s="6"/>
      <c r="C790" s="6" t="s">
        <v>81</v>
      </c>
      <c r="D790" s="6" t="s">
        <v>45</v>
      </c>
      <c r="E790" s="6"/>
      <c r="F790" s="6">
        <v>225</v>
      </c>
      <c r="G790" s="6">
        <v>315</v>
      </c>
      <c r="H790" s="12">
        <f>tbl_base_ni_ri[[#This Row],[ni_total]]+tbl_base_ni_ri[[#This Row],[ri_total]]</f>
        <v>540</v>
      </c>
      <c r="I790" s="6" t="str">
        <f t="shared" si="12"/>
        <v>OK</v>
      </c>
      <c r="J790" s="7"/>
    </row>
    <row r="791" spans="1:10">
      <c r="A791" s="16">
        <v>2029</v>
      </c>
      <c r="B791" s="6"/>
      <c r="C791" s="6" t="s">
        <v>81</v>
      </c>
      <c r="D791" s="6" t="s">
        <v>45</v>
      </c>
      <c r="E791" s="6"/>
      <c r="F791" s="6">
        <v>230</v>
      </c>
      <c r="G791" s="6">
        <v>345</v>
      </c>
      <c r="H791" s="12">
        <f>tbl_base_ni_ri[[#This Row],[ni_total]]+tbl_base_ni_ri[[#This Row],[ri_total]]</f>
        <v>575</v>
      </c>
      <c r="I791" s="6" t="str">
        <f t="shared" si="12"/>
        <v>OK</v>
      </c>
      <c r="J791" s="7"/>
    </row>
    <row r="792" spans="1:10">
      <c r="A792" s="16">
        <v>2026</v>
      </c>
      <c r="B792" s="6"/>
      <c r="C792" s="6" t="s">
        <v>82</v>
      </c>
      <c r="D792" s="6" t="s">
        <v>45</v>
      </c>
      <c r="E792" s="6"/>
      <c r="F792" s="6">
        <v>94</v>
      </c>
      <c r="G792" s="6">
        <v>100</v>
      </c>
      <c r="H792" s="12">
        <f>tbl_base_ni_ri[[#This Row],[ni_total]]+tbl_base_ni_ri[[#This Row],[ri_total]]</f>
        <v>194</v>
      </c>
      <c r="I792" s="6" t="str">
        <f t="shared" si="12"/>
        <v>OK</v>
      </c>
      <c r="J792" s="7"/>
    </row>
    <row r="793" spans="1:10">
      <c r="A793" s="16">
        <v>2027</v>
      </c>
      <c r="B793" s="6"/>
      <c r="C793" s="6" t="s">
        <v>82</v>
      </c>
      <c r="D793" s="6" t="s">
        <v>45</v>
      </c>
      <c r="E793" s="6"/>
      <c r="F793" s="6">
        <v>101</v>
      </c>
      <c r="G793" s="6">
        <v>129</v>
      </c>
      <c r="H793" s="12">
        <f>tbl_base_ni_ri[[#This Row],[ni_total]]+tbl_base_ni_ri[[#This Row],[ri_total]]</f>
        <v>230</v>
      </c>
      <c r="I793" s="6" t="str">
        <f t="shared" si="12"/>
        <v>OK</v>
      </c>
      <c r="J793" s="7"/>
    </row>
    <row r="794" spans="1:10">
      <c r="A794" s="16">
        <v>2028</v>
      </c>
      <c r="B794" s="6"/>
      <c r="C794" s="6" t="s">
        <v>82</v>
      </c>
      <c r="D794" s="6" t="s">
        <v>45</v>
      </c>
      <c r="E794" s="6"/>
      <c r="F794" s="6">
        <v>114</v>
      </c>
      <c r="G794" s="6">
        <v>129</v>
      </c>
      <c r="H794" s="12">
        <f>tbl_base_ni_ri[[#This Row],[ni_total]]+tbl_base_ni_ri[[#This Row],[ri_total]]</f>
        <v>243</v>
      </c>
      <c r="I794" s="6" t="str">
        <f t="shared" si="12"/>
        <v>OK</v>
      </c>
      <c r="J794" s="7"/>
    </row>
    <row r="795" spans="1:10">
      <c r="A795" s="16">
        <v>2029</v>
      </c>
      <c r="B795" s="6"/>
      <c r="C795" s="6" t="s">
        <v>82</v>
      </c>
      <c r="D795" s="6" t="s">
        <v>45</v>
      </c>
      <c r="E795" s="6"/>
      <c r="F795" s="6">
        <v>123</v>
      </c>
      <c r="G795" s="6">
        <v>129</v>
      </c>
      <c r="H795" s="12">
        <f>tbl_base_ni_ri[[#This Row],[ni_total]]+tbl_base_ni_ri[[#This Row],[ri_total]]</f>
        <v>252</v>
      </c>
      <c r="I795" s="6" t="str">
        <f t="shared" si="12"/>
        <v>OK</v>
      </c>
      <c r="J795" s="7"/>
    </row>
    <row r="796" spans="1:10">
      <c r="A796" s="16">
        <v>2026</v>
      </c>
      <c r="B796" s="6"/>
      <c r="C796" s="6" t="s">
        <v>83</v>
      </c>
      <c r="D796" s="6" t="s">
        <v>45</v>
      </c>
      <c r="E796" s="6"/>
      <c r="F796" s="6">
        <v>0</v>
      </c>
      <c r="G796" s="6">
        <v>164</v>
      </c>
      <c r="H796" s="12">
        <f>tbl_base_ni_ri[[#This Row],[ni_total]]+tbl_base_ni_ri[[#This Row],[ri_total]]</f>
        <v>164</v>
      </c>
      <c r="I796" s="6" t="str">
        <f t="shared" si="12"/>
        <v>OK</v>
      </c>
      <c r="J796" s="7"/>
    </row>
    <row r="797" spans="1:10">
      <c r="A797" s="16">
        <v>2027</v>
      </c>
      <c r="B797" s="6"/>
      <c r="C797" s="6" t="s">
        <v>83</v>
      </c>
      <c r="D797" s="6" t="s">
        <v>45</v>
      </c>
      <c r="E797" s="6"/>
      <c r="F797" s="6">
        <v>0</v>
      </c>
      <c r="G797" s="6">
        <v>71</v>
      </c>
      <c r="H797" s="12">
        <f>tbl_base_ni_ri[[#This Row],[ni_total]]+tbl_base_ni_ri[[#This Row],[ri_total]]</f>
        <v>71</v>
      </c>
      <c r="I797" s="6" t="str">
        <f t="shared" si="12"/>
        <v>OK</v>
      </c>
      <c r="J797" s="7"/>
    </row>
    <row r="798" spans="1:10">
      <c r="A798" s="16">
        <v>2028</v>
      </c>
      <c r="B798" s="6"/>
      <c r="C798" s="6" t="s">
        <v>83</v>
      </c>
      <c r="D798" s="6" t="s">
        <v>45</v>
      </c>
      <c r="E798" s="6"/>
      <c r="F798" s="6">
        <v>0</v>
      </c>
      <c r="G798" s="6">
        <v>6</v>
      </c>
      <c r="H798" s="12">
        <f>tbl_base_ni_ri[[#This Row],[ni_total]]+tbl_base_ni_ri[[#This Row],[ri_total]]</f>
        <v>6</v>
      </c>
      <c r="I798" s="6" t="str">
        <f t="shared" si="12"/>
        <v>OK</v>
      </c>
      <c r="J798" s="7"/>
    </row>
    <row r="799" spans="1:10">
      <c r="A799" s="16">
        <v>2029</v>
      </c>
      <c r="B799" s="6"/>
      <c r="C799" s="6" t="s">
        <v>83</v>
      </c>
      <c r="D799" s="6" t="s">
        <v>45</v>
      </c>
      <c r="E799" s="6"/>
      <c r="F799" s="6">
        <v>0</v>
      </c>
      <c r="G799" s="6">
        <v>0</v>
      </c>
      <c r="H799" s="12">
        <f>tbl_base_ni_ri[[#This Row],[ni_total]]+tbl_base_ni_ri[[#This Row],[ri_total]]</f>
        <v>0</v>
      </c>
      <c r="I799" s="6" t="str">
        <f t="shared" si="12"/>
        <v>OK</v>
      </c>
      <c r="J799" s="7"/>
    </row>
    <row r="800" spans="1:10">
      <c r="A800" s="16">
        <v>2026</v>
      </c>
      <c r="B800" s="6"/>
      <c r="C800" s="6" t="s">
        <v>84</v>
      </c>
      <c r="D800" s="6" t="s">
        <v>45</v>
      </c>
      <c r="E800" s="6"/>
      <c r="F800" s="6">
        <v>230</v>
      </c>
      <c r="G800" s="6">
        <v>373</v>
      </c>
      <c r="H800" s="12">
        <f>tbl_base_ni_ri[[#This Row],[ni_total]]+tbl_base_ni_ri[[#This Row],[ri_total]]</f>
        <v>603</v>
      </c>
      <c r="I800" s="6" t="str">
        <f t="shared" si="12"/>
        <v>OK</v>
      </c>
      <c r="J800" s="7"/>
    </row>
    <row r="801" spans="1:10">
      <c r="A801" s="16">
        <v>2027</v>
      </c>
      <c r="B801" s="6"/>
      <c r="C801" s="6" t="s">
        <v>84</v>
      </c>
      <c r="D801" s="6" t="s">
        <v>45</v>
      </c>
      <c r="E801" s="6"/>
      <c r="F801" s="6">
        <v>240</v>
      </c>
      <c r="G801" s="6">
        <v>374</v>
      </c>
      <c r="H801" s="12">
        <f>tbl_base_ni_ri[[#This Row],[ni_total]]+tbl_base_ni_ri[[#This Row],[ri_total]]</f>
        <v>614</v>
      </c>
      <c r="I801" s="6" t="str">
        <f t="shared" si="12"/>
        <v>OK</v>
      </c>
      <c r="J801" s="7"/>
    </row>
    <row r="802" spans="1:10">
      <c r="A802" s="16">
        <v>2028</v>
      </c>
      <c r="B802" s="6"/>
      <c r="C802" s="6" t="s">
        <v>84</v>
      </c>
      <c r="D802" s="6" t="s">
        <v>45</v>
      </c>
      <c r="E802" s="6"/>
      <c r="F802" s="6">
        <v>261</v>
      </c>
      <c r="G802" s="6">
        <v>382</v>
      </c>
      <c r="H802" s="12">
        <f>tbl_base_ni_ri[[#This Row],[ni_total]]+tbl_base_ni_ri[[#This Row],[ri_total]]</f>
        <v>643</v>
      </c>
      <c r="I802" s="6" t="str">
        <f t="shared" si="12"/>
        <v>OK</v>
      </c>
      <c r="J802" s="7"/>
    </row>
    <row r="803" spans="1:10">
      <c r="A803" s="16">
        <v>2029</v>
      </c>
      <c r="B803" s="6"/>
      <c r="C803" s="6" t="s">
        <v>84</v>
      </c>
      <c r="D803" s="6" t="s">
        <v>45</v>
      </c>
      <c r="E803" s="6"/>
      <c r="F803" s="6">
        <v>285</v>
      </c>
      <c r="G803" s="6">
        <v>408</v>
      </c>
      <c r="H803" s="12">
        <f>tbl_base_ni_ri[[#This Row],[ni_total]]+tbl_base_ni_ri[[#This Row],[ri_total]]</f>
        <v>693</v>
      </c>
      <c r="I803" s="6" t="str">
        <f t="shared" si="12"/>
        <v>OK</v>
      </c>
      <c r="J803" s="7"/>
    </row>
    <row r="804" spans="1:10">
      <c r="A804" s="16">
        <v>2026</v>
      </c>
      <c r="B804" s="6"/>
      <c r="C804" s="6" t="s">
        <v>85</v>
      </c>
      <c r="D804" s="6" t="s">
        <v>45</v>
      </c>
      <c r="E804" s="6"/>
      <c r="F804" s="6">
        <v>350</v>
      </c>
      <c r="G804" s="6">
        <v>659</v>
      </c>
      <c r="H804" s="12">
        <f>tbl_base_ni_ri[[#This Row],[ni_total]]+tbl_base_ni_ri[[#This Row],[ri_total]]</f>
        <v>1009</v>
      </c>
      <c r="I804" s="6" t="str">
        <f t="shared" si="12"/>
        <v>OK</v>
      </c>
      <c r="J804" s="7"/>
    </row>
    <row r="805" spans="1:10">
      <c r="A805" s="16">
        <v>2027</v>
      </c>
      <c r="B805" s="6"/>
      <c r="C805" s="6" t="s">
        <v>85</v>
      </c>
      <c r="D805" s="6" t="s">
        <v>45</v>
      </c>
      <c r="E805" s="6"/>
      <c r="F805" s="6">
        <v>358</v>
      </c>
      <c r="G805" s="6">
        <v>636</v>
      </c>
      <c r="H805" s="12">
        <f>tbl_base_ni_ri[[#This Row],[ni_total]]+tbl_base_ni_ri[[#This Row],[ri_total]]</f>
        <v>994</v>
      </c>
      <c r="I805" s="6" t="str">
        <f t="shared" si="12"/>
        <v>OK</v>
      </c>
      <c r="J805" s="7"/>
    </row>
    <row r="806" spans="1:10">
      <c r="A806" s="16">
        <v>2028</v>
      </c>
      <c r="B806" s="6"/>
      <c r="C806" s="6" t="s">
        <v>85</v>
      </c>
      <c r="D806" s="6" t="s">
        <v>45</v>
      </c>
      <c r="E806" s="6"/>
      <c r="F806" s="6">
        <v>371</v>
      </c>
      <c r="G806" s="6">
        <v>674</v>
      </c>
      <c r="H806" s="12">
        <f>tbl_base_ni_ri[[#This Row],[ni_total]]+tbl_base_ni_ri[[#This Row],[ri_total]]</f>
        <v>1045</v>
      </c>
      <c r="I806" s="6" t="str">
        <f t="shared" si="12"/>
        <v>OK</v>
      </c>
      <c r="J806" s="7"/>
    </row>
    <row r="807" spans="1:10">
      <c r="A807" s="16">
        <v>2029</v>
      </c>
      <c r="B807" s="6"/>
      <c r="C807" s="6" t="s">
        <v>85</v>
      </c>
      <c r="D807" s="6" t="s">
        <v>45</v>
      </c>
      <c r="E807" s="6"/>
      <c r="F807" s="6">
        <v>383</v>
      </c>
      <c r="G807" s="6">
        <v>693</v>
      </c>
      <c r="H807" s="12">
        <f>tbl_base_ni_ri[[#This Row],[ni_total]]+tbl_base_ni_ri[[#This Row],[ri_total]]</f>
        <v>1076</v>
      </c>
      <c r="I807" s="6" t="str">
        <f t="shared" si="12"/>
        <v>OK</v>
      </c>
      <c r="J807" s="7"/>
    </row>
    <row r="808" spans="1:10">
      <c r="A808" s="16">
        <v>2026</v>
      </c>
      <c r="B808" s="6"/>
      <c r="C808" s="6" t="s">
        <v>86</v>
      </c>
      <c r="D808" s="6" t="s">
        <v>45</v>
      </c>
      <c r="E808" s="6"/>
      <c r="F808" s="6">
        <v>170</v>
      </c>
      <c r="G808" s="6">
        <v>308</v>
      </c>
      <c r="H808" s="12">
        <f>tbl_base_ni_ri[[#This Row],[ni_total]]+tbl_base_ni_ri[[#This Row],[ri_total]]</f>
        <v>478</v>
      </c>
      <c r="I808" s="6" t="str">
        <f t="shared" si="12"/>
        <v>OK</v>
      </c>
      <c r="J808" s="7"/>
    </row>
    <row r="809" spans="1:10">
      <c r="A809" s="16">
        <v>2027</v>
      </c>
      <c r="B809" s="6"/>
      <c r="C809" s="6" t="s">
        <v>86</v>
      </c>
      <c r="D809" s="6" t="s">
        <v>45</v>
      </c>
      <c r="E809" s="6"/>
      <c r="F809" s="6">
        <v>175</v>
      </c>
      <c r="G809" s="6">
        <v>293</v>
      </c>
      <c r="H809" s="12">
        <f>tbl_base_ni_ri[[#This Row],[ni_total]]+tbl_base_ni_ri[[#This Row],[ri_total]]</f>
        <v>468</v>
      </c>
      <c r="I809" s="6" t="str">
        <f t="shared" si="12"/>
        <v>OK</v>
      </c>
      <c r="J809" s="7"/>
    </row>
    <row r="810" spans="1:10">
      <c r="A810" s="16">
        <v>2028</v>
      </c>
      <c r="B810" s="6"/>
      <c r="C810" s="6" t="s">
        <v>86</v>
      </c>
      <c r="D810" s="6" t="s">
        <v>45</v>
      </c>
      <c r="E810" s="6"/>
      <c r="F810" s="6">
        <v>190</v>
      </c>
      <c r="G810" s="6">
        <v>294</v>
      </c>
      <c r="H810" s="12">
        <f>tbl_base_ni_ri[[#This Row],[ni_total]]+tbl_base_ni_ri[[#This Row],[ri_total]]</f>
        <v>484</v>
      </c>
      <c r="I810" s="6" t="str">
        <f t="shared" si="12"/>
        <v>OK</v>
      </c>
      <c r="J810" s="7"/>
    </row>
    <row r="811" spans="1:10">
      <c r="A811" s="16">
        <v>2029</v>
      </c>
      <c r="B811" s="6"/>
      <c r="C811" s="6" t="s">
        <v>86</v>
      </c>
      <c r="D811" s="6" t="s">
        <v>45</v>
      </c>
      <c r="E811" s="6"/>
      <c r="F811" s="6">
        <v>200</v>
      </c>
      <c r="G811" s="6">
        <v>320</v>
      </c>
      <c r="H811" s="12">
        <f>tbl_base_ni_ri[[#This Row],[ni_total]]+tbl_base_ni_ri[[#This Row],[ri_total]]</f>
        <v>520</v>
      </c>
      <c r="I811" s="6" t="str">
        <f t="shared" si="12"/>
        <v>OK</v>
      </c>
      <c r="J811" s="7"/>
    </row>
    <row r="812" spans="1:10">
      <c r="A812" s="16">
        <v>2026</v>
      </c>
      <c r="B812" s="6"/>
      <c r="C812" s="6" t="s">
        <v>87</v>
      </c>
      <c r="D812" s="6" t="s">
        <v>45</v>
      </c>
      <c r="E812" s="6"/>
      <c r="F812" s="6">
        <v>260</v>
      </c>
      <c r="G812" s="6">
        <v>444</v>
      </c>
      <c r="H812" s="12">
        <f>tbl_base_ni_ri[[#This Row],[ni_total]]+tbl_base_ni_ri[[#This Row],[ri_total]]</f>
        <v>704</v>
      </c>
      <c r="I812" s="6" t="str">
        <f t="shared" si="12"/>
        <v>OK</v>
      </c>
      <c r="J812" s="7"/>
    </row>
    <row r="813" spans="1:10">
      <c r="A813" s="16">
        <v>2027</v>
      </c>
      <c r="B813" s="6"/>
      <c r="C813" s="6" t="s">
        <v>87</v>
      </c>
      <c r="D813" s="6" t="s">
        <v>45</v>
      </c>
      <c r="E813" s="6"/>
      <c r="F813" s="6">
        <v>262</v>
      </c>
      <c r="G813" s="6">
        <v>433</v>
      </c>
      <c r="H813" s="12">
        <f>tbl_base_ni_ri[[#This Row],[ni_total]]+tbl_base_ni_ri[[#This Row],[ri_total]]</f>
        <v>695</v>
      </c>
      <c r="I813" s="6" t="str">
        <f t="shared" si="12"/>
        <v>OK</v>
      </c>
      <c r="J813" s="7"/>
    </row>
    <row r="814" spans="1:10">
      <c r="A814" s="16">
        <v>2028</v>
      </c>
      <c r="B814" s="6"/>
      <c r="C814" s="6" t="s">
        <v>87</v>
      </c>
      <c r="D814" s="6" t="s">
        <v>45</v>
      </c>
      <c r="E814" s="6"/>
      <c r="F814" s="6">
        <v>283</v>
      </c>
      <c r="G814" s="6">
        <v>431</v>
      </c>
      <c r="H814" s="12">
        <f>tbl_base_ni_ri[[#This Row],[ni_total]]+tbl_base_ni_ri[[#This Row],[ri_total]]</f>
        <v>714</v>
      </c>
      <c r="I814" s="6" t="str">
        <f t="shared" si="12"/>
        <v>OK</v>
      </c>
      <c r="J814" s="7"/>
    </row>
    <row r="815" spans="1:10">
      <c r="A815" s="16">
        <v>2029</v>
      </c>
      <c r="B815" s="6"/>
      <c r="C815" s="6" t="s">
        <v>87</v>
      </c>
      <c r="D815" s="6" t="s">
        <v>45</v>
      </c>
      <c r="E815" s="6"/>
      <c r="F815" s="6">
        <v>294</v>
      </c>
      <c r="G815" s="6">
        <v>461</v>
      </c>
      <c r="H815" s="12">
        <f>tbl_base_ni_ri[[#This Row],[ni_total]]+tbl_base_ni_ri[[#This Row],[ri_total]]</f>
        <v>755</v>
      </c>
      <c r="I815" s="6" t="str">
        <f t="shared" si="12"/>
        <v>OK</v>
      </c>
      <c r="J815" s="7"/>
    </row>
    <row r="816" spans="1:10">
      <c r="A816" s="16">
        <v>2026</v>
      </c>
      <c r="B816" s="6"/>
      <c r="C816" s="6" t="s">
        <v>88</v>
      </c>
      <c r="D816" s="6" t="s">
        <v>45</v>
      </c>
      <c r="E816" s="6"/>
      <c r="F816" s="6">
        <v>335</v>
      </c>
      <c r="G816" s="6">
        <v>483</v>
      </c>
      <c r="H816" s="12">
        <f>tbl_base_ni_ri[[#This Row],[ni_total]]+tbl_base_ni_ri[[#This Row],[ri_total]]</f>
        <v>818</v>
      </c>
      <c r="I816" s="6" t="str">
        <f t="shared" si="12"/>
        <v>OK</v>
      </c>
      <c r="J816" s="7"/>
    </row>
    <row r="817" spans="1:10">
      <c r="A817" s="16">
        <v>2027</v>
      </c>
      <c r="B817" s="6"/>
      <c r="C817" s="6" t="s">
        <v>88</v>
      </c>
      <c r="D817" s="6" t="s">
        <v>45</v>
      </c>
      <c r="E817" s="6"/>
      <c r="F817" s="6">
        <v>336</v>
      </c>
      <c r="G817" s="6">
        <v>493</v>
      </c>
      <c r="H817" s="12">
        <f>tbl_base_ni_ri[[#This Row],[ni_total]]+tbl_base_ni_ri[[#This Row],[ri_total]]</f>
        <v>829</v>
      </c>
      <c r="I817" s="6" t="str">
        <f t="shared" si="12"/>
        <v>OK</v>
      </c>
      <c r="J817" s="7"/>
    </row>
    <row r="818" spans="1:10">
      <c r="A818" s="16">
        <v>2028</v>
      </c>
      <c r="B818" s="6"/>
      <c r="C818" s="6" t="s">
        <v>88</v>
      </c>
      <c r="D818" s="6" t="s">
        <v>45</v>
      </c>
      <c r="E818" s="6"/>
      <c r="F818" s="6">
        <v>360</v>
      </c>
      <c r="G818" s="6">
        <v>493</v>
      </c>
      <c r="H818" s="12">
        <f>tbl_base_ni_ri[[#This Row],[ni_total]]+tbl_base_ni_ri[[#This Row],[ri_total]]</f>
        <v>853</v>
      </c>
      <c r="I818" s="6" t="str">
        <f t="shared" si="12"/>
        <v>OK</v>
      </c>
      <c r="J818" s="7"/>
    </row>
    <row r="819" spans="1:10">
      <c r="A819" s="16">
        <v>2029</v>
      </c>
      <c r="B819" s="6"/>
      <c r="C819" s="6" t="s">
        <v>88</v>
      </c>
      <c r="D819" s="6" t="s">
        <v>45</v>
      </c>
      <c r="E819" s="6"/>
      <c r="F819" s="6">
        <v>370</v>
      </c>
      <c r="G819" s="6">
        <v>521</v>
      </c>
      <c r="H819" s="12">
        <f>tbl_base_ni_ri[[#This Row],[ni_total]]+tbl_base_ni_ri[[#This Row],[ri_total]]</f>
        <v>891</v>
      </c>
      <c r="I819" s="6" t="str">
        <f t="shared" si="12"/>
        <v>OK</v>
      </c>
      <c r="J819" s="7"/>
    </row>
    <row r="820" spans="1:10">
      <c r="A820" s="16">
        <v>2026</v>
      </c>
      <c r="B820" s="6"/>
      <c r="C820" s="6" t="s">
        <v>89</v>
      </c>
      <c r="D820" s="6" t="s">
        <v>45</v>
      </c>
      <c r="E820" s="6"/>
      <c r="F820" s="6">
        <v>440</v>
      </c>
      <c r="G820" s="6">
        <v>774</v>
      </c>
      <c r="H820" s="12">
        <f>tbl_base_ni_ri[[#This Row],[ni_total]]+tbl_base_ni_ri[[#This Row],[ri_total]]</f>
        <v>1214</v>
      </c>
      <c r="I820" s="6" t="str">
        <f t="shared" si="12"/>
        <v>OK</v>
      </c>
      <c r="J820" s="7"/>
    </row>
    <row r="821" spans="1:10">
      <c r="A821" s="16">
        <v>2027</v>
      </c>
      <c r="B821" s="6"/>
      <c r="C821" s="6" t="s">
        <v>89</v>
      </c>
      <c r="D821" s="6" t="s">
        <v>45</v>
      </c>
      <c r="E821" s="6"/>
      <c r="F821" s="6">
        <v>450</v>
      </c>
      <c r="G821" s="6">
        <v>772</v>
      </c>
      <c r="H821" s="12">
        <f>tbl_base_ni_ri[[#This Row],[ni_total]]+tbl_base_ni_ri[[#This Row],[ri_total]]</f>
        <v>1222</v>
      </c>
      <c r="I821" s="6" t="str">
        <f t="shared" si="12"/>
        <v>OK</v>
      </c>
      <c r="J821" s="7"/>
    </row>
    <row r="822" spans="1:10">
      <c r="A822" s="16">
        <v>2028</v>
      </c>
      <c r="B822" s="6"/>
      <c r="C822" s="6" t="s">
        <v>89</v>
      </c>
      <c r="D822" s="6" t="s">
        <v>45</v>
      </c>
      <c r="E822" s="6"/>
      <c r="F822" s="6">
        <v>454</v>
      </c>
      <c r="G822" s="6">
        <v>767</v>
      </c>
      <c r="H822" s="12">
        <f>tbl_base_ni_ri[[#This Row],[ni_total]]+tbl_base_ni_ri[[#This Row],[ri_total]]</f>
        <v>1221</v>
      </c>
      <c r="I822" s="6" t="str">
        <f t="shared" si="12"/>
        <v>OK</v>
      </c>
      <c r="J822" s="7"/>
    </row>
    <row r="823" spans="1:10">
      <c r="A823" s="16">
        <v>2029</v>
      </c>
      <c r="B823" s="6"/>
      <c r="C823" s="6" t="s">
        <v>89</v>
      </c>
      <c r="D823" s="6" t="s">
        <v>45</v>
      </c>
      <c r="E823" s="6"/>
      <c r="F823" s="6">
        <v>464</v>
      </c>
      <c r="G823" s="6">
        <v>781</v>
      </c>
      <c r="H823" s="12">
        <f>tbl_base_ni_ri[[#This Row],[ni_total]]+tbl_base_ni_ri[[#This Row],[ri_total]]</f>
        <v>1245</v>
      </c>
      <c r="I823" s="6" t="str">
        <f t="shared" si="12"/>
        <v>OK</v>
      </c>
      <c r="J823" s="7"/>
    </row>
    <row r="824" spans="1:10">
      <c r="A824" s="16">
        <v>2026</v>
      </c>
      <c r="B824" s="6"/>
      <c r="C824" s="6" t="s">
        <v>90</v>
      </c>
      <c r="D824" s="6" t="s">
        <v>45</v>
      </c>
      <c r="E824" s="6"/>
      <c r="F824" s="6">
        <v>170</v>
      </c>
      <c r="G824" s="6">
        <v>325</v>
      </c>
      <c r="H824" s="12">
        <f>tbl_base_ni_ri[[#This Row],[ni_total]]+tbl_base_ni_ri[[#This Row],[ri_total]]</f>
        <v>495</v>
      </c>
      <c r="I824" s="6" t="str">
        <f t="shared" si="12"/>
        <v>OK</v>
      </c>
      <c r="J824" s="7"/>
    </row>
    <row r="825" spans="1:10">
      <c r="A825" s="16">
        <v>2027</v>
      </c>
      <c r="B825" s="6"/>
      <c r="C825" s="6" t="s">
        <v>90</v>
      </c>
      <c r="D825" s="6" t="s">
        <v>45</v>
      </c>
      <c r="E825" s="6"/>
      <c r="F825" s="6">
        <v>181</v>
      </c>
      <c r="G825" s="6">
        <v>295</v>
      </c>
      <c r="H825" s="12">
        <f>tbl_base_ni_ri[[#This Row],[ni_total]]+tbl_base_ni_ri[[#This Row],[ri_total]]</f>
        <v>476</v>
      </c>
      <c r="I825" s="6" t="str">
        <f t="shared" si="12"/>
        <v>OK</v>
      </c>
      <c r="J825" s="7"/>
    </row>
    <row r="826" spans="1:10">
      <c r="A826" s="16">
        <v>2028</v>
      </c>
      <c r="B826" s="6"/>
      <c r="C826" s="6" t="s">
        <v>90</v>
      </c>
      <c r="D826" s="6" t="s">
        <v>45</v>
      </c>
      <c r="E826" s="6"/>
      <c r="F826" s="6">
        <v>195</v>
      </c>
      <c r="G826" s="6">
        <v>286</v>
      </c>
      <c r="H826" s="12">
        <f>tbl_base_ni_ri[[#This Row],[ni_total]]+tbl_base_ni_ri[[#This Row],[ri_total]]</f>
        <v>481</v>
      </c>
      <c r="I826" s="6" t="str">
        <f t="shared" si="12"/>
        <v>OK</v>
      </c>
      <c r="J826" s="7"/>
    </row>
    <row r="827" spans="1:10">
      <c r="A827" s="16">
        <v>2029</v>
      </c>
      <c r="B827" s="6"/>
      <c r="C827" s="6" t="s">
        <v>90</v>
      </c>
      <c r="D827" s="6" t="s">
        <v>45</v>
      </c>
      <c r="E827" s="6"/>
      <c r="F827" s="6">
        <v>211</v>
      </c>
      <c r="G827" s="6">
        <v>316</v>
      </c>
      <c r="H827" s="12">
        <f>tbl_base_ni_ri[[#This Row],[ni_total]]+tbl_base_ni_ri[[#This Row],[ri_total]]</f>
        <v>527</v>
      </c>
      <c r="I827" s="6" t="str">
        <f t="shared" si="12"/>
        <v>OK</v>
      </c>
      <c r="J827" s="7"/>
    </row>
    <row r="828" spans="1:10">
      <c r="A828" s="16">
        <v>2026</v>
      </c>
      <c r="B828" s="6"/>
      <c r="C828" s="6" t="s">
        <v>91</v>
      </c>
      <c r="D828" s="6" t="s">
        <v>45</v>
      </c>
      <c r="E828" s="6"/>
      <c r="F828" s="6">
        <v>250</v>
      </c>
      <c r="G828" s="6">
        <v>395</v>
      </c>
      <c r="H828" s="12">
        <f>tbl_base_ni_ri[[#This Row],[ni_total]]+tbl_base_ni_ri[[#This Row],[ri_total]]</f>
        <v>645</v>
      </c>
      <c r="I828" s="6" t="str">
        <f t="shared" si="12"/>
        <v>OK</v>
      </c>
      <c r="J828" s="7"/>
    </row>
    <row r="829" spans="1:10">
      <c r="A829" s="16">
        <v>2027</v>
      </c>
      <c r="B829" s="6"/>
      <c r="C829" s="6" t="s">
        <v>91</v>
      </c>
      <c r="D829" s="6" t="s">
        <v>45</v>
      </c>
      <c r="E829" s="6"/>
      <c r="F829" s="6">
        <v>252</v>
      </c>
      <c r="G829" s="6">
        <v>404</v>
      </c>
      <c r="H829" s="12">
        <f>tbl_base_ni_ri[[#This Row],[ni_total]]+tbl_base_ni_ri[[#This Row],[ri_total]]</f>
        <v>656</v>
      </c>
      <c r="I829" s="6" t="str">
        <f t="shared" si="12"/>
        <v>OK</v>
      </c>
      <c r="J829" s="7"/>
    </row>
    <row r="830" spans="1:10">
      <c r="A830" s="16">
        <v>2028</v>
      </c>
      <c r="B830" s="6"/>
      <c r="C830" s="6" t="s">
        <v>91</v>
      </c>
      <c r="D830" s="6" t="s">
        <v>45</v>
      </c>
      <c r="E830" s="6"/>
      <c r="F830" s="6">
        <v>260</v>
      </c>
      <c r="G830" s="6">
        <v>424</v>
      </c>
      <c r="H830" s="12">
        <f>tbl_base_ni_ri[[#This Row],[ni_total]]+tbl_base_ni_ri[[#This Row],[ri_total]]</f>
        <v>684</v>
      </c>
      <c r="I830" s="6" t="str">
        <f t="shared" si="12"/>
        <v>OK</v>
      </c>
      <c r="J830" s="7"/>
    </row>
    <row r="831" spans="1:10">
      <c r="A831" s="16">
        <v>2029</v>
      </c>
      <c r="B831" s="6"/>
      <c r="C831" s="6" t="s">
        <v>91</v>
      </c>
      <c r="D831" s="6" t="s">
        <v>45</v>
      </c>
      <c r="E831" s="6"/>
      <c r="F831" s="6">
        <v>269</v>
      </c>
      <c r="G831" s="6">
        <v>446</v>
      </c>
      <c r="H831" s="12">
        <f>tbl_base_ni_ri[[#This Row],[ni_total]]+tbl_base_ni_ri[[#This Row],[ri_total]]</f>
        <v>715</v>
      </c>
      <c r="I831" s="6" t="str">
        <f t="shared" si="12"/>
        <v>OK</v>
      </c>
      <c r="J831" s="7"/>
    </row>
    <row r="832" spans="1:10">
      <c r="A832" s="16">
        <v>2026</v>
      </c>
      <c r="B832" s="6"/>
      <c r="C832" s="6" t="s">
        <v>92</v>
      </c>
      <c r="D832" s="6" t="s">
        <v>45</v>
      </c>
      <c r="E832" s="6"/>
      <c r="F832" s="6">
        <v>378</v>
      </c>
      <c r="G832" s="6">
        <v>695</v>
      </c>
      <c r="H832" s="12">
        <f>tbl_base_ni_ri[[#This Row],[ni_total]]+tbl_base_ni_ri[[#This Row],[ri_total]]</f>
        <v>1073</v>
      </c>
      <c r="I832" s="6" t="str">
        <f t="shared" si="12"/>
        <v>OK</v>
      </c>
      <c r="J832" s="7"/>
    </row>
    <row r="833" spans="1:10">
      <c r="A833" s="16">
        <v>2027</v>
      </c>
      <c r="B833" s="6"/>
      <c r="C833" s="6" t="s">
        <v>92</v>
      </c>
      <c r="D833" s="6" t="s">
        <v>45</v>
      </c>
      <c r="E833" s="6"/>
      <c r="F833" s="6">
        <v>378</v>
      </c>
      <c r="G833" s="6">
        <v>694</v>
      </c>
      <c r="H833" s="12">
        <f>tbl_base_ni_ri[[#This Row],[ni_total]]+tbl_base_ni_ri[[#This Row],[ri_total]]</f>
        <v>1072</v>
      </c>
      <c r="I833" s="6" t="str">
        <f t="shared" si="12"/>
        <v>OK</v>
      </c>
      <c r="J833" s="7"/>
    </row>
    <row r="834" spans="1:10">
      <c r="A834" s="16">
        <v>2028</v>
      </c>
      <c r="B834" s="6"/>
      <c r="C834" s="6" t="s">
        <v>92</v>
      </c>
      <c r="D834" s="6" t="s">
        <v>45</v>
      </c>
      <c r="E834" s="6"/>
      <c r="F834" s="6">
        <v>378</v>
      </c>
      <c r="G834" s="6">
        <v>693</v>
      </c>
      <c r="H834" s="12">
        <f>tbl_base_ni_ri[[#This Row],[ni_total]]+tbl_base_ni_ri[[#This Row],[ri_total]]</f>
        <v>1071</v>
      </c>
      <c r="I834" s="6" t="str">
        <f t="shared" si="12"/>
        <v>OK</v>
      </c>
      <c r="J834" s="7"/>
    </row>
    <row r="835" spans="1:10">
      <c r="A835" s="16">
        <v>2029</v>
      </c>
      <c r="B835" s="6"/>
      <c r="C835" s="6" t="s">
        <v>92</v>
      </c>
      <c r="D835" s="6" t="s">
        <v>45</v>
      </c>
      <c r="E835" s="6"/>
      <c r="F835" s="6">
        <v>378</v>
      </c>
      <c r="G835" s="6">
        <v>697</v>
      </c>
      <c r="H835" s="12">
        <f>tbl_base_ni_ri[[#This Row],[ni_total]]+tbl_base_ni_ri[[#This Row],[ri_total]]</f>
        <v>1075</v>
      </c>
      <c r="I835" s="6" t="str">
        <f t="shared" si="12"/>
        <v>OK</v>
      </c>
      <c r="J835" s="7"/>
    </row>
    <row r="836" spans="1:10">
      <c r="A836" s="16">
        <v>2026</v>
      </c>
      <c r="B836" s="6"/>
      <c r="C836" s="6" t="s">
        <v>93</v>
      </c>
      <c r="D836" s="6" t="s">
        <v>45</v>
      </c>
      <c r="E836" s="6"/>
      <c r="F836" s="6">
        <v>132</v>
      </c>
      <c r="G836" s="6">
        <v>193</v>
      </c>
      <c r="H836" s="12">
        <f>tbl_base_ni_ri[[#This Row],[ni_total]]+tbl_base_ni_ri[[#This Row],[ri_total]]</f>
        <v>325</v>
      </c>
      <c r="I836" s="6" t="str">
        <f t="shared" si="12"/>
        <v>OK</v>
      </c>
      <c r="J836" s="7"/>
    </row>
    <row r="837" spans="1:10">
      <c r="A837" s="16">
        <v>2027</v>
      </c>
      <c r="B837" s="6"/>
      <c r="C837" s="6" t="s">
        <v>93</v>
      </c>
      <c r="D837" s="6" t="s">
        <v>45</v>
      </c>
      <c r="E837" s="6"/>
      <c r="F837" s="6">
        <v>149</v>
      </c>
      <c r="G837" s="6">
        <v>209</v>
      </c>
      <c r="H837" s="12">
        <f>tbl_base_ni_ri[[#This Row],[ni_total]]+tbl_base_ni_ri[[#This Row],[ri_total]]</f>
        <v>358</v>
      </c>
      <c r="I837" s="6" t="str">
        <f t="shared" ref="I837:I900" si="13">IF(OR(F837="",G837="",H837=""),"",IF(ABS(H837-F837-G837)&lt;0.01,"OK","Revisar MT"))</f>
        <v>OK</v>
      </c>
      <c r="J837" s="7"/>
    </row>
    <row r="838" spans="1:10">
      <c r="A838" s="16">
        <v>2028</v>
      </c>
      <c r="B838" s="6"/>
      <c r="C838" s="6" t="s">
        <v>93</v>
      </c>
      <c r="D838" s="6" t="s">
        <v>45</v>
      </c>
      <c r="E838" s="6"/>
      <c r="F838" s="6">
        <v>160</v>
      </c>
      <c r="G838" s="6">
        <v>245</v>
      </c>
      <c r="H838" s="12">
        <f>tbl_base_ni_ri[[#This Row],[ni_total]]+tbl_base_ni_ri[[#This Row],[ri_total]]</f>
        <v>405</v>
      </c>
      <c r="I838" s="6" t="str">
        <f t="shared" si="13"/>
        <v>OK</v>
      </c>
      <c r="J838" s="7"/>
    </row>
    <row r="839" spans="1:10">
      <c r="A839" s="16">
        <v>2029</v>
      </c>
      <c r="B839" s="6"/>
      <c r="C839" s="6" t="s">
        <v>93</v>
      </c>
      <c r="D839" s="6" t="s">
        <v>45</v>
      </c>
      <c r="E839" s="6"/>
      <c r="F839" s="6">
        <v>175</v>
      </c>
      <c r="G839" s="6">
        <v>279</v>
      </c>
      <c r="H839" s="12">
        <f>tbl_base_ni_ri[[#This Row],[ni_total]]+tbl_base_ni_ri[[#This Row],[ri_total]]</f>
        <v>454</v>
      </c>
      <c r="I839" s="6" t="str">
        <f t="shared" si="13"/>
        <v>OK</v>
      </c>
      <c r="J839" s="7"/>
    </row>
    <row r="840" spans="1:10">
      <c r="A840" s="16">
        <v>2026</v>
      </c>
      <c r="B840" s="6"/>
      <c r="C840" s="6" t="s">
        <v>94</v>
      </c>
      <c r="D840" s="6" t="s">
        <v>45</v>
      </c>
      <c r="E840" s="6"/>
      <c r="F840" s="6">
        <v>200</v>
      </c>
      <c r="G840" s="6">
        <v>112</v>
      </c>
      <c r="H840" s="12">
        <f>tbl_base_ni_ri[[#This Row],[ni_total]]+tbl_base_ni_ri[[#This Row],[ri_total]]</f>
        <v>312</v>
      </c>
      <c r="I840" s="6" t="str">
        <f t="shared" si="13"/>
        <v>OK</v>
      </c>
      <c r="J840" s="7"/>
    </row>
    <row r="841" spans="1:10">
      <c r="A841" s="16">
        <v>2027</v>
      </c>
      <c r="B841" s="6"/>
      <c r="C841" s="6" t="s">
        <v>94</v>
      </c>
      <c r="D841" s="6" t="s">
        <v>45</v>
      </c>
      <c r="E841" s="6"/>
      <c r="F841" s="6">
        <v>214</v>
      </c>
      <c r="G841" s="6">
        <v>274</v>
      </c>
      <c r="H841" s="12">
        <f>tbl_base_ni_ri[[#This Row],[ni_total]]+tbl_base_ni_ri[[#This Row],[ri_total]]</f>
        <v>488</v>
      </c>
      <c r="I841" s="6" t="str">
        <f t="shared" si="13"/>
        <v>OK</v>
      </c>
      <c r="J841" s="7"/>
    </row>
    <row r="842" spans="1:10">
      <c r="A842" s="16">
        <v>2028</v>
      </c>
      <c r="B842" s="6"/>
      <c r="C842" s="6" t="s">
        <v>94</v>
      </c>
      <c r="D842" s="6" t="s">
        <v>45</v>
      </c>
      <c r="E842" s="6"/>
      <c r="F842" s="6">
        <v>240</v>
      </c>
      <c r="G842" s="6">
        <v>343</v>
      </c>
      <c r="H842" s="12">
        <f>tbl_base_ni_ri[[#This Row],[ni_total]]+tbl_base_ni_ri[[#This Row],[ri_total]]</f>
        <v>583</v>
      </c>
      <c r="I842" s="6" t="str">
        <f t="shared" si="13"/>
        <v>OK</v>
      </c>
      <c r="J842" s="7"/>
    </row>
    <row r="843" spans="1:10">
      <c r="A843" s="16">
        <v>2029</v>
      </c>
      <c r="B843" s="6"/>
      <c r="C843" s="6" t="s">
        <v>94</v>
      </c>
      <c r="D843" s="6" t="s">
        <v>45</v>
      </c>
      <c r="E843" s="6"/>
      <c r="F843" s="6">
        <v>271</v>
      </c>
      <c r="G843" s="6">
        <v>378</v>
      </c>
      <c r="H843" s="12">
        <f>tbl_base_ni_ri[[#This Row],[ni_total]]+tbl_base_ni_ri[[#This Row],[ri_total]]</f>
        <v>649</v>
      </c>
      <c r="I843" s="6" t="str">
        <f t="shared" si="13"/>
        <v>OK</v>
      </c>
      <c r="J843" s="7"/>
    </row>
    <row r="844" spans="1:10">
      <c r="A844" s="16">
        <v>2026</v>
      </c>
      <c r="B844" s="6"/>
      <c r="C844" s="6" t="s">
        <v>95</v>
      </c>
      <c r="D844" s="6" t="s">
        <v>45</v>
      </c>
      <c r="E844" s="6"/>
      <c r="F844" s="6">
        <v>235</v>
      </c>
      <c r="G844" s="6">
        <v>356</v>
      </c>
      <c r="H844" s="12">
        <f>tbl_base_ni_ri[[#This Row],[ni_total]]+tbl_base_ni_ri[[#This Row],[ri_total]]</f>
        <v>591</v>
      </c>
      <c r="I844" s="6" t="str">
        <f t="shared" si="13"/>
        <v>OK</v>
      </c>
      <c r="J844" s="7"/>
    </row>
    <row r="845" spans="1:10">
      <c r="A845" s="16">
        <v>2027</v>
      </c>
      <c r="B845" s="6"/>
      <c r="C845" s="6" t="s">
        <v>95</v>
      </c>
      <c r="D845" s="6" t="s">
        <v>45</v>
      </c>
      <c r="E845" s="6"/>
      <c r="F845" s="6">
        <v>246</v>
      </c>
      <c r="G845" s="6">
        <v>396</v>
      </c>
      <c r="H845" s="12">
        <f>tbl_base_ni_ri[[#This Row],[ni_total]]+tbl_base_ni_ri[[#This Row],[ri_total]]</f>
        <v>642</v>
      </c>
      <c r="I845" s="6" t="str">
        <f t="shared" si="13"/>
        <v>OK</v>
      </c>
      <c r="J845" s="7"/>
    </row>
    <row r="846" spans="1:10">
      <c r="A846" s="16">
        <v>2028</v>
      </c>
      <c r="B846" s="6"/>
      <c r="C846" s="6" t="s">
        <v>95</v>
      </c>
      <c r="D846" s="6" t="s">
        <v>45</v>
      </c>
      <c r="E846" s="6"/>
      <c r="F846" s="6">
        <v>255</v>
      </c>
      <c r="G846" s="6">
        <v>415</v>
      </c>
      <c r="H846" s="12">
        <f>tbl_base_ni_ri[[#This Row],[ni_total]]+tbl_base_ni_ri[[#This Row],[ri_total]]</f>
        <v>670</v>
      </c>
      <c r="I846" s="6" t="str">
        <f t="shared" si="13"/>
        <v>OK</v>
      </c>
      <c r="J846" s="7"/>
    </row>
    <row r="847" spans="1:10">
      <c r="A847" s="16">
        <v>2029</v>
      </c>
      <c r="B847" s="6"/>
      <c r="C847" s="6" t="s">
        <v>95</v>
      </c>
      <c r="D847" s="6" t="s">
        <v>45</v>
      </c>
      <c r="E847" s="6"/>
      <c r="F847" s="6">
        <v>271</v>
      </c>
      <c r="G847" s="6">
        <v>435</v>
      </c>
      <c r="H847" s="12">
        <f>tbl_base_ni_ri[[#This Row],[ni_total]]+tbl_base_ni_ri[[#This Row],[ri_total]]</f>
        <v>706</v>
      </c>
      <c r="I847" s="6" t="str">
        <f t="shared" si="13"/>
        <v>OK</v>
      </c>
      <c r="J847" s="7"/>
    </row>
    <row r="848" spans="1:10">
      <c r="A848" s="16">
        <v>2026</v>
      </c>
      <c r="B848" s="6"/>
      <c r="C848" s="6" t="s">
        <v>56</v>
      </c>
      <c r="D848" s="6" t="s">
        <v>51</v>
      </c>
      <c r="E848" s="6"/>
      <c r="F848" s="6">
        <v>81</v>
      </c>
      <c r="G848" s="6">
        <v>0</v>
      </c>
      <c r="H848" s="12">
        <f>tbl_base_ni_ri[[#This Row],[ni_total]]+tbl_base_ni_ri[[#This Row],[ri_total]]</f>
        <v>81</v>
      </c>
      <c r="I848" s="6" t="str">
        <f t="shared" si="13"/>
        <v>OK</v>
      </c>
      <c r="J848" s="7"/>
    </row>
    <row r="849" spans="1:10">
      <c r="A849" s="16">
        <v>2027</v>
      </c>
      <c r="B849" s="6"/>
      <c r="C849" s="6" t="s">
        <v>56</v>
      </c>
      <c r="D849" s="6" t="s">
        <v>51</v>
      </c>
      <c r="E849" s="6"/>
      <c r="F849" s="6">
        <v>86</v>
      </c>
      <c r="G849" s="6">
        <v>82</v>
      </c>
      <c r="H849" s="12">
        <f>tbl_base_ni_ri[[#This Row],[ni_total]]+tbl_base_ni_ri[[#This Row],[ri_total]]</f>
        <v>168</v>
      </c>
      <c r="I849" s="6" t="str">
        <f t="shared" si="13"/>
        <v>OK</v>
      </c>
      <c r="J849" s="7"/>
    </row>
    <row r="850" spans="1:10">
      <c r="A850" s="16">
        <v>2028</v>
      </c>
      <c r="B850" s="6"/>
      <c r="C850" s="6" t="s">
        <v>56</v>
      </c>
      <c r="D850" s="6" t="s">
        <v>51</v>
      </c>
      <c r="E850" s="6"/>
      <c r="F850" s="6">
        <v>108</v>
      </c>
      <c r="G850" s="6">
        <v>160</v>
      </c>
      <c r="H850" s="12">
        <f>tbl_base_ni_ri[[#This Row],[ni_total]]+tbl_base_ni_ri[[#This Row],[ri_total]]</f>
        <v>268</v>
      </c>
      <c r="I850" s="6" t="str">
        <f t="shared" si="13"/>
        <v>OK</v>
      </c>
      <c r="J850" s="7"/>
    </row>
    <row r="851" spans="1:10">
      <c r="A851" s="16">
        <v>2029</v>
      </c>
      <c r="B851" s="6"/>
      <c r="C851" s="6" t="s">
        <v>56</v>
      </c>
      <c r="D851" s="6" t="s">
        <v>51</v>
      </c>
      <c r="E851" s="6"/>
      <c r="F851" s="6">
        <v>178</v>
      </c>
      <c r="G851" s="6">
        <v>264</v>
      </c>
      <c r="H851" s="12">
        <f>tbl_base_ni_ri[[#This Row],[ni_total]]+tbl_base_ni_ri[[#This Row],[ri_total]]</f>
        <v>442</v>
      </c>
      <c r="I851" s="6" t="str">
        <f t="shared" si="13"/>
        <v>OK</v>
      </c>
      <c r="J851" s="7"/>
    </row>
    <row r="852" spans="1:10">
      <c r="A852" s="16">
        <v>2026</v>
      </c>
      <c r="B852" s="6"/>
      <c r="C852" s="6" t="s">
        <v>58</v>
      </c>
      <c r="D852" s="6" t="s">
        <v>51</v>
      </c>
      <c r="E852" s="6"/>
      <c r="F852" s="6">
        <v>115</v>
      </c>
      <c r="G852" s="6">
        <v>369</v>
      </c>
      <c r="H852" s="12">
        <f>tbl_base_ni_ri[[#This Row],[ni_total]]+tbl_base_ni_ri[[#This Row],[ri_total]]</f>
        <v>484</v>
      </c>
      <c r="I852" s="6" t="str">
        <f t="shared" si="13"/>
        <v>OK</v>
      </c>
      <c r="J852" s="7"/>
    </row>
    <row r="853" spans="1:10" ht="2.75" customHeight="1">
      <c r="A853" s="16">
        <v>2027</v>
      </c>
      <c r="B853" s="6"/>
      <c r="C853" s="6" t="s">
        <v>58</v>
      </c>
      <c r="D853" s="6" t="s">
        <v>51</v>
      </c>
      <c r="E853" s="6"/>
      <c r="F853" s="6">
        <v>128</v>
      </c>
      <c r="G853" s="6">
        <v>343</v>
      </c>
      <c r="H853" s="12">
        <f>tbl_base_ni_ri[[#This Row],[ni_total]]+tbl_base_ni_ri[[#This Row],[ri_total]]</f>
        <v>471</v>
      </c>
      <c r="I853" s="6" t="str">
        <f t="shared" si="13"/>
        <v>OK</v>
      </c>
      <c r="J853" s="7"/>
    </row>
    <row r="854" spans="1:10" ht="2.75" customHeight="1">
      <c r="A854" s="16">
        <v>2028</v>
      </c>
      <c r="B854" s="6"/>
      <c r="C854" s="6" t="s">
        <v>58</v>
      </c>
      <c r="D854" s="6" t="s">
        <v>51</v>
      </c>
      <c r="E854" s="6"/>
      <c r="F854" s="6">
        <v>132</v>
      </c>
      <c r="G854" s="6">
        <v>327</v>
      </c>
      <c r="H854" s="12">
        <f>tbl_base_ni_ri[[#This Row],[ni_total]]+tbl_base_ni_ri[[#This Row],[ri_total]]</f>
        <v>459</v>
      </c>
      <c r="I854" s="6" t="str">
        <f t="shared" si="13"/>
        <v>OK</v>
      </c>
      <c r="J854" s="7"/>
    </row>
    <row r="855" spans="1:10" ht="2.75" customHeight="1">
      <c r="A855" s="16">
        <v>2029</v>
      </c>
      <c r="B855" s="6"/>
      <c r="C855" s="6" t="s">
        <v>58</v>
      </c>
      <c r="D855" s="6" t="s">
        <v>51</v>
      </c>
      <c r="E855" s="6"/>
      <c r="F855" s="6">
        <v>149</v>
      </c>
      <c r="G855" s="6">
        <v>330</v>
      </c>
      <c r="H855" s="12">
        <f>tbl_base_ni_ri[[#This Row],[ni_total]]+tbl_base_ni_ri[[#This Row],[ri_total]]</f>
        <v>479</v>
      </c>
      <c r="I855" s="6" t="str">
        <f t="shared" si="13"/>
        <v>OK</v>
      </c>
      <c r="J855" s="7"/>
    </row>
    <row r="856" spans="1:10">
      <c r="A856" s="16">
        <v>2026</v>
      </c>
      <c r="B856" s="6"/>
      <c r="C856" s="6" t="s">
        <v>60</v>
      </c>
      <c r="D856" s="6" t="s">
        <v>51</v>
      </c>
      <c r="E856" s="6"/>
      <c r="F856" s="6">
        <v>115</v>
      </c>
      <c r="G856" s="6">
        <v>374</v>
      </c>
      <c r="H856" s="12">
        <f>tbl_base_ni_ri[[#This Row],[ni_total]]+tbl_base_ni_ri[[#This Row],[ri_total]]</f>
        <v>489</v>
      </c>
      <c r="I856" s="6" t="str">
        <f t="shared" si="13"/>
        <v>OK</v>
      </c>
      <c r="J856" s="7"/>
    </row>
    <row r="857" spans="1:10" ht="2.75" customHeight="1">
      <c r="A857" s="16">
        <v>2027</v>
      </c>
      <c r="B857" s="6"/>
      <c r="C857" s="6" t="s">
        <v>60</v>
      </c>
      <c r="D857" s="6" t="s">
        <v>51</v>
      </c>
      <c r="E857" s="6"/>
      <c r="F857" s="6">
        <v>138</v>
      </c>
      <c r="G857" s="6">
        <v>388</v>
      </c>
      <c r="H857" s="12">
        <f>tbl_base_ni_ri[[#This Row],[ni_total]]+tbl_base_ni_ri[[#This Row],[ri_total]]</f>
        <v>526</v>
      </c>
      <c r="I857" s="6" t="str">
        <f t="shared" si="13"/>
        <v>OK</v>
      </c>
      <c r="J857" s="7"/>
    </row>
    <row r="858" spans="1:10" ht="2.75" customHeight="1">
      <c r="A858" s="16">
        <v>2028</v>
      </c>
      <c r="B858" s="6"/>
      <c r="C858" s="6" t="s">
        <v>60</v>
      </c>
      <c r="D858" s="6" t="s">
        <v>51</v>
      </c>
      <c r="E858" s="6"/>
      <c r="F858" s="6">
        <v>143</v>
      </c>
      <c r="G858" s="6">
        <v>397</v>
      </c>
      <c r="H858" s="12">
        <f>tbl_base_ni_ri[[#This Row],[ni_total]]+tbl_base_ni_ri[[#This Row],[ri_total]]</f>
        <v>540</v>
      </c>
      <c r="I858" s="6" t="str">
        <f t="shared" si="13"/>
        <v>OK</v>
      </c>
      <c r="J858" s="7"/>
    </row>
    <row r="859" spans="1:10" ht="2.75" customHeight="1">
      <c r="A859" s="16">
        <v>2029</v>
      </c>
      <c r="B859" s="6"/>
      <c r="C859" s="6" t="s">
        <v>60</v>
      </c>
      <c r="D859" s="6" t="s">
        <v>51</v>
      </c>
      <c r="E859" s="6"/>
      <c r="F859" s="6">
        <v>158</v>
      </c>
      <c r="G859" s="6">
        <v>420</v>
      </c>
      <c r="H859" s="12">
        <f>tbl_base_ni_ri[[#This Row],[ni_total]]+tbl_base_ni_ri[[#This Row],[ri_total]]</f>
        <v>578</v>
      </c>
      <c r="I859" s="6" t="str">
        <f t="shared" si="13"/>
        <v>OK</v>
      </c>
      <c r="J859" s="7"/>
    </row>
    <row r="860" spans="1:10">
      <c r="A860" s="16">
        <v>2026</v>
      </c>
      <c r="B860" s="6"/>
      <c r="C860" s="6" t="s">
        <v>62</v>
      </c>
      <c r="D860" s="6" t="s">
        <v>51</v>
      </c>
      <c r="E860" s="6"/>
      <c r="F860" s="6">
        <v>100</v>
      </c>
      <c r="G860" s="6">
        <v>379</v>
      </c>
      <c r="H860" s="12">
        <f>tbl_base_ni_ri[[#This Row],[ni_total]]+tbl_base_ni_ri[[#This Row],[ri_total]]</f>
        <v>479</v>
      </c>
      <c r="I860" s="6" t="str">
        <f t="shared" si="13"/>
        <v>OK</v>
      </c>
      <c r="J860" s="7"/>
    </row>
    <row r="861" spans="1:10" ht="2.75" customHeight="1">
      <c r="A861" s="16">
        <v>2027</v>
      </c>
      <c r="B861" s="6"/>
      <c r="C861" s="6" t="s">
        <v>62</v>
      </c>
      <c r="D861" s="6" t="s">
        <v>51</v>
      </c>
      <c r="E861" s="6"/>
      <c r="F861" s="6">
        <v>116</v>
      </c>
      <c r="G861" s="6">
        <v>346</v>
      </c>
      <c r="H861" s="12">
        <f>tbl_base_ni_ri[[#This Row],[ni_total]]+tbl_base_ni_ri[[#This Row],[ri_total]]</f>
        <v>462</v>
      </c>
      <c r="I861" s="6" t="str">
        <f t="shared" si="13"/>
        <v>OK</v>
      </c>
      <c r="J861" s="7"/>
    </row>
    <row r="862" spans="1:10" ht="2.75" customHeight="1">
      <c r="A862" s="16">
        <v>2028</v>
      </c>
      <c r="B862" s="6"/>
      <c r="C862" s="6" t="s">
        <v>62</v>
      </c>
      <c r="D862" s="6" t="s">
        <v>51</v>
      </c>
      <c r="E862" s="6"/>
      <c r="F862" s="6">
        <v>134</v>
      </c>
      <c r="G862" s="6">
        <v>349</v>
      </c>
      <c r="H862" s="12">
        <f>tbl_base_ni_ri[[#This Row],[ni_total]]+tbl_base_ni_ri[[#This Row],[ri_total]]</f>
        <v>483</v>
      </c>
      <c r="I862" s="6" t="str">
        <f t="shared" si="13"/>
        <v>OK</v>
      </c>
      <c r="J862" s="7"/>
    </row>
    <row r="863" spans="1:10" ht="2.75" customHeight="1">
      <c r="A863" s="16">
        <v>2029</v>
      </c>
      <c r="B863" s="6"/>
      <c r="C863" s="6" t="s">
        <v>62</v>
      </c>
      <c r="D863" s="6" t="s">
        <v>51</v>
      </c>
      <c r="E863" s="6"/>
      <c r="F863" s="6">
        <v>174</v>
      </c>
      <c r="G863" s="6">
        <v>383</v>
      </c>
      <c r="H863" s="12">
        <f>tbl_base_ni_ri[[#This Row],[ni_total]]+tbl_base_ni_ri[[#This Row],[ri_total]]</f>
        <v>557</v>
      </c>
      <c r="I863" s="6" t="str">
        <f t="shared" si="13"/>
        <v>OK</v>
      </c>
      <c r="J863" s="7"/>
    </row>
    <row r="864" spans="1:10">
      <c r="A864" s="16">
        <v>2026</v>
      </c>
      <c r="B864" s="6"/>
      <c r="C864" s="6" t="s">
        <v>64</v>
      </c>
      <c r="D864" s="6" t="s">
        <v>51</v>
      </c>
      <c r="E864" s="6"/>
      <c r="F864" s="6">
        <v>280</v>
      </c>
      <c r="G864" s="6">
        <v>745</v>
      </c>
      <c r="H864" s="12">
        <f>tbl_base_ni_ri[[#This Row],[ni_total]]+tbl_base_ni_ri[[#This Row],[ri_total]]</f>
        <v>1025</v>
      </c>
      <c r="I864" s="6" t="str">
        <f t="shared" si="13"/>
        <v>OK</v>
      </c>
      <c r="J864" s="7"/>
    </row>
    <row r="865" spans="1:10" ht="2.75" customHeight="1">
      <c r="A865" s="16">
        <v>2027</v>
      </c>
      <c r="B865" s="6"/>
      <c r="C865" s="6" t="s">
        <v>64</v>
      </c>
      <c r="D865" s="6" t="s">
        <v>51</v>
      </c>
      <c r="E865" s="6"/>
      <c r="F865" s="6">
        <v>288</v>
      </c>
      <c r="G865" s="6">
        <v>828</v>
      </c>
      <c r="H865" s="12">
        <f>tbl_base_ni_ri[[#This Row],[ni_total]]+tbl_base_ni_ri[[#This Row],[ri_total]]</f>
        <v>1116</v>
      </c>
      <c r="I865" s="6" t="str">
        <f t="shared" si="13"/>
        <v>OK</v>
      </c>
      <c r="J865" s="7"/>
    </row>
    <row r="866" spans="1:10" ht="2.75" customHeight="1">
      <c r="A866" s="16">
        <v>2028</v>
      </c>
      <c r="B866" s="6"/>
      <c r="C866" s="6" t="s">
        <v>64</v>
      </c>
      <c r="D866" s="6" t="s">
        <v>51</v>
      </c>
      <c r="E866" s="6"/>
      <c r="F866" s="6">
        <v>294</v>
      </c>
      <c r="G866" s="6">
        <v>892</v>
      </c>
      <c r="H866" s="12">
        <f>tbl_base_ni_ri[[#This Row],[ni_total]]+tbl_base_ni_ri[[#This Row],[ri_total]]</f>
        <v>1186</v>
      </c>
      <c r="I866" s="6" t="str">
        <f t="shared" si="13"/>
        <v>OK</v>
      </c>
      <c r="J866" s="7"/>
    </row>
    <row r="867" spans="1:10" ht="2.75" customHeight="1">
      <c r="A867" s="16">
        <v>2029</v>
      </c>
      <c r="B867" s="6"/>
      <c r="C867" s="6" t="s">
        <v>64</v>
      </c>
      <c r="D867" s="6" t="s">
        <v>51</v>
      </c>
      <c r="E867" s="6"/>
      <c r="F867" s="6">
        <v>361</v>
      </c>
      <c r="G867" s="6">
        <v>927</v>
      </c>
      <c r="H867" s="12">
        <f>tbl_base_ni_ri[[#This Row],[ni_total]]+tbl_base_ni_ri[[#This Row],[ri_total]]</f>
        <v>1288</v>
      </c>
      <c r="I867" s="6" t="str">
        <f t="shared" si="13"/>
        <v>OK</v>
      </c>
      <c r="J867" s="7"/>
    </row>
    <row r="868" spans="1:10">
      <c r="A868" s="16">
        <v>2026</v>
      </c>
      <c r="B868" s="6"/>
      <c r="C868" s="6" t="s">
        <v>66</v>
      </c>
      <c r="D868" s="6" t="s">
        <v>51</v>
      </c>
      <c r="E868" s="6"/>
      <c r="F868" s="6">
        <v>105</v>
      </c>
      <c r="G868" s="6">
        <v>252</v>
      </c>
      <c r="H868" s="12">
        <f>tbl_base_ni_ri[[#This Row],[ni_total]]+tbl_base_ni_ri[[#This Row],[ri_total]]</f>
        <v>357</v>
      </c>
      <c r="I868" s="6" t="str">
        <f t="shared" si="13"/>
        <v>OK</v>
      </c>
      <c r="J868" s="7"/>
    </row>
    <row r="869" spans="1:10" ht="2.75" customHeight="1">
      <c r="A869" s="16">
        <v>2027</v>
      </c>
      <c r="B869" s="6"/>
      <c r="C869" s="6" t="s">
        <v>66</v>
      </c>
      <c r="D869" s="6" t="s">
        <v>51</v>
      </c>
      <c r="E869" s="6"/>
      <c r="F869" s="6">
        <v>124</v>
      </c>
      <c r="G869" s="6">
        <v>272</v>
      </c>
      <c r="H869" s="12">
        <f>tbl_base_ni_ri[[#This Row],[ni_total]]+tbl_base_ni_ri[[#This Row],[ri_total]]</f>
        <v>396</v>
      </c>
      <c r="I869" s="6" t="str">
        <f t="shared" si="13"/>
        <v>OK</v>
      </c>
      <c r="J869" s="7"/>
    </row>
    <row r="870" spans="1:10" ht="2.75" customHeight="1">
      <c r="A870" s="16">
        <v>2028</v>
      </c>
      <c r="B870" s="6"/>
      <c r="C870" s="6" t="s">
        <v>66</v>
      </c>
      <c r="D870" s="6" t="s">
        <v>51</v>
      </c>
      <c r="E870" s="6"/>
      <c r="F870" s="6">
        <v>139</v>
      </c>
      <c r="G870" s="6">
        <v>316</v>
      </c>
      <c r="H870" s="12">
        <f>tbl_base_ni_ri[[#This Row],[ni_total]]+tbl_base_ni_ri[[#This Row],[ri_total]]</f>
        <v>455</v>
      </c>
      <c r="I870" s="6" t="str">
        <f t="shared" si="13"/>
        <v>OK</v>
      </c>
      <c r="J870" s="7"/>
    </row>
    <row r="871" spans="1:10" ht="2.75" customHeight="1">
      <c r="A871" s="16">
        <v>2029</v>
      </c>
      <c r="B871" s="6"/>
      <c r="C871" s="6" t="s">
        <v>66</v>
      </c>
      <c r="D871" s="6" t="s">
        <v>51</v>
      </c>
      <c r="E871" s="6"/>
      <c r="F871" s="6">
        <v>167</v>
      </c>
      <c r="G871" s="6">
        <v>351</v>
      </c>
      <c r="H871" s="12">
        <f>tbl_base_ni_ri[[#This Row],[ni_total]]+tbl_base_ni_ri[[#This Row],[ri_total]]</f>
        <v>518</v>
      </c>
      <c r="I871" s="6" t="str">
        <f t="shared" si="13"/>
        <v>OK</v>
      </c>
      <c r="J871" s="7"/>
    </row>
    <row r="872" spans="1:10">
      <c r="A872" s="16">
        <v>2026</v>
      </c>
      <c r="B872" s="6"/>
      <c r="C872" s="6" t="s">
        <v>68</v>
      </c>
      <c r="D872" s="6" t="s">
        <v>51</v>
      </c>
      <c r="E872" s="6"/>
      <c r="F872" s="6">
        <v>240</v>
      </c>
      <c r="G872" s="6">
        <v>769</v>
      </c>
      <c r="H872" s="12">
        <f>tbl_base_ni_ri[[#This Row],[ni_total]]+tbl_base_ni_ri[[#This Row],[ri_total]]</f>
        <v>1009</v>
      </c>
      <c r="I872" s="6" t="str">
        <f t="shared" si="13"/>
        <v>OK</v>
      </c>
      <c r="J872" s="7"/>
    </row>
    <row r="873" spans="1:10" ht="2.75" customHeight="1">
      <c r="A873" s="16">
        <v>2027</v>
      </c>
      <c r="B873" s="6"/>
      <c r="C873" s="6" t="s">
        <v>68</v>
      </c>
      <c r="D873" s="6" t="s">
        <v>51</v>
      </c>
      <c r="E873" s="6"/>
      <c r="F873" s="6">
        <v>245</v>
      </c>
      <c r="G873" s="6">
        <v>664</v>
      </c>
      <c r="H873" s="12">
        <f>tbl_base_ni_ri[[#This Row],[ni_total]]+tbl_base_ni_ri[[#This Row],[ri_total]]</f>
        <v>909</v>
      </c>
      <c r="I873" s="6" t="str">
        <f t="shared" si="13"/>
        <v>OK</v>
      </c>
      <c r="J873" s="7"/>
    </row>
    <row r="874" spans="1:10" ht="2.75" customHeight="1">
      <c r="A874" s="16">
        <v>2028</v>
      </c>
      <c r="B874" s="6"/>
      <c r="C874" s="6" t="s">
        <v>68</v>
      </c>
      <c r="D874" s="6" t="s">
        <v>51</v>
      </c>
      <c r="E874" s="6"/>
      <c r="F874" s="6">
        <v>249</v>
      </c>
      <c r="G874" s="6">
        <v>632</v>
      </c>
      <c r="H874" s="12">
        <f>tbl_base_ni_ri[[#This Row],[ni_total]]+tbl_base_ni_ri[[#This Row],[ri_total]]</f>
        <v>881</v>
      </c>
      <c r="I874" s="6" t="str">
        <f t="shared" si="13"/>
        <v>OK</v>
      </c>
      <c r="J874" s="7"/>
    </row>
    <row r="875" spans="1:10" ht="2.75" customHeight="1">
      <c r="A875" s="16">
        <v>2029</v>
      </c>
      <c r="B875" s="6"/>
      <c r="C875" s="6" t="s">
        <v>68</v>
      </c>
      <c r="D875" s="6" t="s">
        <v>51</v>
      </c>
      <c r="E875" s="6"/>
      <c r="F875" s="6">
        <v>252</v>
      </c>
      <c r="G875" s="6">
        <v>658</v>
      </c>
      <c r="H875" s="12">
        <f>tbl_base_ni_ri[[#This Row],[ni_total]]+tbl_base_ni_ri[[#This Row],[ri_total]]</f>
        <v>910</v>
      </c>
      <c r="I875" s="6" t="str">
        <f t="shared" si="13"/>
        <v>OK</v>
      </c>
      <c r="J875" s="7"/>
    </row>
    <row r="876" spans="1:10">
      <c r="A876" s="16">
        <v>2026</v>
      </c>
      <c r="B876" s="6"/>
      <c r="C876" s="6" t="s">
        <v>69</v>
      </c>
      <c r="D876" s="6" t="s">
        <v>51</v>
      </c>
      <c r="E876" s="6"/>
      <c r="F876" s="6">
        <v>160</v>
      </c>
      <c r="G876" s="6">
        <v>671</v>
      </c>
      <c r="H876" s="12">
        <f>tbl_base_ni_ri[[#This Row],[ni_total]]+tbl_base_ni_ri[[#This Row],[ri_total]]</f>
        <v>831</v>
      </c>
      <c r="I876" s="6" t="str">
        <f t="shared" si="13"/>
        <v>OK</v>
      </c>
      <c r="J876" s="7"/>
    </row>
    <row r="877" spans="1:10" ht="2.75" customHeight="1">
      <c r="A877" s="16">
        <v>2027</v>
      </c>
      <c r="B877" s="6"/>
      <c r="C877" s="6" t="s">
        <v>69</v>
      </c>
      <c r="D877" s="6" t="s">
        <v>51</v>
      </c>
      <c r="E877" s="6"/>
      <c r="F877" s="6">
        <v>165</v>
      </c>
      <c r="G877" s="6">
        <v>681</v>
      </c>
      <c r="H877" s="12">
        <f>tbl_base_ni_ri[[#This Row],[ni_total]]+tbl_base_ni_ri[[#This Row],[ri_total]]</f>
        <v>846</v>
      </c>
      <c r="I877" s="6" t="str">
        <f t="shared" si="13"/>
        <v>OK</v>
      </c>
      <c r="J877" s="7"/>
    </row>
    <row r="878" spans="1:10" ht="2.75" customHeight="1">
      <c r="A878" s="16">
        <v>2028</v>
      </c>
      <c r="B878" s="6"/>
      <c r="C878" s="6" t="s">
        <v>69</v>
      </c>
      <c r="D878" s="6" t="s">
        <v>51</v>
      </c>
      <c r="E878" s="6"/>
      <c r="F878" s="6">
        <v>171</v>
      </c>
      <c r="G878" s="6">
        <v>667</v>
      </c>
      <c r="H878" s="12">
        <f>tbl_base_ni_ri[[#This Row],[ni_total]]+tbl_base_ni_ri[[#This Row],[ri_total]]</f>
        <v>838</v>
      </c>
      <c r="I878" s="6" t="str">
        <f t="shared" si="13"/>
        <v>OK</v>
      </c>
      <c r="J878" s="7"/>
    </row>
    <row r="879" spans="1:10" ht="2.75" customHeight="1">
      <c r="A879" s="16">
        <v>2029</v>
      </c>
      <c r="B879" s="6"/>
      <c r="C879" s="6" t="s">
        <v>69</v>
      </c>
      <c r="D879" s="6" t="s">
        <v>51</v>
      </c>
      <c r="E879" s="6"/>
      <c r="F879" s="6">
        <v>217</v>
      </c>
      <c r="G879" s="6">
        <v>690</v>
      </c>
      <c r="H879" s="12">
        <f>tbl_base_ni_ri[[#This Row],[ni_total]]+tbl_base_ni_ri[[#This Row],[ri_total]]</f>
        <v>907</v>
      </c>
      <c r="I879" s="6" t="str">
        <f t="shared" si="13"/>
        <v>OK</v>
      </c>
      <c r="J879" s="7"/>
    </row>
    <row r="880" spans="1:10">
      <c r="A880" s="16">
        <v>2026</v>
      </c>
      <c r="B880" s="6"/>
      <c r="C880" s="6" t="s">
        <v>71</v>
      </c>
      <c r="D880" s="6" t="s">
        <v>51</v>
      </c>
      <c r="E880" s="6"/>
      <c r="F880" s="6">
        <v>50</v>
      </c>
      <c r="G880" s="6">
        <v>124</v>
      </c>
      <c r="H880" s="12">
        <f>tbl_base_ni_ri[[#This Row],[ni_total]]+tbl_base_ni_ri[[#This Row],[ri_total]]</f>
        <v>174</v>
      </c>
      <c r="I880" s="6" t="str">
        <f t="shared" si="13"/>
        <v>OK</v>
      </c>
      <c r="J880" s="7"/>
    </row>
    <row r="881" spans="1:10" ht="2.75" customHeight="1">
      <c r="A881" s="16">
        <v>2027</v>
      </c>
      <c r="B881" s="6"/>
      <c r="C881" s="6" t="s">
        <v>71</v>
      </c>
      <c r="D881" s="6" t="s">
        <v>51</v>
      </c>
      <c r="E881" s="6"/>
      <c r="F881" s="6">
        <v>53</v>
      </c>
      <c r="G881" s="6">
        <v>134</v>
      </c>
      <c r="H881" s="12">
        <f>tbl_base_ni_ri[[#This Row],[ni_total]]+tbl_base_ni_ri[[#This Row],[ri_total]]</f>
        <v>187</v>
      </c>
      <c r="I881" s="6" t="str">
        <f t="shared" si="13"/>
        <v>OK</v>
      </c>
      <c r="J881" s="7"/>
    </row>
    <row r="882" spans="1:10">
      <c r="A882" s="16">
        <v>2028</v>
      </c>
      <c r="B882" s="6"/>
      <c r="C882" s="6" t="s">
        <v>71</v>
      </c>
      <c r="D882" s="6" t="s">
        <v>51</v>
      </c>
      <c r="E882" s="6"/>
      <c r="F882" s="6">
        <v>70</v>
      </c>
      <c r="G882" s="6">
        <v>148</v>
      </c>
      <c r="H882" s="12">
        <f>tbl_base_ni_ri[[#This Row],[ni_total]]+tbl_base_ni_ri[[#This Row],[ri_total]]</f>
        <v>218</v>
      </c>
      <c r="I882" s="6" t="str">
        <f t="shared" si="13"/>
        <v>OK</v>
      </c>
      <c r="J882" s="7"/>
    </row>
    <row r="883" spans="1:10">
      <c r="A883" s="16">
        <v>2029</v>
      </c>
      <c r="B883" s="6"/>
      <c r="C883" s="6" t="s">
        <v>71</v>
      </c>
      <c r="D883" s="6" t="s">
        <v>51</v>
      </c>
      <c r="E883" s="6"/>
      <c r="F883" s="6">
        <v>105</v>
      </c>
      <c r="G883" s="6">
        <v>178</v>
      </c>
      <c r="H883" s="12">
        <f>tbl_base_ni_ri[[#This Row],[ni_total]]+tbl_base_ni_ri[[#This Row],[ri_total]]</f>
        <v>283</v>
      </c>
      <c r="I883" s="6" t="str">
        <f t="shared" si="13"/>
        <v>OK</v>
      </c>
      <c r="J883" s="7"/>
    </row>
    <row r="884" spans="1:10">
      <c r="A884" s="16">
        <v>2026</v>
      </c>
      <c r="B884" s="6"/>
      <c r="C884" s="6" t="s">
        <v>73</v>
      </c>
      <c r="D884" s="6" t="s">
        <v>51</v>
      </c>
      <c r="E884" s="6"/>
      <c r="F884" s="6">
        <v>258</v>
      </c>
      <c r="G884" s="6">
        <v>882</v>
      </c>
      <c r="H884" s="12">
        <f>tbl_base_ni_ri[[#This Row],[ni_total]]+tbl_base_ni_ri[[#This Row],[ri_total]]</f>
        <v>1140</v>
      </c>
      <c r="I884" s="6" t="str">
        <f t="shared" si="13"/>
        <v>OK</v>
      </c>
      <c r="J884" s="7"/>
    </row>
    <row r="885" spans="1:10">
      <c r="A885" s="16">
        <v>2027</v>
      </c>
      <c r="B885" s="6"/>
      <c r="C885" s="6" t="s">
        <v>73</v>
      </c>
      <c r="D885" s="6" t="s">
        <v>51</v>
      </c>
      <c r="E885" s="6"/>
      <c r="F885" s="6">
        <v>268</v>
      </c>
      <c r="G885" s="6">
        <v>900</v>
      </c>
      <c r="H885" s="12">
        <f>tbl_base_ni_ri[[#This Row],[ni_total]]+tbl_base_ni_ri[[#This Row],[ri_total]]</f>
        <v>1168</v>
      </c>
      <c r="I885" s="6" t="str">
        <f t="shared" si="13"/>
        <v>OK</v>
      </c>
      <c r="J885" s="7"/>
    </row>
    <row r="886" spans="1:10">
      <c r="A886" s="16">
        <v>2028</v>
      </c>
      <c r="B886" s="6"/>
      <c r="C886" s="6" t="s">
        <v>73</v>
      </c>
      <c r="D886" s="6" t="s">
        <v>51</v>
      </c>
      <c r="E886" s="6"/>
      <c r="F886" s="6">
        <v>276</v>
      </c>
      <c r="G886" s="6">
        <v>956</v>
      </c>
      <c r="H886" s="12">
        <f>tbl_base_ni_ri[[#This Row],[ni_total]]+tbl_base_ni_ri[[#This Row],[ri_total]]</f>
        <v>1232</v>
      </c>
      <c r="I886" s="6" t="str">
        <f t="shared" si="13"/>
        <v>OK</v>
      </c>
      <c r="J886" s="7"/>
    </row>
    <row r="887" spans="1:10">
      <c r="A887" s="16">
        <v>2029</v>
      </c>
      <c r="B887" s="6"/>
      <c r="C887" s="6" t="s">
        <v>73</v>
      </c>
      <c r="D887" s="6" t="s">
        <v>51</v>
      </c>
      <c r="E887" s="6"/>
      <c r="F887" s="6">
        <v>287</v>
      </c>
      <c r="G887" s="6">
        <v>979</v>
      </c>
      <c r="H887" s="12">
        <f>tbl_base_ni_ri[[#This Row],[ni_total]]+tbl_base_ni_ri[[#This Row],[ri_total]]</f>
        <v>1266</v>
      </c>
      <c r="I887" s="6" t="str">
        <f t="shared" si="13"/>
        <v>OK</v>
      </c>
      <c r="J887" s="7"/>
    </row>
    <row r="888" spans="1:10">
      <c r="A888" s="16">
        <v>2026</v>
      </c>
      <c r="B888" s="6"/>
      <c r="C888" s="6" t="s">
        <v>74</v>
      </c>
      <c r="D888" s="6" t="s">
        <v>51</v>
      </c>
      <c r="E888" s="6"/>
      <c r="F888" s="6">
        <v>105</v>
      </c>
      <c r="G888" s="6">
        <v>345</v>
      </c>
      <c r="H888" s="12">
        <f>tbl_base_ni_ri[[#This Row],[ni_total]]+tbl_base_ni_ri[[#This Row],[ri_total]]</f>
        <v>450</v>
      </c>
      <c r="I888" s="6" t="str">
        <f t="shared" si="13"/>
        <v>OK</v>
      </c>
      <c r="J888" s="7"/>
    </row>
    <row r="889" spans="1:10">
      <c r="A889" s="16">
        <v>2027</v>
      </c>
      <c r="B889" s="6"/>
      <c r="C889" s="6" t="s">
        <v>74</v>
      </c>
      <c r="D889" s="6" t="s">
        <v>51</v>
      </c>
      <c r="E889" s="6"/>
      <c r="F889" s="6">
        <v>111</v>
      </c>
      <c r="G889" s="6">
        <v>356</v>
      </c>
      <c r="H889" s="12">
        <f>tbl_base_ni_ri[[#This Row],[ni_total]]+tbl_base_ni_ri[[#This Row],[ri_total]]</f>
        <v>467</v>
      </c>
      <c r="I889" s="6" t="str">
        <f t="shared" si="13"/>
        <v>OK</v>
      </c>
      <c r="J889" s="7"/>
    </row>
    <row r="890" spans="1:10">
      <c r="A890" s="16">
        <v>2028</v>
      </c>
      <c r="B890" s="6"/>
      <c r="C890" s="6" t="s">
        <v>74</v>
      </c>
      <c r="D890" s="6" t="s">
        <v>51</v>
      </c>
      <c r="E890" s="6"/>
      <c r="F890" s="6">
        <v>115</v>
      </c>
      <c r="G890" s="6">
        <v>392</v>
      </c>
      <c r="H890" s="12">
        <f>tbl_base_ni_ri[[#This Row],[ni_total]]+tbl_base_ni_ri[[#This Row],[ri_total]]</f>
        <v>507</v>
      </c>
      <c r="I890" s="6" t="str">
        <f t="shared" si="13"/>
        <v>OK</v>
      </c>
      <c r="J890" s="7"/>
    </row>
    <row r="891" spans="1:10">
      <c r="A891" s="16">
        <v>2029</v>
      </c>
      <c r="B891" s="6"/>
      <c r="C891" s="6" t="s">
        <v>74</v>
      </c>
      <c r="D891" s="6" t="s">
        <v>51</v>
      </c>
      <c r="E891" s="6"/>
      <c r="F891" s="6">
        <v>121</v>
      </c>
      <c r="G891" s="6">
        <v>439</v>
      </c>
      <c r="H891" s="12">
        <f>tbl_base_ni_ri[[#This Row],[ni_total]]+tbl_base_ni_ri[[#This Row],[ri_total]]</f>
        <v>560</v>
      </c>
      <c r="I891" s="6" t="str">
        <f t="shared" si="13"/>
        <v>OK</v>
      </c>
      <c r="J891" s="7"/>
    </row>
    <row r="892" spans="1:10">
      <c r="A892" s="16">
        <v>2026</v>
      </c>
      <c r="B892" s="6"/>
      <c r="C892" s="6" t="s">
        <v>75</v>
      </c>
      <c r="D892" s="6" t="s">
        <v>51</v>
      </c>
      <c r="E892" s="6"/>
      <c r="F892" s="6">
        <v>180</v>
      </c>
      <c r="G892" s="6">
        <v>685</v>
      </c>
      <c r="H892" s="12">
        <f>tbl_base_ni_ri[[#This Row],[ni_total]]+tbl_base_ni_ri[[#This Row],[ri_total]]</f>
        <v>865</v>
      </c>
      <c r="I892" s="6" t="str">
        <f t="shared" si="13"/>
        <v>OK</v>
      </c>
      <c r="J892" s="7"/>
    </row>
    <row r="893" spans="1:10">
      <c r="A893" s="16">
        <v>2027</v>
      </c>
      <c r="B893" s="6"/>
      <c r="C893" s="6" t="s">
        <v>75</v>
      </c>
      <c r="D893" s="6" t="s">
        <v>51</v>
      </c>
      <c r="E893" s="6"/>
      <c r="F893" s="6">
        <v>202</v>
      </c>
      <c r="G893" s="6">
        <v>689</v>
      </c>
      <c r="H893" s="12">
        <f>tbl_base_ni_ri[[#This Row],[ni_total]]+tbl_base_ni_ri[[#This Row],[ri_total]]</f>
        <v>891</v>
      </c>
      <c r="I893" s="6" t="str">
        <f t="shared" si="13"/>
        <v>OK</v>
      </c>
      <c r="J893" s="7"/>
    </row>
    <row r="894" spans="1:10">
      <c r="A894" s="16">
        <v>2028</v>
      </c>
      <c r="B894" s="6"/>
      <c r="C894" s="6" t="s">
        <v>75</v>
      </c>
      <c r="D894" s="6" t="s">
        <v>51</v>
      </c>
      <c r="E894" s="6"/>
      <c r="F894" s="6">
        <v>208</v>
      </c>
      <c r="G894" s="6">
        <v>713</v>
      </c>
      <c r="H894" s="12">
        <f>tbl_base_ni_ri[[#This Row],[ni_total]]+tbl_base_ni_ri[[#This Row],[ri_total]]</f>
        <v>921</v>
      </c>
      <c r="I894" s="6" t="str">
        <f t="shared" si="13"/>
        <v>OK</v>
      </c>
      <c r="J894" s="7"/>
    </row>
    <row r="895" spans="1:10">
      <c r="A895" s="16">
        <v>2029</v>
      </c>
      <c r="B895" s="6"/>
      <c r="C895" s="6" t="s">
        <v>75</v>
      </c>
      <c r="D895" s="6" t="s">
        <v>51</v>
      </c>
      <c r="E895" s="6"/>
      <c r="F895" s="6">
        <v>239</v>
      </c>
      <c r="G895" s="6">
        <v>769</v>
      </c>
      <c r="H895" s="12">
        <f>tbl_base_ni_ri[[#This Row],[ni_total]]+tbl_base_ni_ri[[#This Row],[ri_total]]</f>
        <v>1008</v>
      </c>
      <c r="I895" s="6" t="str">
        <f t="shared" si="13"/>
        <v>OK</v>
      </c>
      <c r="J895" s="7"/>
    </row>
    <row r="896" spans="1:10">
      <c r="A896" s="16">
        <v>2026</v>
      </c>
      <c r="B896" s="6"/>
      <c r="C896" s="6" t="s">
        <v>76</v>
      </c>
      <c r="D896" s="6" t="s">
        <v>51</v>
      </c>
      <c r="E896" s="6"/>
      <c r="F896" s="6">
        <v>50</v>
      </c>
      <c r="G896" s="6">
        <v>188</v>
      </c>
      <c r="H896" s="12">
        <f>tbl_base_ni_ri[[#This Row],[ni_total]]+tbl_base_ni_ri[[#This Row],[ri_total]]</f>
        <v>238</v>
      </c>
      <c r="I896" s="6" t="str">
        <f t="shared" si="13"/>
        <v>OK</v>
      </c>
      <c r="J896" s="7"/>
    </row>
    <row r="897" spans="1:10">
      <c r="A897" s="16">
        <v>2027</v>
      </c>
      <c r="B897" s="6"/>
      <c r="C897" s="6" t="s">
        <v>76</v>
      </c>
      <c r="D897" s="6" t="s">
        <v>51</v>
      </c>
      <c r="E897" s="6"/>
      <c r="F897" s="6">
        <v>62</v>
      </c>
      <c r="G897" s="6">
        <v>183</v>
      </c>
      <c r="H897" s="12">
        <f>tbl_base_ni_ri[[#This Row],[ni_total]]+tbl_base_ni_ri[[#This Row],[ri_total]]</f>
        <v>245</v>
      </c>
      <c r="I897" s="6" t="str">
        <f t="shared" si="13"/>
        <v>OK</v>
      </c>
      <c r="J897" s="7"/>
    </row>
    <row r="898" spans="1:10">
      <c r="A898" s="16">
        <v>2028</v>
      </c>
      <c r="B898" s="6"/>
      <c r="C898" s="6" t="s">
        <v>76</v>
      </c>
      <c r="D898" s="6" t="s">
        <v>51</v>
      </c>
      <c r="E898" s="6"/>
      <c r="F898" s="6">
        <v>83</v>
      </c>
      <c r="G898" s="6">
        <v>173</v>
      </c>
      <c r="H898" s="12">
        <f>tbl_base_ni_ri[[#This Row],[ni_total]]+tbl_base_ni_ri[[#This Row],[ri_total]]</f>
        <v>256</v>
      </c>
      <c r="I898" s="6" t="str">
        <f t="shared" si="13"/>
        <v>OK</v>
      </c>
      <c r="J898" s="7"/>
    </row>
    <row r="899" spans="1:10">
      <c r="A899" s="16">
        <v>2029</v>
      </c>
      <c r="B899" s="6"/>
      <c r="C899" s="6" t="s">
        <v>76</v>
      </c>
      <c r="D899" s="6" t="s">
        <v>51</v>
      </c>
      <c r="E899" s="6"/>
      <c r="F899" s="6">
        <v>130</v>
      </c>
      <c r="G899" s="6">
        <v>205</v>
      </c>
      <c r="H899" s="12">
        <f>tbl_base_ni_ri[[#This Row],[ni_total]]+tbl_base_ni_ri[[#This Row],[ri_total]]</f>
        <v>335</v>
      </c>
      <c r="I899" s="6" t="str">
        <f t="shared" si="13"/>
        <v>OK</v>
      </c>
      <c r="J899" s="7"/>
    </row>
    <row r="900" spans="1:10">
      <c r="A900" s="16">
        <v>2026</v>
      </c>
      <c r="B900" s="6"/>
      <c r="C900" s="6" t="s">
        <v>77</v>
      </c>
      <c r="D900" s="6" t="s">
        <v>51</v>
      </c>
      <c r="E900" s="6"/>
      <c r="F900" s="6">
        <v>160</v>
      </c>
      <c r="G900" s="6">
        <v>479</v>
      </c>
      <c r="H900" s="12">
        <f>tbl_base_ni_ri[[#This Row],[ni_total]]+tbl_base_ni_ri[[#This Row],[ri_total]]</f>
        <v>639</v>
      </c>
      <c r="I900" s="6" t="str">
        <f t="shared" si="13"/>
        <v>OK</v>
      </c>
      <c r="J900" s="7"/>
    </row>
    <row r="901" spans="1:10">
      <c r="A901" s="16">
        <v>2027</v>
      </c>
      <c r="B901" s="6"/>
      <c r="C901" s="6" t="s">
        <v>77</v>
      </c>
      <c r="D901" s="6" t="s">
        <v>51</v>
      </c>
      <c r="E901" s="6"/>
      <c r="F901" s="6">
        <v>163</v>
      </c>
      <c r="G901" s="6">
        <v>481</v>
      </c>
      <c r="H901" s="12">
        <f>tbl_base_ni_ri[[#This Row],[ni_total]]+tbl_base_ni_ri[[#This Row],[ri_total]]</f>
        <v>644</v>
      </c>
      <c r="I901" s="6" t="str">
        <f t="shared" ref="I901:I964" si="14">IF(OR(F901="",G901="",H901=""),"",IF(ABS(H901-F901-G901)&lt;0.01,"OK","Revisar MT"))</f>
        <v>OK</v>
      </c>
      <c r="J901" s="7"/>
    </row>
    <row r="902" spans="1:10">
      <c r="A902" s="16">
        <v>2028</v>
      </c>
      <c r="B902" s="6"/>
      <c r="C902" s="6" t="s">
        <v>77</v>
      </c>
      <c r="D902" s="6" t="s">
        <v>51</v>
      </c>
      <c r="E902" s="6"/>
      <c r="F902" s="6">
        <v>190</v>
      </c>
      <c r="G902" s="6">
        <v>502</v>
      </c>
      <c r="H902" s="12">
        <f>tbl_base_ni_ri[[#This Row],[ni_total]]+tbl_base_ni_ri[[#This Row],[ri_total]]</f>
        <v>692</v>
      </c>
      <c r="I902" s="6" t="str">
        <f t="shared" si="14"/>
        <v>OK</v>
      </c>
      <c r="J902" s="7"/>
    </row>
    <row r="903" spans="1:10">
      <c r="A903" s="16">
        <v>2029</v>
      </c>
      <c r="B903" s="6"/>
      <c r="C903" s="6" t="s">
        <v>77</v>
      </c>
      <c r="D903" s="6" t="s">
        <v>51</v>
      </c>
      <c r="E903" s="6"/>
      <c r="F903" s="6">
        <v>208</v>
      </c>
      <c r="G903" s="6">
        <v>469</v>
      </c>
      <c r="H903" s="12">
        <f>tbl_base_ni_ri[[#This Row],[ni_total]]+tbl_base_ni_ri[[#This Row],[ri_total]]</f>
        <v>677</v>
      </c>
      <c r="I903" s="6" t="str">
        <f t="shared" si="14"/>
        <v>OK</v>
      </c>
      <c r="J903" s="7"/>
    </row>
    <row r="904" spans="1:10">
      <c r="A904" s="16">
        <v>2026</v>
      </c>
      <c r="B904" s="6"/>
      <c r="C904" s="6" t="s">
        <v>78</v>
      </c>
      <c r="D904" s="6" t="s">
        <v>51</v>
      </c>
      <c r="E904" s="6"/>
      <c r="F904" s="6">
        <v>725</v>
      </c>
      <c r="G904" s="6">
        <v>2663</v>
      </c>
      <c r="H904" s="12">
        <f>tbl_base_ni_ri[[#This Row],[ni_total]]+tbl_base_ni_ri[[#This Row],[ri_total]]</f>
        <v>3388</v>
      </c>
      <c r="I904" s="6" t="str">
        <f t="shared" si="14"/>
        <v>OK</v>
      </c>
      <c r="J904" s="7"/>
    </row>
    <row r="905" spans="1:10">
      <c r="A905" s="16">
        <v>2027</v>
      </c>
      <c r="B905" s="6"/>
      <c r="C905" s="6" t="s">
        <v>78</v>
      </c>
      <c r="D905" s="6" t="s">
        <v>51</v>
      </c>
      <c r="E905" s="6"/>
      <c r="F905" s="6">
        <v>747</v>
      </c>
      <c r="G905" s="6">
        <v>2659</v>
      </c>
      <c r="H905" s="12">
        <f>tbl_base_ni_ri[[#This Row],[ni_total]]+tbl_base_ni_ri[[#This Row],[ri_total]]</f>
        <v>3406</v>
      </c>
      <c r="I905" s="6" t="str">
        <f t="shared" si="14"/>
        <v>OK</v>
      </c>
      <c r="J905" s="7"/>
    </row>
    <row r="906" spans="1:10">
      <c r="A906" s="16">
        <v>2028</v>
      </c>
      <c r="B906" s="6"/>
      <c r="C906" s="6" t="s">
        <v>78</v>
      </c>
      <c r="D906" s="6" t="s">
        <v>51</v>
      </c>
      <c r="E906" s="6"/>
      <c r="F906" s="6">
        <v>765</v>
      </c>
      <c r="G906" s="6">
        <v>2666</v>
      </c>
      <c r="H906" s="12">
        <f>tbl_base_ni_ri[[#This Row],[ni_total]]+tbl_base_ni_ri[[#This Row],[ri_total]]</f>
        <v>3431</v>
      </c>
      <c r="I906" s="6" t="str">
        <f t="shared" si="14"/>
        <v>OK</v>
      </c>
      <c r="J906" s="7"/>
    </row>
    <row r="907" spans="1:10">
      <c r="A907" s="16">
        <v>2029</v>
      </c>
      <c r="B907" s="6"/>
      <c r="C907" s="6" t="s">
        <v>78</v>
      </c>
      <c r="D907" s="6" t="s">
        <v>51</v>
      </c>
      <c r="E907" s="6"/>
      <c r="F907" s="6">
        <v>876</v>
      </c>
      <c r="G907" s="6">
        <v>2743</v>
      </c>
      <c r="H907" s="12">
        <f>tbl_base_ni_ri[[#This Row],[ni_total]]+tbl_base_ni_ri[[#This Row],[ri_total]]</f>
        <v>3619</v>
      </c>
      <c r="I907" s="6" t="str">
        <f t="shared" si="14"/>
        <v>OK</v>
      </c>
      <c r="J907" s="7"/>
    </row>
    <row r="908" spans="1:10">
      <c r="A908" s="16">
        <v>2026</v>
      </c>
      <c r="B908" s="6"/>
      <c r="C908" s="6" t="s">
        <v>79</v>
      </c>
      <c r="D908" s="6" t="s">
        <v>51</v>
      </c>
      <c r="E908" s="6"/>
      <c r="F908" s="6">
        <v>36</v>
      </c>
      <c r="G908" s="6">
        <v>108</v>
      </c>
      <c r="H908" s="12">
        <f>tbl_base_ni_ri[[#This Row],[ni_total]]+tbl_base_ni_ri[[#This Row],[ri_total]]</f>
        <v>144</v>
      </c>
      <c r="I908" s="6" t="str">
        <f t="shared" si="14"/>
        <v>OK</v>
      </c>
      <c r="J908" s="7"/>
    </row>
    <row r="909" spans="1:10">
      <c r="A909" s="16">
        <v>2027</v>
      </c>
      <c r="B909" s="6"/>
      <c r="C909" s="6" t="s">
        <v>79</v>
      </c>
      <c r="D909" s="6" t="s">
        <v>51</v>
      </c>
      <c r="E909" s="6"/>
      <c r="F909" s="6">
        <v>38</v>
      </c>
      <c r="G909" s="6">
        <v>126</v>
      </c>
      <c r="H909" s="12">
        <f>tbl_base_ni_ri[[#This Row],[ni_total]]+tbl_base_ni_ri[[#This Row],[ri_total]]</f>
        <v>164</v>
      </c>
      <c r="I909" s="6" t="str">
        <f t="shared" si="14"/>
        <v>OK</v>
      </c>
      <c r="J909" s="7"/>
    </row>
    <row r="910" spans="1:10">
      <c r="A910" s="16">
        <v>2028</v>
      </c>
      <c r="B910" s="6"/>
      <c r="C910" s="6" t="s">
        <v>79</v>
      </c>
      <c r="D910" s="6" t="s">
        <v>51</v>
      </c>
      <c r="E910" s="6"/>
      <c r="F910" s="6">
        <v>40</v>
      </c>
      <c r="G910" s="6">
        <v>133</v>
      </c>
      <c r="H910" s="12">
        <f>tbl_base_ni_ri[[#This Row],[ni_total]]+tbl_base_ni_ri[[#This Row],[ri_total]]</f>
        <v>173</v>
      </c>
      <c r="I910" s="6" t="str">
        <f t="shared" si="14"/>
        <v>OK</v>
      </c>
      <c r="J910" s="7"/>
    </row>
    <row r="911" spans="1:10">
      <c r="A911" s="16">
        <v>2029</v>
      </c>
      <c r="B911" s="6"/>
      <c r="C911" s="6" t="s">
        <v>79</v>
      </c>
      <c r="D911" s="6" t="s">
        <v>51</v>
      </c>
      <c r="E911" s="6"/>
      <c r="F911" s="6">
        <v>42</v>
      </c>
      <c r="G911" s="6">
        <v>143</v>
      </c>
      <c r="H911" s="12">
        <f>tbl_base_ni_ri[[#This Row],[ni_total]]+tbl_base_ni_ri[[#This Row],[ri_total]]</f>
        <v>185</v>
      </c>
      <c r="I911" s="6" t="str">
        <f t="shared" si="14"/>
        <v>OK</v>
      </c>
      <c r="J911" s="7"/>
    </row>
    <row r="912" spans="1:10">
      <c r="A912" s="16">
        <v>2026</v>
      </c>
      <c r="B912" s="6"/>
      <c r="C912" s="6" t="s">
        <v>80</v>
      </c>
      <c r="D912" s="6" t="s">
        <v>51</v>
      </c>
      <c r="E912" s="6"/>
      <c r="F912" s="6">
        <v>131</v>
      </c>
      <c r="G912" s="6">
        <v>382</v>
      </c>
      <c r="H912" s="12">
        <f>tbl_base_ni_ri[[#This Row],[ni_total]]+tbl_base_ni_ri[[#This Row],[ri_total]]</f>
        <v>513</v>
      </c>
      <c r="I912" s="6" t="str">
        <f t="shared" si="14"/>
        <v>OK</v>
      </c>
      <c r="J912" s="7"/>
    </row>
    <row r="913" spans="1:10">
      <c r="A913" s="16">
        <v>2027</v>
      </c>
      <c r="B913" s="6"/>
      <c r="C913" s="6" t="s">
        <v>80</v>
      </c>
      <c r="D913" s="6" t="s">
        <v>51</v>
      </c>
      <c r="E913" s="6"/>
      <c r="F913" s="6">
        <v>135</v>
      </c>
      <c r="G913" s="6">
        <v>414</v>
      </c>
      <c r="H913" s="12">
        <f>tbl_base_ni_ri[[#This Row],[ni_total]]+tbl_base_ni_ri[[#This Row],[ri_total]]</f>
        <v>549</v>
      </c>
      <c r="I913" s="6" t="str">
        <f t="shared" si="14"/>
        <v>OK</v>
      </c>
      <c r="J913" s="7"/>
    </row>
    <row r="914" spans="1:10">
      <c r="A914" s="16">
        <v>2028</v>
      </c>
      <c r="B914" s="6"/>
      <c r="C914" s="6" t="s">
        <v>80</v>
      </c>
      <c r="D914" s="6" t="s">
        <v>51</v>
      </c>
      <c r="E914" s="6"/>
      <c r="F914" s="6">
        <v>150</v>
      </c>
      <c r="G914" s="6">
        <v>414</v>
      </c>
      <c r="H914" s="12">
        <f>tbl_base_ni_ri[[#This Row],[ni_total]]+tbl_base_ni_ri[[#This Row],[ri_total]]</f>
        <v>564</v>
      </c>
      <c r="I914" s="6" t="str">
        <f t="shared" si="14"/>
        <v>OK</v>
      </c>
      <c r="J914" s="7"/>
    </row>
    <row r="915" spans="1:10">
      <c r="A915" s="16">
        <v>2029</v>
      </c>
      <c r="B915" s="6"/>
      <c r="C915" s="6" t="s">
        <v>80</v>
      </c>
      <c r="D915" s="6" t="s">
        <v>51</v>
      </c>
      <c r="E915" s="6"/>
      <c r="F915" s="6">
        <v>160</v>
      </c>
      <c r="G915" s="6">
        <v>421</v>
      </c>
      <c r="H915" s="12">
        <f>tbl_base_ni_ri[[#This Row],[ni_total]]+tbl_base_ni_ri[[#This Row],[ri_total]]</f>
        <v>581</v>
      </c>
      <c r="I915" s="6" t="str">
        <f t="shared" si="14"/>
        <v>OK</v>
      </c>
      <c r="J915" s="7"/>
    </row>
    <row r="916" spans="1:10">
      <c r="A916" s="16">
        <v>2026</v>
      </c>
      <c r="B916" s="6"/>
      <c r="C916" s="6" t="s">
        <v>81</v>
      </c>
      <c r="D916" s="6" t="s">
        <v>51</v>
      </c>
      <c r="E916" s="6"/>
      <c r="F916" s="6">
        <v>60</v>
      </c>
      <c r="G916" s="6">
        <v>164</v>
      </c>
      <c r="H916" s="12">
        <f>tbl_base_ni_ri[[#This Row],[ni_total]]+tbl_base_ni_ri[[#This Row],[ri_total]]</f>
        <v>224</v>
      </c>
      <c r="I916" s="6" t="str">
        <f t="shared" si="14"/>
        <v>OK</v>
      </c>
      <c r="J916" s="7"/>
    </row>
    <row r="917" spans="1:10">
      <c r="A917" s="16">
        <v>2027</v>
      </c>
      <c r="B917" s="6"/>
      <c r="C917" s="6" t="s">
        <v>81</v>
      </c>
      <c r="D917" s="6" t="s">
        <v>51</v>
      </c>
      <c r="E917" s="6"/>
      <c r="F917" s="6">
        <v>75</v>
      </c>
      <c r="G917" s="6">
        <v>143</v>
      </c>
      <c r="H917" s="12">
        <f>tbl_base_ni_ri[[#This Row],[ni_total]]+tbl_base_ni_ri[[#This Row],[ri_total]]</f>
        <v>218</v>
      </c>
      <c r="I917" s="6" t="str">
        <f t="shared" si="14"/>
        <v>OK</v>
      </c>
      <c r="J917" s="7"/>
    </row>
    <row r="918" spans="1:10">
      <c r="A918" s="16">
        <v>2028</v>
      </c>
      <c r="B918" s="6"/>
      <c r="C918" s="6" t="s">
        <v>81</v>
      </c>
      <c r="D918" s="6" t="s">
        <v>51</v>
      </c>
      <c r="E918" s="6"/>
      <c r="F918" s="6">
        <v>89</v>
      </c>
      <c r="G918" s="6">
        <v>140</v>
      </c>
      <c r="H918" s="12">
        <f>tbl_base_ni_ri[[#This Row],[ni_total]]+tbl_base_ni_ri[[#This Row],[ri_total]]</f>
        <v>229</v>
      </c>
      <c r="I918" s="6" t="str">
        <f t="shared" si="14"/>
        <v>OK</v>
      </c>
      <c r="J918" s="7"/>
    </row>
    <row r="919" spans="1:10">
      <c r="A919" s="16">
        <v>2029</v>
      </c>
      <c r="B919" s="6"/>
      <c r="C919" s="6" t="s">
        <v>81</v>
      </c>
      <c r="D919" s="6" t="s">
        <v>51</v>
      </c>
      <c r="E919" s="6"/>
      <c r="F919" s="6">
        <v>120</v>
      </c>
      <c r="G919" s="6">
        <v>166</v>
      </c>
      <c r="H919" s="12">
        <f>tbl_base_ni_ri[[#This Row],[ni_total]]+tbl_base_ni_ri[[#This Row],[ri_total]]</f>
        <v>286</v>
      </c>
      <c r="I919" s="6" t="str">
        <f t="shared" si="14"/>
        <v>OK</v>
      </c>
      <c r="J919" s="7"/>
    </row>
    <row r="920" spans="1:10">
      <c r="A920" s="16">
        <v>2026</v>
      </c>
      <c r="B920" s="6"/>
      <c r="C920" s="6" t="s">
        <v>82</v>
      </c>
      <c r="D920" s="6" t="s">
        <v>51</v>
      </c>
      <c r="E920" s="6"/>
      <c r="F920" s="6">
        <v>70</v>
      </c>
      <c r="G920" s="6">
        <v>211</v>
      </c>
      <c r="H920" s="12">
        <f>tbl_base_ni_ri[[#This Row],[ni_total]]+tbl_base_ni_ri[[#This Row],[ri_total]]</f>
        <v>281</v>
      </c>
      <c r="I920" s="6" t="str">
        <f t="shared" si="14"/>
        <v>OK</v>
      </c>
      <c r="J920" s="7"/>
    </row>
    <row r="921" spans="1:10">
      <c r="A921" s="16">
        <v>2027</v>
      </c>
      <c r="B921" s="6"/>
      <c r="C921" s="6" t="s">
        <v>82</v>
      </c>
      <c r="D921" s="6" t="s">
        <v>51</v>
      </c>
      <c r="E921" s="6"/>
      <c r="F921" s="6">
        <v>78</v>
      </c>
      <c r="G921" s="6">
        <v>201</v>
      </c>
      <c r="H921" s="12">
        <f>tbl_base_ni_ri[[#This Row],[ni_total]]+tbl_base_ni_ri[[#This Row],[ri_total]]</f>
        <v>279</v>
      </c>
      <c r="I921" s="6" t="str">
        <f t="shared" si="14"/>
        <v>OK</v>
      </c>
      <c r="J921" s="7"/>
    </row>
    <row r="922" spans="1:10">
      <c r="A922" s="16">
        <v>2028</v>
      </c>
      <c r="B922" s="6"/>
      <c r="C922" s="6" t="s">
        <v>82</v>
      </c>
      <c r="D922" s="6" t="s">
        <v>51</v>
      </c>
      <c r="E922" s="6"/>
      <c r="F922" s="6">
        <v>106</v>
      </c>
      <c r="G922" s="6">
        <v>199</v>
      </c>
      <c r="H922" s="12">
        <f>tbl_base_ni_ri[[#This Row],[ni_total]]+tbl_base_ni_ri[[#This Row],[ri_total]]</f>
        <v>305</v>
      </c>
      <c r="I922" s="6" t="str">
        <f t="shared" si="14"/>
        <v>OK</v>
      </c>
      <c r="J922" s="7"/>
    </row>
    <row r="923" spans="1:10">
      <c r="A923" s="16">
        <v>2029</v>
      </c>
      <c r="B923" s="6"/>
      <c r="C923" s="6" t="s">
        <v>82</v>
      </c>
      <c r="D923" s="6" t="s">
        <v>51</v>
      </c>
      <c r="E923" s="6"/>
      <c r="F923" s="6">
        <v>127</v>
      </c>
      <c r="G923" s="6">
        <v>233</v>
      </c>
      <c r="H923" s="12">
        <f>tbl_base_ni_ri[[#This Row],[ni_total]]+tbl_base_ni_ri[[#This Row],[ri_total]]</f>
        <v>360</v>
      </c>
      <c r="I923" s="6" t="str">
        <f t="shared" si="14"/>
        <v>OK</v>
      </c>
      <c r="J923" s="7"/>
    </row>
    <row r="924" spans="1:10">
      <c r="A924" s="16">
        <v>2026</v>
      </c>
      <c r="B924" s="6"/>
      <c r="C924" s="6" t="s">
        <v>84</v>
      </c>
      <c r="D924" s="6" t="s">
        <v>51</v>
      </c>
      <c r="E924" s="6"/>
      <c r="F924" s="6">
        <v>140</v>
      </c>
      <c r="G924" s="6">
        <v>376</v>
      </c>
      <c r="H924" s="12">
        <f>tbl_base_ni_ri[[#This Row],[ni_total]]+tbl_base_ni_ri[[#This Row],[ri_total]]</f>
        <v>516</v>
      </c>
      <c r="I924" s="6" t="str">
        <f t="shared" si="14"/>
        <v>OK</v>
      </c>
      <c r="J924" s="7"/>
    </row>
    <row r="925" spans="1:10">
      <c r="A925" s="16">
        <v>2027</v>
      </c>
      <c r="B925" s="6"/>
      <c r="C925" s="6" t="s">
        <v>84</v>
      </c>
      <c r="D925" s="6" t="s">
        <v>51</v>
      </c>
      <c r="E925" s="6"/>
      <c r="F925" s="6">
        <v>145</v>
      </c>
      <c r="G925" s="6">
        <v>379</v>
      </c>
      <c r="H925" s="12">
        <f>tbl_base_ni_ri[[#This Row],[ni_total]]+tbl_base_ni_ri[[#This Row],[ri_total]]</f>
        <v>524</v>
      </c>
      <c r="I925" s="6" t="str">
        <f t="shared" si="14"/>
        <v>OK</v>
      </c>
      <c r="J925" s="7"/>
    </row>
    <row r="926" spans="1:10">
      <c r="A926" s="16">
        <v>2028</v>
      </c>
      <c r="B926" s="6"/>
      <c r="C926" s="6" t="s">
        <v>84</v>
      </c>
      <c r="D926" s="6" t="s">
        <v>51</v>
      </c>
      <c r="E926" s="6"/>
      <c r="F926" s="6">
        <v>155</v>
      </c>
      <c r="G926" s="6">
        <v>402</v>
      </c>
      <c r="H926" s="12">
        <f>tbl_base_ni_ri[[#This Row],[ni_total]]+tbl_base_ni_ri[[#This Row],[ri_total]]</f>
        <v>557</v>
      </c>
      <c r="I926" s="6" t="str">
        <f t="shared" si="14"/>
        <v>OK</v>
      </c>
      <c r="J926" s="7"/>
    </row>
    <row r="927" spans="1:10">
      <c r="A927" s="16">
        <v>2029</v>
      </c>
      <c r="B927" s="6"/>
      <c r="C927" s="6" t="s">
        <v>84</v>
      </c>
      <c r="D927" s="6" t="s">
        <v>51</v>
      </c>
      <c r="E927" s="6"/>
      <c r="F927" s="6">
        <v>180</v>
      </c>
      <c r="G927" s="6">
        <v>432</v>
      </c>
      <c r="H927" s="12">
        <f>tbl_base_ni_ri[[#This Row],[ni_total]]+tbl_base_ni_ri[[#This Row],[ri_total]]</f>
        <v>612</v>
      </c>
      <c r="I927" s="6" t="str">
        <f t="shared" si="14"/>
        <v>OK</v>
      </c>
      <c r="J927" s="7"/>
    </row>
    <row r="928" spans="1:10">
      <c r="A928" s="16">
        <v>2026</v>
      </c>
      <c r="B928" s="6"/>
      <c r="C928" s="6" t="s">
        <v>85</v>
      </c>
      <c r="D928" s="6" t="s">
        <v>51</v>
      </c>
      <c r="E928" s="6"/>
      <c r="F928" s="6">
        <v>75</v>
      </c>
      <c r="G928" s="6">
        <v>281</v>
      </c>
      <c r="H928" s="12">
        <f>tbl_base_ni_ri[[#This Row],[ni_total]]+tbl_base_ni_ri[[#This Row],[ri_total]]</f>
        <v>356</v>
      </c>
      <c r="I928" s="6" t="str">
        <f t="shared" si="14"/>
        <v>OK</v>
      </c>
      <c r="J928" s="7"/>
    </row>
    <row r="929" spans="1:10">
      <c r="A929" s="16">
        <v>2027</v>
      </c>
      <c r="B929" s="6"/>
      <c r="C929" s="6" t="s">
        <v>85</v>
      </c>
      <c r="D929" s="6" t="s">
        <v>51</v>
      </c>
      <c r="E929" s="6"/>
      <c r="F929" s="6">
        <v>83</v>
      </c>
      <c r="G929" s="6">
        <v>265</v>
      </c>
      <c r="H929" s="12">
        <f>tbl_base_ni_ri[[#This Row],[ni_total]]+tbl_base_ni_ri[[#This Row],[ri_total]]</f>
        <v>348</v>
      </c>
      <c r="I929" s="6" t="str">
        <f t="shared" si="14"/>
        <v>OK</v>
      </c>
      <c r="J929" s="7"/>
    </row>
    <row r="930" spans="1:10">
      <c r="A930" s="16">
        <v>2028</v>
      </c>
      <c r="B930" s="6"/>
      <c r="C930" s="6" t="s">
        <v>85</v>
      </c>
      <c r="D930" s="6" t="s">
        <v>51</v>
      </c>
      <c r="E930" s="6"/>
      <c r="F930" s="6">
        <v>96</v>
      </c>
      <c r="G930" s="6">
        <v>265</v>
      </c>
      <c r="H930" s="12">
        <f>tbl_base_ni_ri[[#This Row],[ni_total]]+tbl_base_ni_ri[[#This Row],[ri_total]]</f>
        <v>361</v>
      </c>
      <c r="I930" s="6" t="str">
        <f t="shared" si="14"/>
        <v>OK</v>
      </c>
      <c r="J930" s="7"/>
    </row>
    <row r="931" spans="1:10">
      <c r="A931" s="16">
        <v>2029</v>
      </c>
      <c r="B931" s="6"/>
      <c r="C931" s="6" t="s">
        <v>85</v>
      </c>
      <c r="D931" s="6" t="s">
        <v>51</v>
      </c>
      <c r="E931" s="6"/>
      <c r="F931" s="6">
        <v>107</v>
      </c>
      <c r="G931" s="6">
        <v>297</v>
      </c>
      <c r="H931" s="12">
        <f>tbl_base_ni_ri[[#This Row],[ni_total]]+tbl_base_ni_ri[[#This Row],[ri_total]]</f>
        <v>404</v>
      </c>
      <c r="I931" s="6" t="str">
        <f t="shared" si="14"/>
        <v>OK</v>
      </c>
      <c r="J931" s="7"/>
    </row>
    <row r="932" spans="1:10">
      <c r="A932" s="16">
        <v>2026</v>
      </c>
      <c r="B932" s="6"/>
      <c r="C932" s="6" t="s">
        <v>86</v>
      </c>
      <c r="D932" s="6" t="s">
        <v>51</v>
      </c>
      <c r="E932" s="6"/>
      <c r="F932" s="6">
        <v>125</v>
      </c>
      <c r="G932" s="6">
        <v>372</v>
      </c>
      <c r="H932" s="12">
        <f>tbl_base_ni_ri[[#This Row],[ni_total]]+tbl_base_ni_ri[[#This Row],[ri_total]]</f>
        <v>497</v>
      </c>
      <c r="I932" s="6" t="str">
        <f t="shared" si="14"/>
        <v>OK</v>
      </c>
      <c r="J932" s="7"/>
    </row>
    <row r="933" spans="1:10">
      <c r="A933" s="16">
        <v>2027</v>
      </c>
      <c r="B933" s="6"/>
      <c r="C933" s="6" t="s">
        <v>86</v>
      </c>
      <c r="D933" s="6" t="s">
        <v>51</v>
      </c>
      <c r="E933" s="6"/>
      <c r="F933" s="6">
        <v>135</v>
      </c>
      <c r="G933" s="6">
        <v>410</v>
      </c>
      <c r="H933" s="12">
        <f>tbl_base_ni_ri[[#This Row],[ni_total]]+tbl_base_ni_ri[[#This Row],[ri_total]]</f>
        <v>545</v>
      </c>
      <c r="I933" s="6" t="str">
        <f t="shared" si="14"/>
        <v>OK</v>
      </c>
      <c r="J933" s="7"/>
    </row>
    <row r="934" spans="1:10">
      <c r="A934" s="16">
        <v>2028</v>
      </c>
      <c r="B934" s="6"/>
      <c r="C934" s="6" t="s">
        <v>86</v>
      </c>
      <c r="D934" s="6" t="s">
        <v>51</v>
      </c>
      <c r="E934" s="6"/>
      <c r="F934" s="6">
        <v>155</v>
      </c>
      <c r="G934" s="6">
        <v>398</v>
      </c>
      <c r="H934" s="12">
        <f>tbl_base_ni_ri[[#This Row],[ni_total]]+tbl_base_ni_ri[[#This Row],[ri_total]]</f>
        <v>553</v>
      </c>
      <c r="I934" s="6" t="str">
        <f t="shared" si="14"/>
        <v>OK</v>
      </c>
      <c r="J934" s="7"/>
    </row>
    <row r="935" spans="1:10">
      <c r="A935" s="16">
        <v>2029</v>
      </c>
      <c r="B935" s="6"/>
      <c r="C935" s="6" t="s">
        <v>86</v>
      </c>
      <c r="D935" s="6" t="s">
        <v>51</v>
      </c>
      <c r="E935" s="6"/>
      <c r="F935" s="6">
        <v>177</v>
      </c>
      <c r="G935" s="6">
        <v>404</v>
      </c>
      <c r="H935" s="12">
        <f>tbl_base_ni_ri[[#This Row],[ni_total]]+tbl_base_ni_ri[[#This Row],[ri_total]]</f>
        <v>581</v>
      </c>
      <c r="I935" s="6" t="str">
        <f t="shared" si="14"/>
        <v>OK</v>
      </c>
      <c r="J935" s="7"/>
    </row>
    <row r="936" spans="1:10">
      <c r="A936" s="16">
        <v>2026</v>
      </c>
      <c r="B936" s="6"/>
      <c r="C936" s="6" t="s">
        <v>87</v>
      </c>
      <c r="D936" s="6" t="s">
        <v>51</v>
      </c>
      <c r="E936" s="6"/>
      <c r="F936" s="6">
        <v>100</v>
      </c>
      <c r="G936" s="6">
        <v>406</v>
      </c>
      <c r="H936" s="12">
        <f>tbl_base_ni_ri[[#This Row],[ni_total]]+tbl_base_ni_ri[[#This Row],[ri_total]]</f>
        <v>506</v>
      </c>
      <c r="I936" s="6" t="str">
        <f t="shared" si="14"/>
        <v>OK</v>
      </c>
      <c r="J936" s="7"/>
    </row>
    <row r="937" spans="1:10">
      <c r="A937" s="16">
        <v>2027</v>
      </c>
      <c r="B937" s="6"/>
      <c r="C937" s="6" t="s">
        <v>87</v>
      </c>
      <c r="D937" s="6" t="s">
        <v>51</v>
      </c>
      <c r="E937" s="6"/>
      <c r="F937" s="6">
        <v>113</v>
      </c>
      <c r="G937" s="6">
        <v>374</v>
      </c>
      <c r="H937" s="12">
        <f>tbl_base_ni_ri[[#This Row],[ni_total]]+tbl_base_ni_ri[[#This Row],[ri_total]]</f>
        <v>487</v>
      </c>
      <c r="I937" s="6" t="str">
        <f t="shared" si="14"/>
        <v>OK</v>
      </c>
      <c r="J937" s="7"/>
    </row>
    <row r="938" spans="1:10">
      <c r="A938" s="16">
        <v>2028</v>
      </c>
      <c r="B938" s="6"/>
      <c r="C938" s="6" t="s">
        <v>87</v>
      </c>
      <c r="D938" s="6" t="s">
        <v>51</v>
      </c>
      <c r="E938" s="6"/>
      <c r="F938" s="6">
        <v>134</v>
      </c>
      <c r="G938" s="6">
        <v>371</v>
      </c>
      <c r="H938" s="12">
        <f>tbl_base_ni_ri[[#This Row],[ni_total]]+tbl_base_ni_ri[[#This Row],[ri_total]]</f>
        <v>505</v>
      </c>
      <c r="I938" s="6" t="str">
        <f t="shared" si="14"/>
        <v>OK</v>
      </c>
      <c r="J938" s="7"/>
    </row>
    <row r="939" spans="1:10">
      <c r="A939" s="16">
        <v>2029</v>
      </c>
      <c r="B939" s="6"/>
      <c r="C939" s="6" t="s">
        <v>87</v>
      </c>
      <c r="D939" s="6" t="s">
        <v>51</v>
      </c>
      <c r="E939" s="6"/>
      <c r="F939" s="6">
        <v>145</v>
      </c>
      <c r="G939" s="6">
        <v>413</v>
      </c>
      <c r="H939" s="12">
        <f>tbl_base_ni_ri[[#This Row],[ni_total]]+tbl_base_ni_ri[[#This Row],[ri_total]]</f>
        <v>558</v>
      </c>
      <c r="I939" s="6" t="str">
        <f t="shared" si="14"/>
        <v>OK</v>
      </c>
      <c r="J939" s="7"/>
    </row>
    <row r="940" spans="1:10">
      <c r="A940" s="16">
        <v>2026</v>
      </c>
      <c r="B940" s="6"/>
      <c r="C940" s="6" t="s">
        <v>88</v>
      </c>
      <c r="D940" s="6" t="s">
        <v>51</v>
      </c>
      <c r="E940" s="6"/>
      <c r="F940" s="6">
        <v>280</v>
      </c>
      <c r="G940" s="6">
        <v>1004</v>
      </c>
      <c r="H940" s="12">
        <f>tbl_base_ni_ri[[#This Row],[ni_total]]+tbl_base_ni_ri[[#This Row],[ri_total]]</f>
        <v>1284</v>
      </c>
      <c r="I940" s="6" t="str">
        <f t="shared" si="14"/>
        <v>OK</v>
      </c>
      <c r="J940" s="7"/>
    </row>
    <row r="941" spans="1:10">
      <c r="A941" s="16">
        <v>2027</v>
      </c>
      <c r="B941" s="6"/>
      <c r="C941" s="6" t="s">
        <v>88</v>
      </c>
      <c r="D941" s="6" t="s">
        <v>51</v>
      </c>
      <c r="E941" s="6"/>
      <c r="F941" s="6">
        <v>306</v>
      </c>
      <c r="G941" s="6">
        <v>1043</v>
      </c>
      <c r="H941" s="12">
        <f>tbl_base_ni_ri[[#This Row],[ni_total]]+tbl_base_ni_ri[[#This Row],[ri_total]]</f>
        <v>1349</v>
      </c>
      <c r="I941" s="6" t="str">
        <f t="shared" si="14"/>
        <v>OK</v>
      </c>
      <c r="J941" s="7"/>
    </row>
    <row r="942" spans="1:10">
      <c r="A942" s="16">
        <v>2028</v>
      </c>
      <c r="B942" s="6"/>
      <c r="C942" s="6" t="s">
        <v>88</v>
      </c>
      <c r="D942" s="6" t="s">
        <v>51</v>
      </c>
      <c r="E942" s="6"/>
      <c r="F942" s="6">
        <v>324</v>
      </c>
      <c r="G942" s="6">
        <v>1086</v>
      </c>
      <c r="H942" s="12">
        <f>tbl_base_ni_ri[[#This Row],[ni_total]]+tbl_base_ni_ri[[#This Row],[ri_total]]</f>
        <v>1410</v>
      </c>
      <c r="I942" s="6" t="str">
        <f t="shared" si="14"/>
        <v>OK</v>
      </c>
      <c r="J942" s="7"/>
    </row>
    <row r="943" spans="1:10">
      <c r="A943" s="16">
        <v>2029</v>
      </c>
      <c r="B943" s="6"/>
      <c r="C943" s="6" t="s">
        <v>88</v>
      </c>
      <c r="D943" s="6" t="s">
        <v>51</v>
      </c>
      <c r="E943" s="6"/>
      <c r="F943" s="6">
        <v>340</v>
      </c>
      <c r="G943" s="6">
        <v>1159</v>
      </c>
      <c r="H943" s="12">
        <f>tbl_base_ni_ri[[#This Row],[ni_total]]+tbl_base_ni_ri[[#This Row],[ri_total]]</f>
        <v>1499</v>
      </c>
      <c r="I943" s="6" t="str">
        <f t="shared" si="14"/>
        <v>OK</v>
      </c>
      <c r="J943" s="7"/>
    </row>
    <row r="944" spans="1:10">
      <c r="A944" s="16">
        <v>2026</v>
      </c>
      <c r="B944" s="6"/>
      <c r="C944" s="6" t="s">
        <v>89</v>
      </c>
      <c r="D944" s="6" t="s">
        <v>51</v>
      </c>
      <c r="E944" s="6"/>
      <c r="F944" s="6">
        <v>185</v>
      </c>
      <c r="G944" s="6">
        <v>547</v>
      </c>
      <c r="H944" s="12">
        <f>tbl_base_ni_ri[[#This Row],[ni_total]]+tbl_base_ni_ri[[#This Row],[ri_total]]</f>
        <v>732</v>
      </c>
      <c r="I944" s="6" t="str">
        <f t="shared" si="14"/>
        <v>OK</v>
      </c>
      <c r="J944" s="7"/>
    </row>
    <row r="945" spans="1:10">
      <c r="A945" s="16">
        <v>2027</v>
      </c>
      <c r="B945" s="6"/>
      <c r="C945" s="6" t="s">
        <v>89</v>
      </c>
      <c r="D945" s="6" t="s">
        <v>51</v>
      </c>
      <c r="E945" s="6"/>
      <c r="F945" s="6">
        <v>196</v>
      </c>
      <c r="G945" s="6">
        <v>564</v>
      </c>
      <c r="H945" s="12">
        <f>tbl_base_ni_ri[[#This Row],[ni_total]]+tbl_base_ni_ri[[#This Row],[ri_total]]</f>
        <v>760</v>
      </c>
      <c r="I945" s="6" t="str">
        <f t="shared" si="14"/>
        <v>OK</v>
      </c>
      <c r="J945" s="7"/>
    </row>
    <row r="946" spans="1:10">
      <c r="A946" s="16">
        <v>2028</v>
      </c>
      <c r="B946" s="6"/>
      <c r="C946" s="6" t="s">
        <v>89</v>
      </c>
      <c r="D946" s="6" t="s">
        <v>51</v>
      </c>
      <c r="E946" s="6"/>
      <c r="F946" s="6">
        <v>254</v>
      </c>
      <c r="G946" s="6">
        <v>603</v>
      </c>
      <c r="H946" s="12">
        <f>tbl_base_ni_ri[[#This Row],[ni_total]]+tbl_base_ni_ri[[#This Row],[ri_total]]</f>
        <v>857</v>
      </c>
      <c r="I946" s="6" t="str">
        <f t="shared" si="14"/>
        <v>OK</v>
      </c>
      <c r="J946" s="7"/>
    </row>
    <row r="947" spans="1:10">
      <c r="A947" s="16">
        <v>2029</v>
      </c>
      <c r="B947" s="6"/>
      <c r="C947" s="6" t="s">
        <v>89</v>
      </c>
      <c r="D947" s="6" t="s">
        <v>51</v>
      </c>
      <c r="E947" s="6"/>
      <c r="F947" s="6">
        <v>301</v>
      </c>
      <c r="G947" s="6">
        <v>694</v>
      </c>
      <c r="H947" s="12">
        <f>tbl_base_ni_ri[[#This Row],[ni_total]]+tbl_base_ni_ri[[#This Row],[ri_total]]</f>
        <v>995</v>
      </c>
      <c r="I947" s="6" t="str">
        <f t="shared" si="14"/>
        <v>OK</v>
      </c>
      <c r="J947" s="7"/>
    </row>
    <row r="948" spans="1:10">
      <c r="A948" s="16">
        <v>2026</v>
      </c>
      <c r="B948" s="6"/>
      <c r="C948" s="6" t="s">
        <v>90</v>
      </c>
      <c r="D948" s="6" t="s">
        <v>51</v>
      </c>
      <c r="E948" s="6"/>
      <c r="F948" s="6">
        <v>60</v>
      </c>
      <c r="G948" s="6">
        <v>204</v>
      </c>
      <c r="H948" s="12">
        <f>tbl_base_ni_ri[[#This Row],[ni_total]]+tbl_base_ni_ri[[#This Row],[ri_total]]</f>
        <v>264</v>
      </c>
      <c r="I948" s="6" t="str">
        <f t="shared" si="14"/>
        <v>OK</v>
      </c>
      <c r="J948" s="7"/>
    </row>
    <row r="949" spans="1:10">
      <c r="A949" s="16">
        <v>2027</v>
      </c>
      <c r="B949" s="6"/>
      <c r="C949" s="6" t="s">
        <v>90</v>
      </c>
      <c r="D949" s="6" t="s">
        <v>51</v>
      </c>
      <c r="E949" s="6"/>
      <c r="F949" s="6">
        <v>79</v>
      </c>
      <c r="G949" s="6">
        <v>191</v>
      </c>
      <c r="H949" s="12">
        <f>tbl_base_ni_ri[[#This Row],[ni_total]]+tbl_base_ni_ri[[#This Row],[ri_total]]</f>
        <v>270</v>
      </c>
      <c r="I949" s="6" t="str">
        <f t="shared" si="14"/>
        <v>OK</v>
      </c>
      <c r="J949" s="7"/>
    </row>
    <row r="950" spans="1:10">
      <c r="A950" s="16">
        <v>2028</v>
      </c>
      <c r="B950" s="6"/>
      <c r="C950" s="6" t="s">
        <v>90</v>
      </c>
      <c r="D950" s="6" t="s">
        <v>51</v>
      </c>
      <c r="E950" s="6"/>
      <c r="F950" s="6">
        <v>84</v>
      </c>
      <c r="G950" s="6">
        <v>187</v>
      </c>
      <c r="H950" s="12">
        <f>tbl_base_ni_ri[[#This Row],[ni_total]]+tbl_base_ni_ri[[#This Row],[ri_total]]</f>
        <v>271</v>
      </c>
      <c r="I950" s="6" t="str">
        <f t="shared" si="14"/>
        <v>OK</v>
      </c>
      <c r="J950" s="7"/>
    </row>
    <row r="951" spans="1:10">
      <c r="A951" s="16">
        <v>2029</v>
      </c>
      <c r="B951" s="6"/>
      <c r="C951" s="6" t="s">
        <v>90</v>
      </c>
      <c r="D951" s="6" t="s">
        <v>51</v>
      </c>
      <c r="E951" s="6"/>
      <c r="F951" s="6">
        <v>105</v>
      </c>
      <c r="G951" s="6">
        <v>194</v>
      </c>
      <c r="H951" s="12">
        <f>tbl_base_ni_ri[[#This Row],[ni_total]]+tbl_base_ni_ri[[#This Row],[ri_total]]</f>
        <v>299</v>
      </c>
      <c r="I951" s="6" t="str">
        <f t="shared" si="14"/>
        <v>OK</v>
      </c>
      <c r="J951" s="7"/>
    </row>
    <row r="952" spans="1:10">
      <c r="A952" s="16">
        <v>2026</v>
      </c>
      <c r="B952" s="6"/>
      <c r="C952" s="6" t="s">
        <v>91</v>
      </c>
      <c r="D952" s="6" t="s">
        <v>51</v>
      </c>
      <c r="E952" s="6"/>
      <c r="F952" s="6">
        <v>115</v>
      </c>
      <c r="G952" s="6">
        <v>345</v>
      </c>
      <c r="H952" s="12">
        <f>tbl_base_ni_ri[[#This Row],[ni_total]]+tbl_base_ni_ri[[#This Row],[ri_total]]</f>
        <v>460</v>
      </c>
      <c r="I952" s="6" t="str">
        <f t="shared" si="14"/>
        <v>OK</v>
      </c>
      <c r="J952" s="7"/>
    </row>
    <row r="953" spans="1:10">
      <c r="A953" s="16">
        <v>2027</v>
      </c>
      <c r="B953" s="6"/>
      <c r="C953" s="6" t="s">
        <v>91</v>
      </c>
      <c r="D953" s="6" t="s">
        <v>51</v>
      </c>
      <c r="E953" s="6"/>
      <c r="F953" s="6">
        <v>127</v>
      </c>
      <c r="G953" s="6">
        <v>329</v>
      </c>
      <c r="H953" s="12">
        <f>tbl_base_ni_ri[[#This Row],[ni_total]]+tbl_base_ni_ri[[#This Row],[ri_total]]</f>
        <v>456</v>
      </c>
      <c r="I953" s="6" t="str">
        <f t="shared" si="14"/>
        <v>OK</v>
      </c>
      <c r="J953" s="7"/>
    </row>
    <row r="954" spans="1:10">
      <c r="A954" s="16">
        <v>2028</v>
      </c>
      <c r="B954" s="6"/>
      <c r="C954" s="6" t="s">
        <v>91</v>
      </c>
      <c r="D954" s="6" t="s">
        <v>51</v>
      </c>
      <c r="E954" s="6"/>
      <c r="F954" s="6">
        <v>134</v>
      </c>
      <c r="G954" s="6">
        <v>344</v>
      </c>
      <c r="H954" s="12">
        <f>tbl_base_ni_ri[[#This Row],[ni_total]]+tbl_base_ni_ri[[#This Row],[ri_total]]</f>
        <v>478</v>
      </c>
      <c r="I954" s="6" t="str">
        <f t="shared" si="14"/>
        <v>OK</v>
      </c>
      <c r="J954" s="7"/>
    </row>
    <row r="955" spans="1:10">
      <c r="A955" s="16">
        <v>2029</v>
      </c>
      <c r="B955" s="6"/>
      <c r="C955" s="6" t="s">
        <v>91</v>
      </c>
      <c r="D955" s="6" t="s">
        <v>51</v>
      </c>
      <c r="E955" s="6"/>
      <c r="F955" s="6">
        <v>151</v>
      </c>
      <c r="G955" s="6">
        <v>370</v>
      </c>
      <c r="H955" s="12">
        <f>tbl_base_ni_ri[[#This Row],[ni_total]]+tbl_base_ni_ri[[#This Row],[ri_total]]</f>
        <v>521</v>
      </c>
      <c r="I955" s="6" t="str">
        <f t="shared" si="14"/>
        <v>OK</v>
      </c>
      <c r="J955" s="7"/>
    </row>
    <row r="956" spans="1:10">
      <c r="A956" s="16">
        <v>2026</v>
      </c>
      <c r="B956" s="6"/>
      <c r="C956" s="6" t="s">
        <v>92</v>
      </c>
      <c r="D956" s="6" t="s">
        <v>51</v>
      </c>
      <c r="E956" s="6"/>
      <c r="F956" s="6">
        <v>100</v>
      </c>
      <c r="G956" s="6">
        <v>410</v>
      </c>
      <c r="H956" s="12">
        <f>tbl_base_ni_ri[[#This Row],[ni_total]]+tbl_base_ni_ri[[#This Row],[ri_total]]</f>
        <v>510</v>
      </c>
      <c r="I956" s="6" t="str">
        <f t="shared" si="14"/>
        <v>OK</v>
      </c>
      <c r="J956" s="7"/>
    </row>
    <row r="957" spans="1:10">
      <c r="A957" s="16">
        <v>2027</v>
      </c>
      <c r="B957" s="6"/>
      <c r="C957" s="6" t="s">
        <v>92</v>
      </c>
      <c r="D957" s="6" t="s">
        <v>51</v>
      </c>
      <c r="E957" s="6"/>
      <c r="F957" s="6">
        <v>106</v>
      </c>
      <c r="G957" s="6">
        <v>355</v>
      </c>
      <c r="H957" s="12">
        <f>tbl_base_ni_ri[[#This Row],[ni_total]]+tbl_base_ni_ri[[#This Row],[ri_total]]</f>
        <v>461</v>
      </c>
      <c r="I957" s="6" t="str">
        <f t="shared" si="14"/>
        <v>OK</v>
      </c>
      <c r="J957" s="7"/>
    </row>
    <row r="958" spans="1:10">
      <c r="A958" s="16">
        <v>2028</v>
      </c>
      <c r="B958" s="6"/>
      <c r="C958" s="6" t="s">
        <v>92</v>
      </c>
      <c r="D958" s="6" t="s">
        <v>51</v>
      </c>
      <c r="E958" s="6"/>
      <c r="F958" s="6">
        <v>122</v>
      </c>
      <c r="G958" s="6">
        <v>342</v>
      </c>
      <c r="H958" s="12">
        <f>tbl_base_ni_ri[[#This Row],[ni_total]]+tbl_base_ni_ri[[#This Row],[ri_total]]</f>
        <v>464</v>
      </c>
      <c r="I958" s="6" t="str">
        <f t="shared" si="14"/>
        <v>OK</v>
      </c>
      <c r="J958" s="7"/>
    </row>
    <row r="959" spans="1:10">
      <c r="A959" s="16">
        <v>2029</v>
      </c>
      <c r="B959" s="6"/>
      <c r="C959" s="6" t="s">
        <v>92</v>
      </c>
      <c r="D959" s="6" t="s">
        <v>51</v>
      </c>
      <c r="E959" s="6"/>
      <c r="F959" s="6">
        <v>127</v>
      </c>
      <c r="G959" s="6">
        <v>362</v>
      </c>
      <c r="H959" s="12">
        <f>tbl_base_ni_ri[[#This Row],[ni_total]]+tbl_base_ni_ri[[#This Row],[ri_total]]</f>
        <v>489</v>
      </c>
      <c r="I959" s="6" t="str">
        <f t="shared" si="14"/>
        <v>OK</v>
      </c>
      <c r="J959" s="7"/>
    </row>
    <row r="960" spans="1:10">
      <c r="A960" s="16">
        <v>2026</v>
      </c>
      <c r="B960" s="6"/>
      <c r="C960" s="6" t="s">
        <v>93</v>
      </c>
      <c r="D960" s="6" t="s">
        <v>51</v>
      </c>
      <c r="E960" s="6"/>
      <c r="F960" s="6">
        <v>52</v>
      </c>
      <c r="G960" s="6">
        <v>94</v>
      </c>
      <c r="H960" s="12">
        <f>tbl_base_ni_ri[[#This Row],[ni_total]]+tbl_base_ni_ri[[#This Row],[ri_total]]</f>
        <v>146</v>
      </c>
      <c r="I960" s="6" t="str">
        <f t="shared" si="14"/>
        <v>OK</v>
      </c>
      <c r="J960" s="7"/>
    </row>
    <row r="961" spans="1:10">
      <c r="A961" s="16">
        <v>2027</v>
      </c>
      <c r="B961" s="6"/>
      <c r="C961" s="6" t="s">
        <v>93</v>
      </c>
      <c r="D961" s="6" t="s">
        <v>51</v>
      </c>
      <c r="E961" s="6"/>
      <c r="F961" s="6">
        <v>60</v>
      </c>
      <c r="G961" s="6">
        <v>123</v>
      </c>
      <c r="H961" s="12">
        <f>tbl_base_ni_ri[[#This Row],[ni_total]]+tbl_base_ni_ri[[#This Row],[ri_total]]</f>
        <v>183</v>
      </c>
      <c r="I961" s="6" t="str">
        <f t="shared" si="14"/>
        <v>OK</v>
      </c>
      <c r="J961" s="7"/>
    </row>
    <row r="962" spans="1:10">
      <c r="A962" s="16">
        <v>2028</v>
      </c>
      <c r="B962" s="6"/>
      <c r="C962" s="6" t="s">
        <v>93</v>
      </c>
      <c r="D962" s="6" t="s">
        <v>51</v>
      </c>
      <c r="E962" s="6"/>
      <c r="F962" s="6">
        <v>84</v>
      </c>
      <c r="G962" s="6">
        <v>145</v>
      </c>
      <c r="H962" s="12">
        <f>tbl_base_ni_ri[[#This Row],[ni_total]]+tbl_base_ni_ri[[#This Row],[ri_total]]</f>
        <v>229</v>
      </c>
      <c r="I962" s="6" t="str">
        <f t="shared" si="14"/>
        <v>OK</v>
      </c>
      <c r="J962" s="7"/>
    </row>
    <row r="963" spans="1:10">
      <c r="A963" s="16">
        <v>2029</v>
      </c>
      <c r="B963" s="6"/>
      <c r="C963" s="6" t="s">
        <v>93</v>
      </c>
      <c r="D963" s="6" t="s">
        <v>51</v>
      </c>
      <c r="E963" s="6"/>
      <c r="F963" s="6">
        <v>125</v>
      </c>
      <c r="G963" s="6">
        <v>190</v>
      </c>
      <c r="H963" s="12">
        <f>tbl_base_ni_ri[[#This Row],[ni_total]]+tbl_base_ni_ri[[#This Row],[ri_total]]</f>
        <v>315</v>
      </c>
      <c r="I963" s="6" t="str">
        <f t="shared" si="14"/>
        <v>OK</v>
      </c>
      <c r="J963" s="7"/>
    </row>
    <row r="964" spans="1:10">
      <c r="A964" s="16">
        <v>2026</v>
      </c>
      <c r="B964" s="6"/>
      <c r="C964" s="6" t="s">
        <v>94</v>
      </c>
      <c r="D964" s="6" t="s">
        <v>51</v>
      </c>
      <c r="E964" s="6"/>
      <c r="F964" s="6">
        <v>100</v>
      </c>
      <c r="G964" s="6">
        <v>53</v>
      </c>
      <c r="H964" s="12">
        <f>tbl_base_ni_ri[[#This Row],[ni_total]]+tbl_base_ni_ri[[#This Row],[ri_total]]</f>
        <v>153</v>
      </c>
      <c r="I964" s="6" t="str">
        <f t="shared" si="14"/>
        <v>OK</v>
      </c>
      <c r="J964" s="7"/>
    </row>
    <row r="965" spans="1:10">
      <c r="A965" s="16">
        <v>2027</v>
      </c>
      <c r="B965" s="6"/>
      <c r="C965" s="6" t="s">
        <v>94</v>
      </c>
      <c r="D965" s="6" t="s">
        <v>51</v>
      </c>
      <c r="E965" s="6"/>
      <c r="F965" s="6">
        <v>118</v>
      </c>
      <c r="G965" s="6">
        <v>128</v>
      </c>
      <c r="H965" s="12">
        <f>tbl_base_ni_ri[[#This Row],[ni_total]]+tbl_base_ni_ri[[#This Row],[ri_total]]</f>
        <v>246</v>
      </c>
      <c r="I965" s="6" t="str">
        <f t="shared" ref="I965:I1000" si="15">IF(OR(F965="",G965="",H965=""),"",IF(ABS(H965-F965-G965)&lt;0.01,"OK","Revisar MT"))</f>
        <v>OK</v>
      </c>
      <c r="J965" s="7"/>
    </row>
    <row r="966" spans="1:10">
      <c r="A966" s="16">
        <v>2028</v>
      </c>
      <c r="B966" s="6"/>
      <c r="C966" s="6" t="s">
        <v>94</v>
      </c>
      <c r="D966" s="6" t="s">
        <v>51</v>
      </c>
      <c r="E966" s="6"/>
      <c r="F966" s="6">
        <v>145</v>
      </c>
      <c r="G966" s="6">
        <v>215</v>
      </c>
      <c r="H966" s="12">
        <f>tbl_base_ni_ri[[#This Row],[ni_total]]+tbl_base_ni_ri[[#This Row],[ri_total]]</f>
        <v>360</v>
      </c>
      <c r="I966" s="6" t="str">
        <f t="shared" si="15"/>
        <v>OK</v>
      </c>
      <c r="J966" s="7"/>
    </row>
    <row r="967" spans="1:10">
      <c r="A967" s="16">
        <v>2029</v>
      </c>
      <c r="B967" s="6"/>
      <c r="C967" s="6" t="s">
        <v>94</v>
      </c>
      <c r="D967" s="6" t="s">
        <v>51</v>
      </c>
      <c r="E967" s="6"/>
      <c r="F967" s="6">
        <v>181</v>
      </c>
      <c r="G967" s="6">
        <v>315</v>
      </c>
      <c r="H967" s="12">
        <f>tbl_base_ni_ri[[#This Row],[ni_total]]+tbl_base_ni_ri[[#This Row],[ri_total]]</f>
        <v>496</v>
      </c>
      <c r="I967" s="6" t="str">
        <f t="shared" si="15"/>
        <v>OK</v>
      </c>
      <c r="J967" s="7"/>
    </row>
    <row r="968" spans="1:10">
      <c r="A968" s="16">
        <v>2026</v>
      </c>
      <c r="B968" s="6"/>
      <c r="C968" s="6" t="s">
        <v>95</v>
      </c>
      <c r="D968" s="6" t="s">
        <v>51</v>
      </c>
      <c r="E968" s="6"/>
      <c r="F968" s="6">
        <v>80</v>
      </c>
      <c r="G968" s="6">
        <v>113</v>
      </c>
      <c r="H968" s="12">
        <f>tbl_base_ni_ri[[#This Row],[ni_total]]+tbl_base_ni_ri[[#This Row],[ri_total]]</f>
        <v>193</v>
      </c>
      <c r="I968" s="6" t="str">
        <f t="shared" si="15"/>
        <v>OK</v>
      </c>
      <c r="J968" s="7"/>
    </row>
    <row r="969" spans="1:10">
      <c r="A969" s="16">
        <v>2027</v>
      </c>
      <c r="B969" s="6"/>
      <c r="C969" s="6" t="s">
        <v>95</v>
      </c>
      <c r="D969" s="6" t="s">
        <v>51</v>
      </c>
      <c r="E969" s="6"/>
      <c r="F969" s="6">
        <v>95</v>
      </c>
      <c r="G969" s="6">
        <v>164</v>
      </c>
      <c r="H969" s="12">
        <f>tbl_base_ni_ri[[#This Row],[ni_total]]+tbl_base_ni_ri[[#This Row],[ri_total]]</f>
        <v>259</v>
      </c>
      <c r="I969" s="6" t="str">
        <f t="shared" si="15"/>
        <v>OK</v>
      </c>
      <c r="J969" s="7"/>
    </row>
    <row r="970" spans="1:10">
      <c r="A970" s="16">
        <v>2028</v>
      </c>
      <c r="B970" s="6"/>
      <c r="C970" s="6" t="s">
        <v>95</v>
      </c>
      <c r="D970" s="6" t="s">
        <v>51</v>
      </c>
      <c r="E970" s="6"/>
      <c r="F970" s="6">
        <v>120</v>
      </c>
      <c r="G970" s="6">
        <v>197</v>
      </c>
      <c r="H970" s="12">
        <f>tbl_base_ni_ri[[#This Row],[ni_total]]+tbl_base_ni_ri[[#This Row],[ri_total]]</f>
        <v>317</v>
      </c>
      <c r="I970" s="6" t="str">
        <f t="shared" si="15"/>
        <v>OK</v>
      </c>
      <c r="J970" s="7"/>
    </row>
    <row r="971" spans="1:10">
      <c r="A971" s="16">
        <v>2029</v>
      </c>
      <c r="B971" s="6"/>
      <c r="C971" s="6" t="s">
        <v>95</v>
      </c>
      <c r="D971" s="6" t="s">
        <v>51</v>
      </c>
      <c r="E971" s="6"/>
      <c r="F971" s="6">
        <v>156</v>
      </c>
      <c r="G971" s="6">
        <v>236</v>
      </c>
      <c r="H971" s="12">
        <f>tbl_base_ni_ri[[#This Row],[ni_total]]+tbl_base_ni_ri[[#This Row],[ri_total]]</f>
        <v>392</v>
      </c>
      <c r="I971" s="6" t="str">
        <f t="shared" si="15"/>
        <v>OK</v>
      </c>
      <c r="J971" s="7"/>
    </row>
    <row r="972" spans="1:10">
      <c r="A972" s="5">
        <v>2026</v>
      </c>
      <c r="B972" s="6"/>
      <c r="C972" s="6" t="s">
        <v>50</v>
      </c>
      <c r="D972" s="6" t="s">
        <v>105</v>
      </c>
      <c r="E972" s="6"/>
      <c r="F972" s="6">
        <v>3320</v>
      </c>
      <c r="G972" s="6">
        <v>10250</v>
      </c>
      <c r="H972" s="12">
        <f>tbl_base_ni_ri[[#This Row],[ni_total]]+tbl_base_ni_ri[[#This Row],[ri_total]]</f>
        <v>13570</v>
      </c>
      <c r="I972" s="6" t="str">
        <f t="shared" si="15"/>
        <v>OK</v>
      </c>
      <c r="J972" s="7"/>
    </row>
    <row r="973" spans="1:10">
      <c r="A973" s="5">
        <v>2026</v>
      </c>
      <c r="B973" s="6"/>
      <c r="C973" s="6" t="s">
        <v>50</v>
      </c>
      <c r="D973" s="6" t="s">
        <v>106</v>
      </c>
      <c r="E973" s="6"/>
      <c r="F973" s="6">
        <v>1819</v>
      </c>
      <c r="G973" s="6">
        <v>8425</v>
      </c>
      <c r="H973" s="12">
        <f>tbl_base_ni_ri[[#This Row],[ni_total]]+tbl_base_ni_ri[[#This Row],[ri_total]]</f>
        <v>10244</v>
      </c>
      <c r="I973" s="6" t="str">
        <f t="shared" si="15"/>
        <v>OK</v>
      </c>
      <c r="J973" s="7"/>
    </row>
    <row r="974" spans="1:10">
      <c r="A974" s="5">
        <v>2027</v>
      </c>
      <c r="B974" s="6"/>
      <c r="C974" s="6" t="s">
        <v>50</v>
      </c>
      <c r="D974" s="6" t="s">
        <v>105</v>
      </c>
      <c r="E974" s="6"/>
      <c r="F974" s="6">
        <v>3796</v>
      </c>
      <c r="G974" s="6">
        <v>10704</v>
      </c>
      <c r="H974" s="12">
        <f>tbl_base_ni_ri[[#This Row],[ni_total]]+tbl_base_ni_ri[[#This Row],[ri_total]]</f>
        <v>14500</v>
      </c>
      <c r="I974" s="6" t="str">
        <f t="shared" si="15"/>
        <v>OK</v>
      </c>
      <c r="J974" s="7"/>
    </row>
    <row r="975" spans="1:10">
      <c r="A975" s="5">
        <v>2027</v>
      </c>
      <c r="B975" s="6"/>
      <c r="C975" s="6" t="s">
        <v>50</v>
      </c>
      <c r="D975" s="6" t="s">
        <v>106</v>
      </c>
      <c r="E975" s="6"/>
      <c r="F975" s="6">
        <v>2204</v>
      </c>
      <c r="G975" s="6">
        <v>9296</v>
      </c>
      <c r="H975" s="12">
        <f>tbl_base_ni_ri[[#This Row],[ni_total]]+tbl_base_ni_ri[[#This Row],[ri_total]]</f>
        <v>11500</v>
      </c>
      <c r="I975" s="6" t="str">
        <f t="shared" si="15"/>
        <v>OK</v>
      </c>
      <c r="J975" s="7"/>
    </row>
    <row r="976" spans="1:10">
      <c r="A976" s="5">
        <v>2028</v>
      </c>
      <c r="B976" s="6"/>
      <c r="C976" s="6" t="s">
        <v>50</v>
      </c>
      <c r="D976" s="6" t="s">
        <v>105</v>
      </c>
      <c r="E976" s="6"/>
      <c r="F976" s="6">
        <v>4111</v>
      </c>
      <c r="G976" s="6">
        <v>11389</v>
      </c>
      <c r="H976" s="12">
        <f>tbl_base_ni_ri[[#This Row],[ni_total]]+tbl_base_ni_ri[[#This Row],[ri_total]]</f>
        <v>15500</v>
      </c>
      <c r="I976" s="6" t="str">
        <f t="shared" si="15"/>
        <v>OK</v>
      </c>
      <c r="J976" s="7"/>
    </row>
    <row r="977" spans="1:10">
      <c r="A977" s="5">
        <v>2028</v>
      </c>
      <c r="B977" s="6"/>
      <c r="C977" s="6" t="s">
        <v>50</v>
      </c>
      <c r="D977" s="6" t="s">
        <v>106</v>
      </c>
      <c r="E977" s="6"/>
      <c r="F977" s="6">
        <v>2407</v>
      </c>
      <c r="G977" s="6">
        <v>10193</v>
      </c>
      <c r="H977" s="12">
        <f>tbl_base_ni_ri[[#This Row],[ni_total]]+tbl_base_ni_ri[[#This Row],[ri_total]]</f>
        <v>12600</v>
      </c>
      <c r="I977" s="6" t="str">
        <f t="shared" si="15"/>
        <v>OK</v>
      </c>
      <c r="J977" s="7"/>
    </row>
    <row r="978" spans="1:10">
      <c r="A978" s="5">
        <v>2029</v>
      </c>
      <c r="B978" s="6"/>
      <c r="C978" s="6" t="s">
        <v>50</v>
      </c>
      <c r="D978" s="6" t="s">
        <v>105</v>
      </c>
      <c r="E978" s="6"/>
      <c r="F978" s="6">
        <v>4477</v>
      </c>
      <c r="G978" s="6">
        <v>11823</v>
      </c>
      <c r="H978" s="12">
        <f>tbl_base_ni_ri[[#This Row],[ni_total]]+tbl_base_ni_ri[[#This Row],[ri_total]]</f>
        <v>16300</v>
      </c>
      <c r="I978" s="6" t="str">
        <f t="shared" si="15"/>
        <v>OK</v>
      </c>
      <c r="J978" s="7"/>
    </row>
    <row r="979" spans="1:10">
      <c r="A979" s="5">
        <v>2029</v>
      </c>
      <c r="B979" s="6"/>
      <c r="C979" s="6" t="s">
        <v>50</v>
      </c>
      <c r="D979" s="6" t="s">
        <v>106</v>
      </c>
      <c r="E979" s="6"/>
      <c r="F979" s="6">
        <v>2602</v>
      </c>
      <c r="G979" s="6">
        <v>11098</v>
      </c>
      <c r="H979" s="12">
        <f>tbl_base_ni_ri[[#This Row],[ni_total]]+tbl_base_ni_ri[[#This Row],[ri_total]]</f>
        <v>13700</v>
      </c>
      <c r="I979" s="6" t="str">
        <f t="shared" si="15"/>
        <v>OK</v>
      </c>
      <c r="J979" s="7"/>
    </row>
    <row r="980" spans="1:10">
      <c r="A980" s="5">
        <v>2020</v>
      </c>
      <c r="B980" s="6"/>
      <c r="C980" s="6" t="s">
        <v>56</v>
      </c>
      <c r="D980" s="6" t="s">
        <v>51</v>
      </c>
      <c r="E980" s="6"/>
      <c r="F980" s="6">
        <v>0</v>
      </c>
      <c r="G980" s="6">
        <v>0</v>
      </c>
      <c r="H980" s="12">
        <v>0</v>
      </c>
      <c r="I980" s="6" t="str">
        <f t="shared" si="15"/>
        <v>OK</v>
      </c>
      <c r="J980" s="7"/>
    </row>
    <row r="981" spans="1:10">
      <c r="A981" s="5">
        <v>2021</v>
      </c>
      <c r="B981" s="6"/>
      <c r="C981" s="6" t="s">
        <v>56</v>
      </c>
      <c r="D981" s="6" t="s">
        <v>51</v>
      </c>
      <c r="E981" s="6"/>
      <c r="F981" s="6">
        <v>0</v>
      </c>
      <c r="G981" s="6">
        <v>0</v>
      </c>
      <c r="H981" s="12">
        <v>0</v>
      </c>
      <c r="I981" s="6" t="str">
        <f t="shared" si="15"/>
        <v>OK</v>
      </c>
      <c r="J981" s="7"/>
    </row>
    <row r="982" spans="1:10">
      <c r="A982" s="5">
        <v>2022</v>
      </c>
      <c r="B982" s="6"/>
      <c r="C982" s="6" t="s">
        <v>56</v>
      </c>
      <c r="D982" s="6" t="s">
        <v>51</v>
      </c>
      <c r="E982" s="6"/>
      <c r="F982" s="6">
        <v>0</v>
      </c>
      <c r="G982" s="6">
        <v>0</v>
      </c>
      <c r="H982" s="12">
        <v>0</v>
      </c>
      <c r="I982" s="6" t="str">
        <f t="shared" si="15"/>
        <v>OK</v>
      </c>
      <c r="J982" s="7"/>
    </row>
    <row r="983" spans="1:10">
      <c r="A983" s="5">
        <v>2023</v>
      </c>
      <c r="B983" s="6"/>
      <c r="C983" s="6" t="s">
        <v>56</v>
      </c>
      <c r="D983" s="6" t="s">
        <v>51</v>
      </c>
      <c r="E983" s="6"/>
      <c r="F983" s="6">
        <v>0</v>
      </c>
      <c r="G983" s="6">
        <v>0</v>
      </c>
      <c r="H983" s="12">
        <v>0</v>
      </c>
      <c r="I983" s="6" t="str">
        <f t="shared" si="15"/>
        <v>OK</v>
      </c>
      <c r="J983" s="7"/>
    </row>
    <row r="984" spans="1:10">
      <c r="A984" s="5">
        <v>2024</v>
      </c>
      <c r="B984" s="6"/>
      <c r="C984" s="6" t="s">
        <v>56</v>
      </c>
      <c r="D984" s="6" t="s">
        <v>51</v>
      </c>
      <c r="E984" s="6"/>
      <c r="F984" s="6">
        <v>0</v>
      </c>
      <c r="G984" s="6">
        <v>0</v>
      </c>
      <c r="H984" s="12">
        <v>0</v>
      </c>
      <c r="I984" s="6" t="str">
        <f t="shared" si="15"/>
        <v>OK</v>
      </c>
      <c r="J984" s="7"/>
    </row>
    <row r="985" spans="1:10">
      <c r="A985" s="5">
        <v>2025</v>
      </c>
      <c r="B985" s="6"/>
      <c r="C985" s="6" t="s">
        <v>56</v>
      </c>
      <c r="D985" s="6" t="s">
        <v>51</v>
      </c>
      <c r="E985" s="6"/>
      <c r="F985" s="6">
        <v>0</v>
      </c>
      <c r="G985" s="6">
        <v>0</v>
      </c>
      <c r="H985" s="12">
        <v>0</v>
      </c>
      <c r="I985" s="6" t="str">
        <f t="shared" si="15"/>
        <v>OK</v>
      </c>
      <c r="J985" s="7"/>
    </row>
    <row r="986" spans="1:10">
      <c r="A986" s="5">
        <v>2020</v>
      </c>
      <c r="B986" s="6"/>
      <c r="C986" s="6" t="s">
        <v>58</v>
      </c>
      <c r="D986" s="6" t="s">
        <v>51</v>
      </c>
      <c r="E986" s="6"/>
      <c r="F986" s="6">
        <v>123</v>
      </c>
      <c r="G986" s="6">
        <v>414</v>
      </c>
      <c r="H986" s="12">
        <v>537</v>
      </c>
      <c r="I986" s="6" t="str">
        <f t="shared" si="15"/>
        <v>OK</v>
      </c>
      <c r="J986" s="7"/>
    </row>
    <row r="987" spans="1:10">
      <c r="A987" s="5">
        <v>2021</v>
      </c>
      <c r="B987" s="6"/>
      <c r="C987" s="6" t="s">
        <v>58</v>
      </c>
      <c r="D987" s="6" t="s">
        <v>51</v>
      </c>
      <c r="E987" s="6"/>
      <c r="F987" s="6">
        <v>103</v>
      </c>
      <c r="G987" s="6">
        <v>414</v>
      </c>
      <c r="H987" s="12">
        <v>517</v>
      </c>
      <c r="I987" s="6" t="str">
        <f t="shared" si="15"/>
        <v>OK</v>
      </c>
      <c r="J987" s="7"/>
    </row>
    <row r="988" spans="1:10">
      <c r="A988" s="5">
        <v>2022</v>
      </c>
      <c r="B988" s="6"/>
      <c r="C988" s="6" t="s">
        <v>58</v>
      </c>
      <c r="D988" s="6" t="s">
        <v>51</v>
      </c>
      <c r="E988" s="6"/>
      <c r="F988" s="6">
        <v>157</v>
      </c>
      <c r="G988" s="6">
        <v>370</v>
      </c>
      <c r="H988" s="12">
        <v>527</v>
      </c>
      <c r="I988" s="6" t="str">
        <f t="shared" si="15"/>
        <v>OK</v>
      </c>
      <c r="J988" s="7"/>
    </row>
    <row r="989" spans="1:10">
      <c r="A989" s="5">
        <v>2023</v>
      </c>
      <c r="B989" s="6"/>
      <c r="C989" s="6" t="s">
        <v>58</v>
      </c>
      <c r="D989" s="6" t="s">
        <v>51</v>
      </c>
      <c r="E989" s="6"/>
      <c r="F989" s="6">
        <v>134</v>
      </c>
      <c r="G989" s="6">
        <v>404</v>
      </c>
      <c r="H989" s="12">
        <v>538</v>
      </c>
      <c r="I989" s="6" t="str">
        <f t="shared" si="15"/>
        <v>OK</v>
      </c>
      <c r="J989" s="7"/>
    </row>
    <row r="990" spans="1:10">
      <c r="A990" s="5">
        <v>2024</v>
      </c>
      <c r="B990" s="6"/>
      <c r="C990" s="6" t="s">
        <v>58</v>
      </c>
      <c r="D990" s="6" t="s">
        <v>51</v>
      </c>
      <c r="E990" s="6"/>
      <c r="F990" s="6">
        <v>113</v>
      </c>
      <c r="G990" s="6">
        <v>418</v>
      </c>
      <c r="H990" s="12">
        <v>531</v>
      </c>
      <c r="I990" s="6" t="str">
        <f t="shared" si="15"/>
        <v>OK</v>
      </c>
      <c r="J990" s="7"/>
    </row>
    <row r="991" spans="1:10">
      <c r="A991" s="5">
        <v>2025</v>
      </c>
      <c r="B991" s="6"/>
      <c r="C991" s="6" t="s">
        <v>58</v>
      </c>
      <c r="D991" s="6" t="s">
        <v>51</v>
      </c>
      <c r="E991" s="6"/>
      <c r="F991" s="6">
        <v>115</v>
      </c>
      <c r="G991" s="6">
        <v>401</v>
      </c>
      <c r="H991" s="12">
        <v>516</v>
      </c>
      <c r="I991" s="6" t="str">
        <f t="shared" si="15"/>
        <v>OK</v>
      </c>
      <c r="J991" s="7"/>
    </row>
    <row r="992" spans="1:10">
      <c r="A992" s="5">
        <v>2020</v>
      </c>
      <c r="B992" s="6"/>
      <c r="C992" s="6" t="s">
        <v>60</v>
      </c>
      <c r="D992" s="6" t="s">
        <v>51</v>
      </c>
      <c r="E992" s="6"/>
      <c r="F992" s="6">
        <v>144</v>
      </c>
      <c r="G992" s="6">
        <v>488</v>
      </c>
      <c r="H992" s="12">
        <v>632</v>
      </c>
      <c r="I992" s="6" t="str">
        <f t="shared" si="15"/>
        <v>OK</v>
      </c>
      <c r="J992" s="7"/>
    </row>
    <row r="993" spans="1:10">
      <c r="A993" s="5">
        <v>2021</v>
      </c>
      <c r="B993" s="6"/>
      <c r="C993" s="6" t="s">
        <v>60</v>
      </c>
      <c r="D993" s="6" t="s">
        <v>51</v>
      </c>
      <c r="E993" s="6"/>
      <c r="F993" s="6">
        <v>141</v>
      </c>
      <c r="G993" s="6">
        <v>474</v>
      </c>
      <c r="H993" s="12">
        <v>615</v>
      </c>
      <c r="I993" s="6" t="str">
        <f t="shared" si="15"/>
        <v>OK</v>
      </c>
      <c r="J993" s="7"/>
    </row>
    <row r="994" spans="1:10">
      <c r="A994" s="5">
        <v>2022</v>
      </c>
      <c r="B994" s="6"/>
      <c r="C994" s="6" t="s">
        <v>60</v>
      </c>
      <c r="D994" s="6" t="s">
        <v>51</v>
      </c>
      <c r="E994" s="6"/>
      <c r="F994" s="6">
        <v>177</v>
      </c>
      <c r="G994" s="6">
        <v>445</v>
      </c>
      <c r="H994" s="12">
        <v>622</v>
      </c>
      <c r="I994" s="6" t="str">
        <f t="shared" si="15"/>
        <v>OK</v>
      </c>
      <c r="J994" s="7"/>
    </row>
    <row r="995" spans="1:10">
      <c r="A995" s="5">
        <v>2023</v>
      </c>
      <c r="B995" s="6"/>
      <c r="C995" s="6" t="s">
        <v>60</v>
      </c>
      <c r="D995" s="6" t="s">
        <v>51</v>
      </c>
      <c r="E995" s="6"/>
      <c r="F995" s="6">
        <v>125</v>
      </c>
      <c r="G995" s="6">
        <v>489</v>
      </c>
      <c r="H995" s="12">
        <v>614</v>
      </c>
      <c r="I995" s="6" t="str">
        <f t="shared" si="15"/>
        <v>OK</v>
      </c>
      <c r="J995" s="7"/>
    </row>
    <row r="996" spans="1:10">
      <c r="A996" s="5">
        <v>2024</v>
      </c>
      <c r="B996" s="6"/>
      <c r="C996" s="6" t="s">
        <v>60</v>
      </c>
      <c r="D996" s="6" t="s">
        <v>51</v>
      </c>
      <c r="E996" s="6"/>
      <c r="F996" s="6">
        <v>120</v>
      </c>
      <c r="G996" s="6">
        <v>465</v>
      </c>
      <c r="H996" s="12">
        <v>585</v>
      </c>
      <c r="I996" s="6" t="str">
        <f t="shared" si="15"/>
        <v>OK</v>
      </c>
      <c r="J996" s="7"/>
    </row>
    <row r="997" spans="1:10">
      <c r="A997" s="5">
        <v>2025</v>
      </c>
      <c r="B997" s="6"/>
      <c r="C997" s="6" t="s">
        <v>60</v>
      </c>
      <c r="D997" s="6" t="s">
        <v>51</v>
      </c>
      <c r="E997" s="6"/>
      <c r="F997" s="6">
        <v>115</v>
      </c>
      <c r="G997" s="6">
        <v>454</v>
      </c>
      <c r="H997" s="12">
        <v>569</v>
      </c>
      <c r="I997" s="6" t="str">
        <f t="shared" si="15"/>
        <v>OK</v>
      </c>
      <c r="J997" s="7"/>
    </row>
    <row r="998" spans="1:10">
      <c r="A998" s="5">
        <v>2020</v>
      </c>
      <c r="B998" s="6"/>
      <c r="C998" s="6" t="s">
        <v>62</v>
      </c>
      <c r="D998" s="6" t="s">
        <v>51</v>
      </c>
      <c r="E998" s="6"/>
      <c r="F998" s="6">
        <v>106</v>
      </c>
      <c r="G998" s="6">
        <v>445</v>
      </c>
      <c r="H998" s="12">
        <v>551</v>
      </c>
      <c r="I998" s="6" t="str">
        <f t="shared" si="15"/>
        <v>OK</v>
      </c>
      <c r="J998" s="7"/>
    </row>
    <row r="999" spans="1:10">
      <c r="A999" s="5">
        <v>2021</v>
      </c>
      <c r="B999" s="6"/>
      <c r="C999" s="6" t="s">
        <v>62</v>
      </c>
      <c r="D999" s="6" t="s">
        <v>51</v>
      </c>
      <c r="E999" s="6"/>
      <c r="F999" s="6">
        <v>106</v>
      </c>
      <c r="G999" s="6">
        <v>421</v>
      </c>
      <c r="H999" s="12">
        <v>527</v>
      </c>
      <c r="I999" s="6" t="str">
        <f t="shared" si="15"/>
        <v>OK</v>
      </c>
      <c r="J999" s="7"/>
    </row>
    <row r="1000" spans="1:10">
      <c r="A1000" s="8">
        <v>2022</v>
      </c>
      <c r="B1000" s="9"/>
      <c r="C1000" s="9" t="s">
        <v>62</v>
      </c>
      <c r="D1000" s="9" t="s">
        <v>51</v>
      </c>
      <c r="E1000" s="9"/>
      <c r="F1000" s="9">
        <v>124</v>
      </c>
      <c r="G1000" s="9">
        <v>383</v>
      </c>
      <c r="H1000" s="13">
        <v>507</v>
      </c>
      <c r="I1000" s="9" t="str">
        <f t="shared" si="15"/>
        <v>OK</v>
      </c>
      <c r="J1000" s="10"/>
    </row>
    <row r="1001" spans="1:10">
      <c r="A1001">
        <v>2023</v>
      </c>
      <c r="C1001" t="s">
        <v>62</v>
      </c>
      <c r="D1001" t="s">
        <v>51</v>
      </c>
      <c r="F1001">
        <v>105</v>
      </c>
      <c r="G1001">
        <v>389</v>
      </c>
      <c r="H1001">
        <v>494</v>
      </c>
    </row>
    <row r="1002" spans="1:10">
      <c r="A1002">
        <v>2024</v>
      </c>
      <c r="C1002" t="s">
        <v>62</v>
      </c>
      <c r="D1002" t="s">
        <v>51</v>
      </c>
      <c r="F1002">
        <v>114</v>
      </c>
      <c r="G1002">
        <v>397</v>
      </c>
      <c r="H1002">
        <v>511</v>
      </c>
    </row>
    <row r="1003" spans="1:10">
      <c r="A1003">
        <v>2025</v>
      </c>
      <c r="C1003" t="s">
        <v>62</v>
      </c>
      <c r="D1003" t="s">
        <v>51</v>
      </c>
      <c r="F1003">
        <v>98</v>
      </c>
      <c r="G1003">
        <v>397</v>
      </c>
      <c r="H1003">
        <v>495</v>
      </c>
    </row>
    <row r="1004" spans="1:10">
      <c r="A1004">
        <v>2020</v>
      </c>
      <c r="C1004" t="s">
        <v>64</v>
      </c>
      <c r="D1004" t="s">
        <v>51</v>
      </c>
      <c r="F1004">
        <v>158</v>
      </c>
      <c r="G1004">
        <v>522</v>
      </c>
      <c r="H1004">
        <v>680</v>
      </c>
    </row>
    <row r="1005" spans="1:10">
      <c r="A1005">
        <v>2021</v>
      </c>
      <c r="C1005" t="s">
        <v>64</v>
      </c>
      <c r="D1005" t="s">
        <v>51</v>
      </c>
      <c r="F1005">
        <v>175</v>
      </c>
      <c r="G1005">
        <v>530</v>
      </c>
      <c r="H1005">
        <v>705</v>
      </c>
    </row>
    <row r="1006" spans="1:10">
      <c r="A1006">
        <v>2022</v>
      </c>
      <c r="C1006" t="s">
        <v>64</v>
      </c>
      <c r="D1006" t="s">
        <v>51</v>
      </c>
      <c r="F1006">
        <v>234</v>
      </c>
      <c r="G1006">
        <v>573</v>
      </c>
      <c r="H1006">
        <v>807</v>
      </c>
    </row>
    <row r="1007" spans="1:10">
      <c r="A1007">
        <v>2023</v>
      </c>
      <c r="C1007" t="s">
        <v>64</v>
      </c>
      <c r="D1007" t="s">
        <v>51</v>
      </c>
      <c r="F1007">
        <v>235</v>
      </c>
      <c r="G1007">
        <v>620</v>
      </c>
      <c r="H1007">
        <v>855</v>
      </c>
    </row>
    <row r="1008" spans="1:10">
      <c r="A1008">
        <v>2024</v>
      </c>
      <c r="C1008" t="s">
        <v>64</v>
      </c>
      <c r="D1008" t="s">
        <v>51</v>
      </c>
      <c r="F1008">
        <v>247</v>
      </c>
      <c r="G1008">
        <v>667</v>
      </c>
      <c r="H1008">
        <v>914</v>
      </c>
    </row>
    <row r="1009" spans="1:8">
      <c r="A1009">
        <v>2025</v>
      </c>
      <c r="C1009" t="s">
        <v>64</v>
      </c>
      <c r="D1009" t="s">
        <v>51</v>
      </c>
      <c r="F1009">
        <v>256</v>
      </c>
      <c r="G1009">
        <v>724</v>
      </c>
      <c r="H1009">
        <v>980</v>
      </c>
    </row>
    <row r="1010" spans="1:8">
      <c r="A1010">
        <v>2020</v>
      </c>
      <c r="C1010" t="s">
        <v>66</v>
      </c>
      <c r="D1010" t="s">
        <v>51</v>
      </c>
      <c r="F1010">
        <v>70</v>
      </c>
      <c r="G1010">
        <v>303</v>
      </c>
      <c r="H1010">
        <v>373</v>
      </c>
    </row>
    <row r="1011" spans="1:8">
      <c r="A1011">
        <v>2021</v>
      </c>
      <c r="C1011" t="s">
        <v>66</v>
      </c>
      <c r="D1011" t="s">
        <v>51</v>
      </c>
      <c r="F1011">
        <v>62</v>
      </c>
      <c r="G1011">
        <v>281</v>
      </c>
      <c r="H1011">
        <v>343</v>
      </c>
    </row>
    <row r="1012" spans="1:8">
      <c r="A1012">
        <v>2022</v>
      </c>
      <c r="C1012" t="s">
        <v>66</v>
      </c>
      <c r="D1012" t="s">
        <v>51</v>
      </c>
      <c r="F1012">
        <v>86</v>
      </c>
      <c r="G1012">
        <v>238</v>
      </c>
      <c r="H1012">
        <v>324</v>
      </c>
    </row>
    <row r="1013" spans="1:8">
      <c r="A1013">
        <v>2023</v>
      </c>
      <c r="C1013" t="s">
        <v>66</v>
      </c>
      <c r="D1013" t="s">
        <v>51</v>
      </c>
      <c r="F1013">
        <v>87</v>
      </c>
      <c r="G1013">
        <v>226</v>
      </c>
      <c r="H1013">
        <v>313</v>
      </c>
    </row>
    <row r="1014" spans="1:8">
      <c r="A1014">
        <v>2024</v>
      </c>
      <c r="C1014" t="s">
        <v>66</v>
      </c>
      <c r="D1014" t="s">
        <v>51</v>
      </c>
      <c r="F1014">
        <v>68</v>
      </c>
      <c r="G1014">
        <v>253</v>
      </c>
      <c r="H1014">
        <v>321</v>
      </c>
    </row>
    <row r="1015" spans="1:8">
      <c r="A1015">
        <v>2025</v>
      </c>
      <c r="C1015" t="s">
        <v>66</v>
      </c>
      <c r="D1015" t="s">
        <v>51</v>
      </c>
      <c r="F1015">
        <v>93</v>
      </c>
      <c r="G1015">
        <v>261</v>
      </c>
      <c r="H1015">
        <v>354</v>
      </c>
    </row>
    <row r="1016" spans="1:8">
      <c r="A1016">
        <v>2020</v>
      </c>
      <c r="C1016" t="s">
        <v>68</v>
      </c>
      <c r="D1016" t="s">
        <v>51</v>
      </c>
      <c r="F1016">
        <v>264</v>
      </c>
      <c r="G1016">
        <v>842</v>
      </c>
      <c r="H1016">
        <v>1106</v>
      </c>
    </row>
    <row r="1017" spans="1:8">
      <c r="A1017">
        <v>2021</v>
      </c>
      <c r="C1017" t="s">
        <v>68</v>
      </c>
      <c r="D1017" t="s">
        <v>51</v>
      </c>
      <c r="F1017">
        <v>254</v>
      </c>
      <c r="G1017">
        <v>858</v>
      </c>
      <c r="H1017">
        <v>1112</v>
      </c>
    </row>
    <row r="1018" spans="1:8">
      <c r="A1018">
        <v>2022</v>
      </c>
      <c r="C1018" t="s">
        <v>68</v>
      </c>
      <c r="D1018" t="s">
        <v>51</v>
      </c>
      <c r="F1018">
        <v>274</v>
      </c>
      <c r="G1018">
        <v>845</v>
      </c>
      <c r="H1018">
        <v>1119</v>
      </c>
    </row>
    <row r="1019" spans="1:8">
      <c r="A1019">
        <v>2023</v>
      </c>
      <c r="C1019" t="s">
        <v>68</v>
      </c>
      <c r="D1019" t="s">
        <v>51</v>
      </c>
      <c r="F1019">
        <v>328</v>
      </c>
      <c r="G1019">
        <v>880</v>
      </c>
      <c r="H1019">
        <v>1208</v>
      </c>
    </row>
    <row r="1020" spans="1:8">
      <c r="A1020">
        <v>2024</v>
      </c>
      <c r="C1020" t="s">
        <v>68</v>
      </c>
      <c r="D1020" t="s">
        <v>51</v>
      </c>
      <c r="F1020">
        <v>287</v>
      </c>
      <c r="G1020">
        <v>934</v>
      </c>
      <c r="H1020">
        <v>1221</v>
      </c>
    </row>
    <row r="1021" spans="1:8">
      <c r="A1021">
        <v>2025</v>
      </c>
      <c r="C1021" t="s">
        <v>68</v>
      </c>
      <c r="D1021" t="s">
        <v>51</v>
      </c>
      <c r="F1021">
        <v>203</v>
      </c>
      <c r="G1021">
        <v>853</v>
      </c>
      <c r="H1021">
        <v>1056</v>
      </c>
    </row>
    <row r="1022" spans="1:8">
      <c r="A1022">
        <v>2020</v>
      </c>
      <c r="C1022" t="s">
        <v>69</v>
      </c>
      <c r="D1022" t="s">
        <v>51</v>
      </c>
      <c r="F1022">
        <v>158</v>
      </c>
      <c r="G1022">
        <v>467</v>
      </c>
      <c r="H1022">
        <v>625</v>
      </c>
    </row>
    <row r="1023" spans="1:8">
      <c r="A1023">
        <v>2021</v>
      </c>
      <c r="C1023" t="s">
        <v>69</v>
      </c>
      <c r="D1023" t="s">
        <v>51</v>
      </c>
      <c r="F1023">
        <v>155</v>
      </c>
      <c r="G1023">
        <v>507</v>
      </c>
      <c r="H1023">
        <v>662</v>
      </c>
    </row>
    <row r="1024" spans="1:8">
      <c r="A1024">
        <v>2022</v>
      </c>
      <c r="C1024" t="s">
        <v>69</v>
      </c>
      <c r="D1024" t="s">
        <v>51</v>
      </c>
      <c r="F1024">
        <v>173</v>
      </c>
      <c r="G1024">
        <v>512</v>
      </c>
      <c r="H1024">
        <v>685</v>
      </c>
    </row>
    <row r="1025" spans="1:8">
      <c r="A1025">
        <v>2023</v>
      </c>
      <c r="C1025" t="s">
        <v>69</v>
      </c>
      <c r="D1025" t="s">
        <v>51</v>
      </c>
      <c r="F1025">
        <v>192</v>
      </c>
      <c r="G1025">
        <v>589</v>
      </c>
      <c r="H1025">
        <v>781</v>
      </c>
    </row>
    <row r="1026" spans="1:8">
      <c r="A1026">
        <v>2024</v>
      </c>
      <c r="C1026" t="s">
        <v>69</v>
      </c>
      <c r="D1026" t="s">
        <v>51</v>
      </c>
      <c r="F1026">
        <v>180</v>
      </c>
      <c r="G1026">
        <v>650</v>
      </c>
      <c r="H1026">
        <v>830</v>
      </c>
    </row>
    <row r="1027" spans="1:8">
      <c r="A1027">
        <v>2025</v>
      </c>
      <c r="C1027" t="s">
        <v>69</v>
      </c>
      <c r="D1027" t="s">
        <v>51</v>
      </c>
      <c r="F1027">
        <v>161</v>
      </c>
      <c r="G1027">
        <v>698</v>
      </c>
      <c r="H1027">
        <v>859</v>
      </c>
    </row>
    <row r="1028" spans="1:8">
      <c r="A1028">
        <v>2020</v>
      </c>
      <c r="C1028" t="s">
        <v>71</v>
      </c>
      <c r="D1028" t="s">
        <v>51</v>
      </c>
      <c r="F1028">
        <v>63</v>
      </c>
      <c r="G1028">
        <v>196</v>
      </c>
      <c r="H1028">
        <v>259</v>
      </c>
    </row>
    <row r="1029" spans="1:8">
      <c r="A1029">
        <v>2021</v>
      </c>
      <c r="C1029" t="s">
        <v>71</v>
      </c>
      <c r="D1029" t="s">
        <v>51</v>
      </c>
      <c r="F1029">
        <v>55</v>
      </c>
      <c r="G1029">
        <v>199</v>
      </c>
      <c r="H1029">
        <v>254</v>
      </c>
    </row>
    <row r="1030" spans="1:8">
      <c r="A1030">
        <v>2022</v>
      </c>
      <c r="C1030" t="s">
        <v>71</v>
      </c>
      <c r="D1030" t="s">
        <v>51</v>
      </c>
      <c r="F1030">
        <v>41</v>
      </c>
      <c r="G1030">
        <v>177</v>
      </c>
      <c r="H1030">
        <v>218</v>
      </c>
    </row>
    <row r="1031" spans="1:8">
      <c r="A1031">
        <v>2023</v>
      </c>
      <c r="C1031" t="s">
        <v>71</v>
      </c>
      <c r="D1031" t="s">
        <v>51</v>
      </c>
      <c r="F1031">
        <v>33</v>
      </c>
      <c r="G1031">
        <v>157</v>
      </c>
      <c r="H1031">
        <v>190</v>
      </c>
    </row>
    <row r="1032" spans="1:8">
      <c r="A1032">
        <v>2024</v>
      </c>
      <c r="C1032" t="s">
        <v>71</v>
      </c>
      <c r="D1032" t="s">
        <v>51</v>
      </c>
      <c r="F1032">
        <v>35</v>
      </c>
      <c r="G1032">
        <v>145</v>
      </c>
      <c r="H1032">
        <v>180</v>
      </c>
    </row>
    <row r="1033" spans="1:8">
      <c r="A1033">
        <v>2025</v>
      </c>
      <c r="C1033" t="s">
        <v>71</v>
      </c>
      <c r="D1033" t="s">
        <v>51</v>
      </c>
      <c r="F1033">
        <v>54</v>
      </c>
      <c r="G1033">
        <v>131</v>
      </c>
      <c r="H1033">
        <v>185</v>
      </c>
    </row>
    <row r="1034" spans="1:8">
      <c r="A1034">
        <v>2020</v>
      </c>
      <c r="C1034" t="s">
        <v>73</v>
      </c>
      <c r="D1034" t="s">
        <v>51</v>
      </c>
      <c r="F1034">
        <v>189</v>
      </c>
      <c r="G1034">
        <v>798</v>
      </c>
      <c r="H1034">
        <v>987</v>
      </c>
    </row>
    <row r="1035" spans="1:8">
      <c r="A1035">
        <v>2021</v>
      </c>
      <c r="C1035" t="s">
        <v>73</v>
      </c>
      <c r="D1035" t="s">
        <v>51</v>
      </c>
      <c r="F1035">
        <v>202</v>
      </c>
      <c r="G1035">
        <v>758</v>
      </c>
      <c r="H1035">
        <v>960</v>
      </c>
    </row>
    <row r="1036" spans="1:8">
      <c r="A1036">
        <v>2022</v>
      </c>
      <c r="C1036" t="s">
        <v>73</v>
      </c>
      <c r="D1036" t="s">
        <v>51</v>
      </c>
      <c r="F1036">
        <v>262</v>
      </c>
      <c r="G1036">
        <v>734</v>
      </c>
      <c r="H1036">
        <v>996</v>
      </c>
    </row>
    <row r="1037" spans="1:8">
      <c r="A1037">
        <v>2023</v>
      </c>
      <c r="C1037" t="s">
        <v>73</v>
      </c>
      <c r="D1037" t="s">
        <v>51</v>
      </c>
      <c r="F1037">
        <v>261</v>
      </c>
      <c r="G1037">
        <v>759</v>
      </c>
      <c r="H1037">
        <v>1020</v>
      </c>
    </row>
    <row r="1038" spans="1:8">
      <c r="A1038">
        <v>2024</v>
      </c>
      <c r="C1038" t="s">
        <v>73</v>
      </c>
      <c r="D1038" t="s">
        <v>51</v>
      </c>
      <c r="F1038">
        <v>228</v>
      </c>
      <c r="G1038">
        <v>818</v>
      </c>
      <c r="H1038">
        <v>1046</v>
      </c>
    </row>
    <row r="1039" spans="1:8">
      <c r="A1039">
        <v>2025</v>
      </c>
      <c r="C1039" t="s">
        <v>73</v>
      </c>
      <c r="D1039" t="s">
        <v>51</v>
      </c>
      <c r="F1039">
        <v>258</v>
      </c>
      <c r="G1039">
        <v>860</v>
      </c>
      <c r="H1039">
        <v>1118</v>
      </c>
    </row>
    <row r="1040" spans="1:8">
      <c r="A1040">
        <v>2020</v>
      </c>
      <c r="C1040" t="s">
        <v>74</v>
      </c>
      <c r="D1040" t="s">
        <v>51</v>
      </c>
      <c r="F1040">
        <v>87</v>
      </c>
      <c r="G1040">
        <v>456</v>
      </c>
      <c r="H1040">
        <v>543</v>
      </c>
    </row>
    <row r="1041" spans="1:8">
      <c r="A1041">
        <v>2021</v>
      </c>
      <c r="C1041" t="s">
        <v>74</v>
      </c>
      <c r="D1041" t="s">
        <v>51</v>
      </c>
      <c r="F1041">
        <v>100</v>
      </c>
      <c r="G1041">
        <v>462</v>
      </c>
      <c r="H1041">
        <v>562</v>
      </c>
    </row>
    <row r="1042" spans="1:8">
      <c r="A1042">
        <v>2022</v>
      </c>
      <c r="C1042" t="s">
        <v>74</v>
      </c>
      <c r="D1042" t="s">
        <v>51</v>
      </c>
      <c r="F1042">
        <v>110</v>
      </c>
      <c r="G1042">
        <v>461</v>
      </c>
      <c r="H1042">
        <v>571</v>
      </c>
    </row>
    <row r="1043" spans="1:8">
      <c r="A1043">
        <v>2023</v>
      </c>
      <c r="C1043" t="s">
        <v>74</v>
      </c>
      <c r="D1043" t="s">
        <v>51</v>
      </c>
      <c r="F1043">
        <v>77</v>
      </c>
      <c r="G1043">
        <v>459</v>
      </c>
      <c r="H1043">
        <v>536</v>
      </c>
    </row>
    <row r="1044" spans="1:8">
      <c r="A1044">
        <v>2024</v>
      </c>
      <c r="C1044" t="s">
        <v>74</v>
      </c>
      <c r="D1044" t="s">
        <v>51</v>
      </c>
      <c r="F1044">
        <v>90</v>
      </c>
      <c r="G1044">
        <v>407</v>
      </c>
      <c r="H1044">
        <v>497</v>
      </c>
    </row>
    <row r="1045" spans="1:8">
      <c r="A1045">
        <v>2025</v>
      </c>
      <c r="C1045" t="s">
        <v>74</v>
      </c>
      <c r="D1045" t="s">
        <v>51</v>
      </c>
      <c r="F1045">
        <v>93</v>
      </c>
      <c r="G1045">
        <v>404</v>
      </c>
      <c r="H1045">
        <v>497</v>
      </c>
    </row>
    <row r="1046" spans="1:8">
      <c r="A1046">
        <v>2020</v>
      </c>
      <c r="C1046" t="s">
        <v>75</v>
      </c>
      <c r="D1046" t="s">
        <v>51</v>
      </c>
      <c r="F1046">
        <v>112</v>
      </c>
      <c r="G1046">
        <v>618</v>
      </c>
      <c r="H1046">
        <v>730</v>
      </c>
    </row>
    <row r="1047" spans="1:8">
      <c r="A1047">
        <v>2021</v>
      </c>
      <c r="C1047" t="s">
        <v>75</v>
      </c>
      <c r="D1047" t="s">
        <v>51</v>
      </c>
      <c r="F1047">
        <v>110</v>
      </c>
      <c r="G1047">
        <v>588</v>
      </c>
      <c r="H1047">
        <v>698</v>
      </c>
    </row>
    <row r="1048" spans="1:8">
      <c r="A1048">
        <v>2022</v>
      </c>
      <c r="C1048" t="s">
        <v>75</v>
      </c>
      <c r="D1048" t="s">
        <v>51</v>
      </c>
      <c r="F1048">
        <v>162</v>
      </c>
      <c r="G1048">
        <v>535</v>
      </c>
      <c r="H1048">
        <v>697</v>
      </c>
    </row>
    <row r="1049" spans="1:8">
      <c r="A1049">
        <v>2023</v>
      </c>
      <c r="C1049" t="s">
        <v>75</v>
      </c>
      <c r="D1049" t="s">
        <v>51</v>
      </c>
      <c r="F1049">
        <v>166</v>
      </c>
      <c r="G1049">
        <v>528</v>
      </c>
      <c r="H1049">
        <v>694</v>
      </c>
    </row>
    <row r="1050" spans="1:8">
      <c r="A1050">
        <v>2024</v>
      </c>
      <c r="C1050" t="s">
        <v>75</v>
      </c>
      <c r="D1050" t="s">
        <v>51</v>
      </c>
      <c r="F1050">
        <v>189</v>
      </c>
      <c r="G1050">
        <v>577</v>
      </c>
      <c r="H1050">
        <v>766</v>
      </c>
    </row>
    <row r="1051" spans="1:8">
      <c r="A1051">
        <v>2025</v>
      </c>
      <c r="C1051" t="s">
        <v>75</v>
      </c>
      <c r="D1051" t="s">
        <v>51</v>
      </c>
      <c r="F1051">
        <v>161</v>
      </c>
      <c r="G1051">
        <v>687</v>
      </c>
      <c r="H1051">
        <v>848</v>
      </c>
    </row>
    <row r="1052" spans="1:8">
      <c r="A1052">
        <v>2020</v>
      </c>
      <c r="C1052" t="s">
        <v>76</v>
      </c>
      <c r="D1052" t="s">
        <v>51</v>
      </c>
      <c r="F1052">
        <v>91</v>
      </c>
      <c r="G1052">
        <v>232</v>
      </c>
      <c r="H1052">
        <v>323</v>
      </c>
    </row>
    <row r="1053" spans="1:8">
      <c r="A1053">
        <v>2021</v>
      </c>
      <c r="C1053" t="s">
        <v>76</v>
      </c>
      <c r="D1053" t="s">
        <v>51</v>
      </c>
      <c r="F1053">
        <v>69</v>
      </c>
      <c r="G1053">
        <v>247</v>
      </c>
      <c r="H1053">
        <v>316</v>
      </c>
    </row>
    <row r="1054" spans="1:8">
      <c r="A1054">
        <v>2022</v>
      </c>
      <c r="C1054" t="s">
        <v>76</v>
      </c>
      <c r="D1054" t="s">
        <v>51</v>
      </c>
      <c r="F1054">
        <v>91</v>
      </c>
      <c r="G1054">
        <v>241</v>
      </c>
      <c r="H1054">
        <v>332</v>
      </c>
    </row>
    <row r="1055" spans="1:8">
      <c r="A1055">
        <v>2023</v>
      </c>
      <c r="C1055" t="s">
        <v>76</v>
      </c>
      <c r="D1055" t="s">
        <v>51</v>
      </c>
      <c r="F1055">
        <v>81</v>
      </c>
      <c r="G1055">
        <v>250</v>
      </c>
      <c r="H1055">
        <v>331</v>
      </c>
    </row>
    <row r="1056" spans="1:8">
      <c r="A1056">
        <v>2024</v>
      </c>
      <c r="C1056" t="s">
        <v>76</v>
      </c>
      <c r="D1056" t="s">
        <v>51</v>
      </c>
      <c r="F1056">
        <v>70</v>
      </c>
      <c r="G1056">
        <v>253</v>
      </c>
      <c r="H1056">
        <v>323</v>
      </c>
    </row>
    <row r="1057" spans="1:8">
      <c r="A1057">
        <v>2025</v>
      </c>
      <c r="C1057" t="s">
        <v>76</v>
      </c>
      <c r="D1057" t="s">
        <v>51</v>
      </c>
      <c r="F1057">
        <v>44</v>
      </c>
      <c r="G1057">
        <v>241</v>
      </c>
      <c r="H1057">
        <v>285</v>
      </c>
    </row>
    <row r="1058" spans="1:8">
      <c r="A1058">
        <v>2020</v>
      </c>
      <c r="C1058" t="s">
        <v>77</v>
      </c>
      <c r="D1058" t="s">
        <v>51</v>
      </c>
      <c r="F1058">
        <v>142</v>
      </c>
      <c r="G1058">
        <v>444</v>
      </c>
      <c r="H1058">
        <v>586</v>
      </c>
    </row>
    <row r="1059" spans="1:8">
      <c r="A1059">
        <v>2021</v>
      </c>
      <c r="C1059" t="s">
        <v>77</v>
      </c>
      <c r="D1059" t="s">
        <v>51</v>
      </c>
      <c r="F1059">
        <v>113</v>
      </c>
      <c r="G1059">
        <v>440</v>
      </c>
      <c r="H1059">
        <v>553</v>
      </c>
    </row>
    <row r="1060" spans="1:8">
      <c r="A1060">
        <v>2022</v>
      </c>
      <c r="C1060" t="s">
        <v>77</v>
      </c>
      <c r="D1060" t="s">
        <v>51</v>
      </c>
      <c r="F1060">
        <v>125</v>
      </c>
      <c r="G1060">
        <v>412</v>
      </c>
      <c r="H1060">
        <v>537</v>
      </c>
    </row>
    <row r="1061" spans="1:8">
      <c r="A1061">
        <v>2023</v>
      </c>
      <c r="C1061" t="s">
        <v>77</v>
      </c>
      <c r="D1061" t="s">
        <v>51</v>
      </c>
      <c r="F1061">
        <v>125</v>
      </c>
      <c r="G1061">
        <v>385</v>
      </c>
      <c r="H1061">
        <v>510</v>
      </c>
    </row>
    <row r="1062" spans="1:8">
      <c r="A1062">
        <v>2024</v>
      </c>
      <c r="C1062" t="s">
        <v>77</v>
      </c>
      <c r="D1062" t="s">
        <v>51</v>
      </c>
      <c r="F1062">
        <v>112</v>
      </c>
      <c r="G1062">
        <v>379</v>
      </c>
      <c r="H1062">
        <v>491</v>
      </c>
    </row>
    <row r="1063" spans="1:8">
      <c r="A1063">
        <v>2025</v>
      </c>
      <c r="C1063" t="s">
        <v>77</v>
      </c>
      <c r="D1063" t="s">
        <v>51</v>
      </c>
      <c r="F1063">
        <v>160</v>
      </c>
      <c r="G1063">
        <v>457</v>
      </c>
      <c r="H1063">
        <v>617</v>
      </c>
    </row>
    <row r="1064" spans="1:8">
      <c r="A1064">
        <v>2020</v>
      </c>
      <c r="C1064" t="s">
        <v>78</v>
      </c>
      <c r="D1064" t="s">
        <v>51</v>
      </c>
      <c r="F1064">
        <v>659</v>
      </c>
      <c r="G1064">
        <v>2498</v>
      </c>
      <c r="H1064">
        <v>3157</v>
      </c>
    </row>
    <row r="1065" spans="1:8">
      <c r="A1065">
        <v>2021</v>
      </c>
      <c r="C1065" t="s">
        <v>78</v>
      </c>
      <c r="D1065" t="s">
        <v>51</v>
      </c>
      <c r="F1065">
        <v>596</v>
      </c>
      <c r="G1065">
        <v>2599</v>
      </c>
      <c r="H1065">
        <v>3195</v>
      </c>
    </row>
    <row r="1066" spans="1:8">
      <c r="A1066">
        <v>2022</v>
      </c>
      <c r="C1066" t="s">
        <v>78</v>
      </c>
      <c r="D1066" t="s">
        <v>51</v>
      </c>
      <c r="F1066">
        <v>707</v>
      </c>
      <c r="G1066">
        <v>2574</v>
      </c>
      <c r="H1066">
        <v>3281</v>
      </c>
    </row>
    <row r="1067" spans="1:8">
      <c r="A1067">
        <v>2023</v>
      </c>
      <c r="C1067" t="s">
        <v>78</v>
      </c>
      <c r="D1067" t="s">
        <v>51</v>
      </c>
      <c r="F1067">
        <v>682</v>
      </c>
      <c r="G1067">
        <v>2628</v>
      </c>
      <c r="H1067">
        <v>3310</v>
      </c>
    </row>
    <row r="1068" spans="1:8">
      <c r="A1068">
        <v>2024</v>
      </c>
      <c r="C1068" t="s">
        <v>78</v>
      </c>
      <c r="D1068" t="s">
        <v>51</v>
      </c>
      <c r="F1068">
        <v>733</v>
      </c>
      <c r="G1068">
        <v>2557</v>
      </c>
      <c r="H1068">
        <v>3290</v>
      </c>
    </row>
    <row r="1069" spans="1:8">
      <c r="A1069">
        <v>2025</v>
      </c>
      <c r="C1069" t="s">
        <v>78</v>
      </c>
      <c r="D1069" t="s">
        <v>51</v>
      </c>
      <c r="F1069">
        <v>663</v>
      </c>
      <c r="G1069">
        <v>2725</v>
      </c>
      <c r="H1069">
        <v>3388</v>
      </c>
    </row>
    <row r="1070" spans="1:8">
      <c r="A1070">
        <v>2020</v>
      </c>
      <c r="C1070" t="s">
        <v>79</v>
      </c>
      <c r="D1070" t="s">
        <v>51</v>
      </c>
      <c r="F1070">
        <v>37</v>
      </c>
      <c r="G1070">
        <v>31</v>
      </c>
      <c r="H1070">
        <v>68</v>
      </c>
    </row>
    <row r="1071" spans="1:8">
      <c r="A1071">
        <v>2021</v>
      </c>
      <c r="C1071" t="s">
        <v>79</v>
      </c>
      <c r="D1071" t="s">
        <v>51</v>
      </c>
      <c r="F1071">
        <v>45</v>
      </c>
      <c r="G1071">
        <v>43</v>
      </c>
      <c r="H1071">
        <v>88</v>
      </c>
    </row>
    <row r="1072" spans="1:8">
      <c r="A1072">
        <v>2022</v>
      </c>
      <c r="C1072" t="s">
        <v>79</v>
      </c>
      <c r="D1072" t="s">
        <v>51</v>
      </c>
      <c r="F1072">
        <v>40</v>
      </c>
      <c r="G1072">
        <v>71</v>
      </c>
      <c r="H1072">
        <v>111</v>
      </c>
    </row>
    <row r="1073" spans="1:8">
      <c r="A1073">
        <v>2023</v>
      </c>
      <c r="C1073" t="s">
        <v>79</v>
      </c>
      <c r="D1073" t="s">
        <v>51</v>
      </c>
      <c r="F1073">
        <v>41</v>
      </c>
      <c r="G1073">
        <v>93</v>
      </c>
      <c r="H1073">
        <v>134</v>
      </c>
    </row>
    <row r="1074" spans="1:8">
      <c r="A1074">
        <v>2024</v>
      </c>
      <c r="C1074" t="s">
        <v>79</v>
      </c>
      <c r="D1074" t="s">
        <v>51</v>
      </c>
      <c r="F1074">
        <v>30</v>
      </c>
      <c r="G1074">
        <v>115</v>
      </c>
      <c r="H1074">
        <v>145</v>
      </c>
    </row>
    <row r="1075" spans="1:8">
      <c r="A1075">
        <v>2025</v>
      </c>
      <c r="C1075" t="s">
        <v>79</v>
      </c>
      <c r="D1075" t="s">
        <v>51</v>
      </c>
      <c r="F1075">
        <v>36</v>
      </c>
      <c r="G1075">
        <v>119</v>
      </c>
      <c r="H1075">
        <v>155</v>
      </c>
    </row>
    <row r="1076" spans="1:8">
      <c r="A1076">
        <v>2020</v>
      </c>
      <c r="C1076" t="s">
        <v>80</v>
      </c>
      <c r="D1076" t="s">
        <v>51</v>
      </c>
      <c r="F1076">
        <v>159</v>
      </c>
      <c r="G1076">
        <v>448</v>
      </c>
      <c r="H1076">
        <v>607</v>
      </c>
    </row>
    <row r="1077" spans="1:8">
      <c r="A1077">
        <v>2021</v>
      </c>
      <c r="C1077" t="s">
        <v>80</v>
      </c>
      <c r="D1077" t="s">
        <v>51</v>
      </c>
      <c r="F1077">
        <v>140</v>
      </c>
      <c r="G1077">
        <v>453</v>
      </c>
      <c r="H1077">
        <v>593</v>
      </c>
    </row>
    <row r="1078" spans="1:8">
      <c r="A1078">
        <v>2022</v>
      </c>
      <c r="C1078" t="s">
        <v>80</v>
      </c>
      <c r="D1078" t="s">
        <v>51</v>
      </c>
      <c r="F1078">
        <v>133</v>
      </c>
      <c r="G1078">
        <v>469</v>
      </c>
      <c r="H1078">
        <v>602</v>
      </c>
    </row>
    <row r="1079" spans="1:8">
      <c r="A1079">
        <v>2023</v>
      </c>
      <c r="C1079" t="s">
        <v>80</v>
      </c>
      <c r="D1079" t="s">
        <v>51</v>
      </c>
      <c r="F1079">
        <v>109</v>
      </c>
      <c r="G1079">
        <v>447</v>
      </c>
      <c r="H1079">
        <v>556</v>
      </c>
    </row>
    <row r="1080" spans="1:8">
      <c r="A1080">
        <v>2024</v>
      </c>
      <c r="C1080" t="s">
        <v>80</v>
      </c>
      <c r="D1080" t="s">
        <v>51</v>
      </c>
      <c r="F1080">
        <v>128</v>
      </c>
      <c r="G1080">
        <v>417</v>
      </c>
      <c r="H1080">
        <v>545</v>
      </c>
    </row>
    <row r="1081" spans="1:8">
      <c r="A1081">
        <v>2025</v>
      </c>
      <c r="C1081" t="s">
        <v>80</v>
      </c>
      <c r="D1081" t="s">
        <v>51</v>
      </c>
      <c r="F1081">
        <v>146</v>
      </c>
      <c r="G1081">
        <v>398</v>
      </c>
      <c r="H1081">
        <v>544</v>
      </c>
    </row>
    <row r="1082" spans="1:8">
      <c r="A1082">
        <v>2020</v>
      </c>
      <c r="C1082" t="s">
        <v>81</v>
      </c>
      <c r="D1082" t="s">
        <v>51</v>
      </c>
      <c r="F1082">
        <v>101</v>
      </c>
      <c r="G1082">
        <v>277</v>
      </c>
      <c r="H1082">
        <v>378</v>
      </c>
    </row>
    <row r="1083" spans="1:8">
      <c r="A1083">
        <v>2021</v>
      </c>
      <c r="C1083" t="s">
        <v>81</v>
      </c>
      <c r="D1083" t="s">
        <v>51</v>
      </c>
      <c r="F1083">
        <v>83</v>
      </c>
      <c r="G1083">
        <v>310</v>
      </c>
      <c r="H1083">
        <v>393</v>
      </c>
    </row>
    <row r="1084" spans="1:8">
      <c r="A1084">
        <v>2022</v>
      </c>
      <c r="C1084" t="s">
        <v>81</v>
      </c>
      <c r="D1084" t="s">
        <v>51</v>
      </c>
      <c r="F1084">
        <v>76</v>
      </c>
      <c r="G1084">
        <v>293</v>
      </c>
      <c r="H1084">
        <v>369</v>
      </c>
    </row>
    <row r="1085" spans="1:8">
      <c r="A1085">
        <v>2023</v>
      </c>
      <c r="C1085" t="s">
        <v>81</v>
      </c>
      <c r="D1085" t="s">
        <v>51</v>
      </c>
      <c r="F1085">
        <v>68</v>
      </c>
      <c r="G1085">
        <v>273</v>
      </c>
      <c r="H1085">
        <v>341</v>
      </c>
    </row>
    <row r="1086" spans="1:8">
      <c r="A1086">
        <v>2024</v>
      </c>
      <c r="C1086" t="s">
        <v>81</v>
      </c>
      <c r="D1086" t="s">
        <v>51</v>
      </c>
      <c r="F1086">
        <v>50</v>
      </c>
      <c r="G1086">
        <v>238</v>
      </c>
      <c r="H1086">
        <v>288</v>
      </c>
    </row>
    <row r="1087" spans="1:8">
      <c r="A1087">
        <v>2025</v>
      </c>
      <c r="C1087" t="s">
        <v>81</v>
      </c>
      <c r="D1087" t="s">
        <v>51</v>
      </c>
      <c r="F1087">
        <v>45</v>
      </c>
      <c r="G1087">
        <v>215</v>
      </c>
      <c r="H1087">
        <v>260</v>
      </c>
    </row>
    <row r="1088" spans="1:8">
      <c r="A1088">
        <v>2020</v>
      </c>
      <c r="C1088" t="s">
        <v>82</v>
      </c>
      <c r="D1088" t="s">
        <v>51</v>
      </c>
      <c r="F1088">
        <v>75</v>
      </c>
      <c r="G1088">
        <v>194</v>
      </c>
      <c r="H1088">
        <v>269</v>
      </c>
    </row>
    <row r="1089" spans="1:8">
      <c r="A1089">
        <v>2021</v>
      </c>
      <c r="C1089" t="s">
        <v>82</v>
      </c>
      <c r="D1089" t="s">
        <v>51</v>
      </c>
      <c r="F1089">
        <v>73</v>
      </c>
      <c r="G1089">
        <v>208</v>
      </c>
      <c r="H1089">
        <v>281</v>
      </c>
    </row>
    <row r="1090" spans="1:8">
      <c r="A1090">
        <v>2022</v>
      </c>
      <c r="C1090" t="s">
        <v>82</v>
      </c>
      <c r="D1090" t="s">
        <v>51</v>
      </c>
      <c r="F1090">
        <v>86</v>
      </c>
      <c r="G1090">
        <v>217</v>
      </c>
      <c r="H1090">
        <v>303</v>
      </c>
    </row>
    <row r="1091" spans="1:8">
      <c r="A1091">
        <v>2023</v>
      </c>
      <c r="C1091" t="s">
        <v>82</v>
      </c>
      <c r="D1091" t="s">
        <v>51</v>
      </c>
      <c r="F1091">
        <v>95</v>
      </c>
      <c r="G1091">
        <v>226</v>
      </c>
      <c r="H1091">
        <v>321</v>
      </c>
    </row>
    <row r="1092" spans="1:8">
      <c r="A1092">
        <v>2024</v>
      </c>
      <c r="C1092" t="s">
        <v>82</v>
      </c>
      <c r="D1092" t="s">
        <v>51</v>
      </c>
      <c r="F1092">
        <v>76</v>
      </c>
      <c r="G1092">
        <v>234</v>
      </c>
      <c r="H1092">
        <v>310</v>
      </c>
    </row>
    <row r="1093" spans="1:8">
      <c r="A1093">
        <v>2025</v>
      </c>
      <c r="C1093" t="s">
        <v>82</v>
      </c>
      <c r="D1093" t="s">
        <v>51</v>
      </c>
      <c r="F1093">
        <v>64</v>
      </c>
      <c r="G1093">
        <v>237</v>
      </c>
      <c r="H1093">
        <v>301</v>
      </c>
    </row>
    <row r="1094" spans="1:8">
      <c r="A1094">
        <v>2020</v>
      </c>
      <c r="C1094" t="s">
        <v>84</v>
      </c>
      <c r="D1094" t="s">
        <v>51</v>
      </c>
      <c r="F1094">
        <v>106</v>
      </c>
      <c r="G1094">
        <v>359</v>
      </c>
      <c r="H1094">
        <v>465</v>
      </c>
    </row>
    <row r="1095" spans="1:8">
      <c r="A1095">
        <v>2021</v>
      </c>
      <c r="C1095" t="s">
        <v>84</v>
      </c>
      <c r="D1095" t="s">
        <v>51</v>
      </c>
      <c r="F1095">
        <v>91</v>
      </c>
      <c r="G1095">
        <v>375</v>
      </c>
      <c r="H1095">
        <v>466</v>
      </c>
    </row>
    <row r="1096" spans="1:8">
      <c r="A1096">
        <v>2022</v>
      </c>
      <c r="C1096" t="s">
        <v>84</v>
      </c>
      <c r="D1096" t="s">
        <v>51</v>
      </c>
      <c r="F1096">
        <v>105</v>
      </c>
      <c r="G1096">
        <v>369</v>
      </c>
      <c r="H1096">
        <v>474</v>
      </c>
    </row>
    <row r="1097" spans="1:8">
      <c r="A1097">
        <v>2023</v>
      </c>
      <c r="C1097" t="s">
        <v>84</v>
      </c>
      <c r="D1097" t="s">
        <v>51</v>
      </c>
      <c r="F1097">
        <v>117</v>
      </c>
      <c r="G1097">
        <v>369</v>
      </c>
      <c r="H1097">
        <v>486</v>
      </c>
    </row>
    <row r="1098" spans="1:8">
      <c r="A1098">
        <v>2024</v>
      </c>
      <c r="C1098" t="s">
        <v>84</v>
      </c>
      <c r="D1098" t="s">
        <v>51</v>
      </c>
      <c r="F1098">
        <v>117</v>
      </c>
      <c r="G1098">
        <v>351</v>
      </c>
      <c r="H1098">
        <v>468</v>
      </c>
    </row>
    <row r="1099" spans="1:8">
      <c r="A1099">
        <v>2025</v>
      </c>
      <c r="C1099" t="s">
        <v>84</v>
      </c>
      <c r="D1099" t="s">
        <v>51</v>
      </c>
      <c r="F1099">
        <v>123</v>
      </c>
      <c r="G1099">
        <v>376</v>
      </c>
      <c r="H1099">
        <v>499</v>
      </c>
    </row>
    <row r="1100" spans="1:8">
      <c r="A1100">
        <v>2020</v>
      </c>
      <c r="C1100" t="s">
        <v>85</v>
      </c>
      <c r="D1100" t="s">
        <v>51</v>
      </c>
      <c r="F1100">
        <v>78</v>
      </c>
      <c r="G1100">
        <v>459</v>
      </c>
      <c r="H1100">
        <v>537</v>
      </c>
    </row>
    <row r="1101" spans="1:8">
      <c r="A1101">
        <v>2021</v>
      </c>
      <c r="C1101" t="s">
        <v>85</v>
      </c>
      <c r="D1101" t="s">
        <v>51</v>
      </c>
      <c r="F1101">
        <v>94</v>
      </c>
      <c r="G1101">
        <v>417</v>
      </c>
      <c r="H1101">
        <v>511</v>
      </c>
    </row>
    <row r="1102" spans="1:8">
      <c r="A1102">
        <v>2022</v>
      </c>
      <c r="C1102" t="s">
        <v>85</v>
      </c>
      <c r="D1102" t="s">
        <v>51</v>
      </c>
      <c r="F1102">
        <v>90</v>
      </c>
      <c r="G1102">
        <v>360</v>
      </c>
      <c r="H1102">
        <v>450</v>
      </c>
    </row>
    <row r="1103" spans="1:8">
      <c r="A1103">
        <v>2023</v>
      </c>
      <c r="C1103" t="s">
        <v>85</v>
      </c>
      <c r="D1103" t="s">
        <v>51</v>
      </c>
      <c r="F1103">
        <v>65</v>
      </c>
      <c r="G1103">
        <v>340</v>
      </c>
      <c r="H1103">
        <v>405</v>
      </c>
    </row>
    <row r="1104" spans="1:8">
      <c r="A1104">
        <v>2024</v>
      </c>
      <c r="C1104" t="s">
        <v>85</v>
      </c>
      <c r="D1104" t="s">
        <v>51</v>
      </c>
      <c r="F1104">
        <v>92</v>
      </c>
      <c r="G1104">
        <v>300</v>
      </c>
      <c r="H1104">
        <v>392</v>
      </c>
    </row>
    <row r="1105" spans="1:8">
      <c r="A1105">
        <v>2025</v>
      </c>
      <c r="C1105" t="s">
        <v>85</v>
      </c>
      <c r="D1105" t="s">
        <v>51</v>
      </c>
      <c r="F1105">
        <v>59</v>
      </c>
      <c r="G1105">
        <v>309</v>
      </c>
      <c r="H1105">
        <v>368</v>
      </c>
    </row>
    <row r="1106" spans="1:8">
      <c r="A1106">
        <v>2020</v>
      </c>
      <c r="C1106" t="s">
        <v>86</v>
      </c>
      <c r="D1106" t="s">
        <v>51</v>
      </c>
      <c r="F1106">
        <v>98</v>
      </c>
      <c r="G1106">
        <v>283</v>
      </c>
      <c r="H1106">
        <v>381</v>
      </c>
    </row>
    <row r="1107" spans="1:8">
      <c r="A1107">
        <v>2021</v>
      </c>
      <c r="C1107" t="s">
        <v>86</v>
      </c>
      <c r="D1107" t="s">
        <v>51</v>
      </c>
      <c r="F1107">
        <v>98</v>
      </c>
      <c r="G1107">
        <v>287</v>
      </c>
      <c r="H1107">
        <v>385</v>
      </c>
    </row>
    <row r="1108" spans="1:8">
      <c r="A1108">
        <v>2022</v>
      </c>
      <c r="C1108" t="s">
        <v>86</v>
      </c>
      <c r="D1108" t="s">
        <v>51</v>
      </c>
      <c r="F1108">
        <v>111</v>
      </c>
      <c r="G1108">
        <v>283</v>
      </c>
      <c r="H1108">
        <v>394</v>
      </c>
    </row>
    <row r="1109" spans="1:8">
      <c r="A1109">
        <v>2023</v>
      </c>
      <c r="C1109" t="s">
        <v>86</v>
      </c>
      <c r="D1109" t="s">
        <v>51</v>
      </c>
      <c r="F1109">
        <v>97</v>
      </c>
      <c r="G1109">
        <v>311</v>
      </c>
      <c r="H1109">
        <v>408</v>
      </c>
    </row>
    <row r="1110" spans="1:8">
      <c r="A1110">
        <v>2024</v>
      </c>
      <c r="C1110" t="s">
        <v>86</v>
      </c>
      <c r="D1110" t="s">
        <v>51</v>
      </c>
      <c r="F1110">
        <v>144</v>
      </c>
      <c r="G1110">
        <v>321</v>
      </c>
      <c r="H1110">
        <v>465</v>
      </c>
    </row>
    <row r="1111" spans="1:8">
      <c r="A1111">
        <v>2025</v>
      </c>
      <c r="C1111" t="s">
        <v>86</v>
      </c>
      <c r="D1111" t="s">
        <v>51</v>
      </c>
      <c r="F1111">
        <v>141</v>
      </c>
      <c r="G1111">
        <v>392</v>
      </c>
      <c r="H1111">
        <v>533</v>
      </c>
    </row>
    <row r="1112" spans="1:8">
      <c r="A1112">
        <v>2020</v>
      </c>
      <c r="C1112" t="s">
        <v>87</v>
      </c>
      <c r="D1112" t="s">
        <v>51</v>
      </c>
      <c r="F1112">
        <v>182</v>
      </c>
      <c r="G1112">
        <v>414</v>
      </c>
      <c r="H1112">
        <v>596</v>
      </c>
    </row>
    <row r="1113" spans="1:8">
      <c r="A1113">
        <v>2021</v>
      </c>
      <c r="C1113" t="s">
        <v>87</v>
      </c>
      <c r="D1113" t="s">
        <v>51</v>
      </c>
      <c r="F1113">
        <v>146</v>
      </c>
      <c r="G1113">
        <v>454</v>
      </c>
      <c r="H1113">
        <v>600</v>
      </c>
    </row>
    <row r="1114" spans="1:8">
      <c r="A1114">
        <v>2022</v>
      </c>
      <c r="C1114" t="s">
        <v>87</v>
      </c>
      <c r="D1114" t="s">
        <v>51</v>
      </c>
      <c r="F1114">
        <v>160</v>
      </c>
      <c r="G1114">
        <v>485</v>
      </c>
      <c r="H1114">
        <v>645</v>
      </c>
    </row>
    <row r="1115" spans="1:8">
      <c r="A1115">
        <v>2023</v>
      </c>
      <c r="C1115" t="s">
        <v>87</v>
      </c>
      <c r="D1115" t="s">
        <v>51</v>
      </c>
      <c r="F1115">
        <v>130</v>
      </c>
      <c r="G1115">
        <v>515</v>
      </c>
      <c r="H1115">
        <v>645</v>
      </c>
    </row>
    <row r="1116" spans="1:8">
      <c r="A1116">
        <v>2024</v>
      </c>
      <c r="C1116" t="s">
        <v>87</v>
      </c>
      <c r="D1116" t="s">
        <v>51</v>
      </c>
      <c r="F1116">
        <v>106</v>
      </c>
      <c r="G1116">
        <v>511</v>
      </c>
      <c r="H1116">
        <v>617</v>
      </c>
    </row>
    <row r="1117" spans="1:8">
      <c r="A1117">
        <v>2025</v>
      </c>
      <c r="C1117" t="s">
        <v>87</v>
      </c>
      <c r="D1117" t="s">
        <v>51</v>
      </c>
      <c r="F1117">
        <v>100</v>
      </c>
      <c r="G1117">
        <v>468</v>
      </c>
      <c r="H1117">
        <v>568</v>
      </c>
    </row>
    <row r="1118" spans="1:8">
      <c r="A1118">
        <v>2020</v>
      </c>
      <c r="C1118" t="s">
        <v>88</v>
      </c>
      <c r="D1118" t="s">
        <v>51</v>
      </c>
      <c r="F1118">
        <v>211</v>
      </c>
      <c r="G1118">
        <v>955</v>
      </c>
      <c r="H1118">
        <v>1166</v>
      </c>
    </row>
    <row r="1119" spans="1:8">
      <c r="A1119">
        <v>2021</v>
      </c>
      <c r="C1119" t="s">
        <v>88</v>
      </c>
      <c r="D1119" t="s">
        <v>51</v>
      </c>
      <c r="F1119">
        <v>208</v>
      </c>
      <c r="G1119">
        <v>873</v>
      </c>
      <c r="H1119">
        <v>1081</v>
      </c>
    </row>
    <row r="1120" spans="1:8">
      <c r="A1120">
        <v>2022</v>
      </c>
      <c r="C1120" t="s">
        <v>88</v>
      </c>
      <c r="D1120" t="s">
        <v>51</v>
      </c>
      <c r="F1120">
        <v>280</v>
      </c>
      <c r="G1120">
        <v>842</v>
      </c>
      <c r="H1120">
        <v>1122</v>
      </c>
    </row>
    <row r="1121" spans="1:8">
      <c r="A1121">
        <v>2023</v>
      </c>
      <c r="C1121" t="s">
        <v>88</v>
      </c>
      <c r="D1121" t="s">
        <v>51</v>
      </c>
      <c r="F1121">
        <v>254</v>
      </c>
      <c r="G1121">
        <v>886</v>
      </c>
      <c r="H1121">
        <v>1140</v>
      </c>
    </row>
    <row r="1122" spans="1:8">
      <c r="A1122">
        <v>2024</v>
      </c>
      <c r="C1122" t="s">
        <v>88</v>
      </c>
      <c r="D1122" t="s">
        <v>51</v>
      </c>
      <c r="F1122">
        <v>244</v>
      </c>
      <c r="G1122">
        <v>948</v>
      </c>
      <c r="H1122">
        <v>1192</v>
      </c>
    </row>
    <row r="1123" spans="1:8">
      <c r="A1123">
        <v>2025</v>
      </c>
      <c r="C1123" t="s">
        <v>88</v>
      </c>
      <c r="D1123" t="s">
        <v>51</v>
      </c>
      <c r="F1123">
        <v>247</v>
      </c>
      <c r="G1123">
        <v>1035</v>
      </c>
      <c r="H1123">
        <v>1282</v>
      </c>
    </row>
    <row r="1124" spans="1:8">
      <c r="A1124">
        <v>2020</v>
      </c>
      <c r="C1124" t="s">
        <v>89</v>
      </c>
      <c r="D1124" t="s">
        <v>51</v>
      </c>
      <c r="F1124">
        <v>129</v>
      </c>
      <c r="G1124">
        <v>507</v>
      </c>
      <c r="H1124">
        <v>636</v>
      </c>
    </row>
    <row r="1125" spans="1:8">
      <c r="A1125">
        <v>2021</v>
      </c>
      <c r="C1125" t="s">
        <v>89</v>
      </c>
      <c r="D1125" t="s">
        <v>51</v>
      </c>
      <c r="F1125">
        <v>135</v>
      </c>
      <c r="G1125">
        <v>486</v>
      </c>
      <c r="H1125">
        <v>621</v>
      </c>
    </row>
    <row r="1126" spans="1:8">
      <c r="A1126">
        <v>2022</v>
      </c>
      <c r="C1126" t="s">
        <v>89</v>
      </c>
      <c r="D1126" t="s">
        <v>51</v>
      </c>
      <c r="F1126">
        <v>168</v>
      </c>
      <c r="G1126">
        <v>502</v>
      </c>
      <c r="H1126">
        <v>670</v>
      </c>
    </row>
    <row r="1127" spans="1:8">
      <c r="A1127">
        <v>2023</v>
      </c>
      <c r="C1127" t="s">
        <v>89</v>
      </c>
      <c r="D1127" t="s">
        <v>51</v>
      </c>
      <c r="F1127">
        <v>173</v>
      </c>
      <c r="G1127">
        <v>512</v>
      </c>
      <c r="H1127">
        <v>685</v>
      </c>
    </row>
    <row r="1128" spans="1:8">
      <c r="A1128">
        <v>2024</v>
      </c>
      <c r="C1128" t="s">
        <v>89</v>
      </c>
      <c r="D1128" t="s">
        <v>51</v>
      </c>
      <c r="F1128">
        <v>143</v>
      </c>
      <c r="G1128">
        <v>534</v>
      </c>
      <c r="H1128">
        <v>677</v>
      </c>
    </row>
    <row r="1129" spans="1:8">
      <c r="A1129">
        <v>2025</v>
      </c>
      <c r="C1129" t="s">
        <v>89</v>
      </c>
      <c r="D1129" t="s">
        <v>51</v>
      </c>
      <c r="F1129">
        <v>184</v>
      </c>
      <c r="G1129">
        <v>554</v>
      </c>
      <c r="H1129">
        <v>738</v>
      </c>
    </row>
    <row r="1130" spans="1:8">
      <c r="A1130">
        <v>2020</v>
      </c>
      <c r="C1130" t="s">
        <v>90</v>
      </c>
      <c r="D1130" t="s">
        <v>51</v>
      </c>
      <c r="F1130">
        <v>116</v>
      </c>
      <c r="G1130">
        <v>389</v>
      </c>
      <c r="H1130">
        <v>505</v>
      </c>
    </row>
    <row r="1131" spans="1:8">
      <c r="A1131">
        <v>2021</v>
      </c>
      <c r="C1131" t="s">
        <v>90</v>
      </c>
      <c r="D1131" t="s">
        <v>51</v>
      </c>
      <c r="F1131">
        <v>83</v>
      </c>
      <c r="G1131">
        <v>376</v>
      </c>
      <c r="H1131">
        <v>459</v>
      </c>
    </row>
    <row r="1132" spans="1:8">
      <c r="A1132">
        <v>2022</v>
      </c>
      <c r="C1132" t="s">
        <v>90</v>
      </c>
      <c r="D1132" t="s">
        <v>51</v>
      </c>
      <c r="F1132">
        <v>84</v>
      </c>
      <c r="G1132">
        <v>326</v>
      </c>
      <c r="H1132">
        <v>410</v>
      </c>
    </row>
    <row r="1133" spans="1:8">
      <c r="A1133">
        <v>2023</v>
      </c>
      <c r="C1133" t="s">
        <v>90</v>
      </c>
      <c r="D1133" t="s">
        <v>51</v>
      </c>
      <c r="F1133">
        <v>72</v>
      </c>
      <c r="G1133">
        <v>301</v>
      </c>
      <c r="H1133">
        <v>373</v>
      </c>
    </row>
    <row r="1134" spans="1:8">
      <c r="A1134">
        <v>2024</v>
      </c>
      <c r="C1134" t="s">
        <v>90</v>
      </c>
      <c r="D1134" t="s">
        <v>51</v>
      </c>
      <c r="F1134">
        <v>69</v>
      </c>
      <c r="G1134">
        <v>254</v>
      </c>
      <c r="H1134">
        <v>323</v>
      </c>
    </row>
    <row r="1135" spans="1:8">
      <c r="A1135">
        <v>2025</v>
      </c>
      <c r="C1135" t="s">
        <v>90</v>
      </c>
      <c r="D1135" t="s">
        <v>51</v>
      </c>
      <c r="F1135">
        <v>65</v>
      </c>
      <c r="G1135">
        <v>240</v>
      </c>
      <c r="H1135">
        <v>305</v>
      </c>
    </row>
    <row r="1136" spans="1:8">
      <c r="A1136">
        <v>2020</v>
      </c>
      <c r="C1136" t="s">
        <v>91</v>
      </c>
      <c r="D1136" t="s">
        <v>51</v>
      </c>
      <c r="F1136">
        <v>105</v>
      </c>
      <c r="G1136">
        <v>351</v>
      </c>
      <c r="H1136">
        <v>456</v>
      </c>
    </row>
    <row r="1137" spans="1:8">
      <c r="A1137">
        <v>2021</v>
      </c>
      <c r="C1137" t="s">
        <v>91</v>
      </c>
      <c r="D1137" t="s">
        <v>51</v>
      </c>
      <c r="F1137">
        <v>100</v>
      </c>
      <c r="G1137">
        <v>339</v>
      </c>
      <c r="H1137">
        <v>439</v>
      </c>
    </row>
    <row r="1138" spans="1:8">
      <c r="A1138">
        <v>2022</v>
      </c>
      <c r="C1138" t="s">
        <v>91</v>
      </c>
      <c r="D1138" t="s">
        <v>51</v>
      </c>
      <c r="F1138">
        <v>138</v>
      </c>
      <c r="G1138">
        <v>327</v>
      </c>
      <c r="H1138">
        <v>465</v>
      </c>
    </row>
    <row r="1139" spans="1:8">
      <c r="A1139">
        <v>2023</v>
      </c>
      <c r="C1139" t="s">
        <v>91</v>
      </c>
      <c r="D1139" t="s">
        <v>51</v>
      </c>
      <c r="F1139">
        <v>133</v>
      </c>
      <c r="G1139">
        <v>353</v>
      </c>
      <c r="H1139">
        <v>486</v>
      </c>
    </row>
    <row r="1140" spans="1:8">
      <c r="A1140">
        <v>2024</v>
      </c>
      <c r="C1140" t="s">
        <v>91</v>
      </c>
      <c r="D1140" t="s">
        <v>51</v>
      </c>
      <c r="F1140">
        <v>110</v>
      </c>
      <c r="G1140">
        <v>361</v>
      </c>
      <c r="H1140">
        <v>471</v>
      </c>
    </row>
    <row r="1141" spans="1:8">
      <c r="A1141">
        <v>2025</v>
      </c>
      <c r="C1141" t="s">
        <v>91</v>
      </c>
      <c r="D1141" t="s">
        <v>51</v>
      </c>
      <c r="F1141">
        <v>109</v>
      </c>
      <c r="G1141">
        <v>356</v>
      </c>
      <c r="H1141">
        <v>465</v>
      </c>
    </row>
    <row r="1142" spans="1:8">
      <c r="A1142">
        <v>2020</v>
      </c>
      <c r="C1142" t="s">
        <v>92</v>
      </c>
      <c r="D1142" t="s">
        <v>51</v>
      </c>
      <c r="F1142">
        <v>99</v>
      </c>
      <c r="G1142">
        <v>331</v>
      </c>
      <c r="H1142">
        <v>430</v>
      </c>
    </row>
    <row r="1143" spans="1:8">
      <c r="A1143">
        <v>2021</v>
      </c>
      <c r="C1143" t="s">
        <v>92</v>
      </c>
      <c r="D1143" t="s">
        <v>51</v>
      </c>
      <c r="F1143">
        <v>106</v>
      </c>
      <c r="G1143">
        <v>372</v>
      </c>
      <c r="H1143">
        <v>478</v>
      </c>
    </row>
    <row r="1144" spans="1:8">
      <c r="A1144">
        <v>2022</v>
      </c>
      <c r="C1144" t="s">
        <v>92</v>
      </c>
      <c r="D1144" t="s">
        <v>51</v>
      </c>
      <c r="F1144">
        <v>98</v>
      </c>
      <c r="G1144">
        <v>393</v>
      </c>
      <c r="H1144">
        <v>491</v>
      </c>
    </row>
    <row r="1145" spans="1:8">
      <c r="A1145">
        <v>2023</v>
      </c>
      <c r="C1145" t="s">
        <v>92</v>
      </c>
      <c r="D1145" t="s">
        <v>51</v>
      </c>
      <c r="F1145">
        <v>124</v>
      </c>
      <c r="G1145">
        <v>382</v>
      </c>
      <c r="H1145">
        <v>506</v>
      </c>
    </row>
    <row r="1146" spans="1:8">
      <c r="A1146">
        <v>2024</v>
      </c>
      <c r="C1146" t="s">
        <v>92</v>
      </c>
      <c r="D1146" t="s">
        <v>51</v>
      </c>
      <c r="F1146">
        <v>116</v>
      </c>
      <c r="G1146">
        <v>418</v>
      </c>
      <c r="H1146">
        <v>534</v>
      </c>
    </row>
    <row r="1147" spans="1:8">
      <c r="A1147">
        <v>2025</v>
      </c>
      <c r="C1147" t="s">
        <v>92</v>
      </c>
      <c r="D1147" t="s">
        <v>51</v>
      </c>
      <c r="F1147">
        <v>107</v>
      </c>
      <c r="G1147">
        <v>413</v>
      </c>
      <c r="H1147">
        <v>520</v>
      </c>
    </row>
    <row r="1148" spans="1:8">
      <c r="A1148">
        <v>2020</v>
      </c>
      <c r="C1148" t="s">
        <v>93</v>
      </c>
      <c r="D1148" t="s">
        <v>51</v>
      </c>
      <c r="F1148">
        <v>13</v>
      </c>
      <c r="G1148">
        <v>0</v>
      </c>
      <c r="H1148">
        <v>13</v>
      </c>
    </row>
    <row r="1149" spans="1:8">
      <c r="A1149">
        <v>2021</v>
      </c>
      <c r="C1149" t="s">
        <v>93</v>
      </c>
      <c r="D1149" t="s">
        <v>51</v>
      </c>
      <c r="F1149">
        <v>22</v>
      </c>
      <c r="G1149">
        <v>8</v>
      </c>
      <c r="H1149">
        <v>30</v>
      </c>
    </row>
    <row r="1150" spans="1:8">
      <c r="A1150">
        <v>2022</v>
      </c>
      <c r="C1150" t="s">
        <v>93</v>
      </c>
      <c r="D1150" t="s">
        <v>51</v>
      </c>
      <c r="F1150">
        <v>17</v>
      </c>
      <c r="G1150">
        <v>24</v>
      </c>
      <c r="H1150">
        <v>41</v>
      </c>
    </row>
    <row r="1151" spans="1:8">
      <c r="A1151">
        <v>2023</v>
      </c>
      <c r="C1151" t="s">
        <v>93</v>
      </c>
      <c r="D1151" t="s">
        <v>51</v>
      </c>
      <c r="F1151">
        <v>20</v>
      </c>
      <c r="G1151">
        <v>34</v>
      </c>
      <c r="H1151">
        <v>54</v>
      </c>
    </row>
    <row r="1152" spans="1:8">
      <c r="A1152">
        <v>2024</v>
      </c>
      <c r="C1152" t="s">
        <v>93</v>
      </c>
      <c r="D1152" t="s">
        <v>51</v>
      </c>
      <c r="F1152">
        <v>41</v>
      </c>
      <c r="G1152">
        <v>42</v>
      </c>
      <c r="H1152">
        <v>83</v>
      </c>
    </row>
    <row r="1153" spans="1:8">
      <c r="A1153">
        <v>2025</v>
      </c>
      <c r="C1153" t="s">
        <v>93</v>
      </c>
      <c r="D1153" t="s">
        <v>51</v>
      </c>
      <c r="F1153">
        <v>42</v>
      </c>
      <c r="G1153">
        <v>71</v>
      </c>
      <c r="H1153">
        <v>113</v>
      </c>
    </row>
    <row r="1154" spans="1:8">
      <c r="A1154">
        <v>2020</v>
      </c>
      <c r="C1154" t="s">
        <v>94</v>
      </c>
      <c r="D1154" t="s">
        <v>51</v>
      </c>
      <c r="F1154">
        <v>0</v>
      </c>
      <c r="G1154">
        <v>0</v>
      </c>
      <c r="H1154">
        <v>0</v>
      </c>
    </row>
    <row r="1155" spans="1:8">
      <c r="A1155">
        <v>2021</v>
      </c>
      <c r="C1155" t="s">
        <v>94</v>
      </c>
      <c r="D1155" t="s">
        <v>51</v>
      </c>
      <c r="F1155">
        <v>0</v>
      </c>
      <c r="G1155">
        <v>0</v>
      </c>
      <c r="H1155">
        <v>0</v>
      </c>
    </row>
    <row r="1156" spans="1:8">
      <c r="A1156">
        <v>2022</v>
      </c>
      <c r="C1156" t="s">
        <v>94</v>
      </c>
      <c r="D1156" t="s">
        <v>51</v>
      </c>
      <c r="F1156">
        <v>0</v>
      </c>
      <c r="G1156">
        <v>0</v>
      </c>
      <c r="H1156">
        <v>0</v>
      </c>
    </row>
    <row r="1157" spans="1:8">
      <c r="A1157">
        <v>2023</v>
      </c>
      <c r="C1157" t="s">
        <v>94</v>
      </c>
      <c r="D1157" t="s">
        <v>51</v>
      </c>
      <c r="F1157">
        <v>0</v>
      </c>
      <c r="G1157">
        <v>0</v>
      </c>
      <c r="H1157">
        <v>0</v>
      </c>
    </row>
    <row r="1158" spans="1:8">
      <c r="A1158">
        <v>2024</v>
      </c>
      <c r="C1158" t="s">
        <v>94</v>
      </c>
      <c r="D1158" t="s">
        <v>51</v>
      </c>
      <c r="F1158">
        <v>0</v>
      </c>
      <c r="G1158">
        <v>0</v>
      </c>
      <c r="H1158">
        <v>0</v>
      </c>
    </row>
    <row r="1159" spans="1:8">
      <c r="A1159">
        <v>2025</v>
      </c>
      <c r="C1159" t="s">
        <v>94</v>
      </c>
      <c r="D1159" t="s">
        <v>51</v>
      </c>
      <c r="F1159">
        <v>59</v>
      </c>
      <c r="G1159">
        <v>0</v>
      </c>
      <c r="H1159">
        <v>59</v>
      </c>
    </row>
    <row r="1160" spans="1:8">
      <c r="A1160">
        <v>2020</v>
      </c>
      <c r="C1160" t="s">
        <v>95</v>
      </c>
      <c r="D1160" t="s">
        <v>51</v>
      </c>
      <c r="F1160">
        <v>0</v>
      </c>
      <c r="G1160">
        <v>0</v>
      </c>
      <c r="H1160">
        <v>0</v>
      </c>
    </row>
    <row r="1161" spans="1:8">
      <c r="A1161">
        <v>2021</v>
      </c>
      <c r="C1161" t="s">
        <v>95</v>
      </c>
      <c r="D1161" t="s">
        <v>51</v>
      </c>
      <c r="F1161">
        <v>0</v>
      </c>
      <c r="G1161">
        <v>0</v>
      </c>
      <c r="H1161">
        <v>0</v>
      </c>
    </row>
    <row r="1162" spans="1:8">
      <c r="A1162">
        <v>2022</v>
      </c>
      <c r="C1162" t="s">
        <v>95</v>
      </c>
      <c r="D1162" t="s">
        <v>51</v>
      </c>
      <c r="F1162">
        <v>0</v>
      </c>
      <c r="G1162">
        <v>0</v>
      </c>
      <c r="H1162">
        <v>0</v>
      </c>
    </row>
    <row r="1163" spans="1:8">
      <c r="A1163">
        <v>2023</v>
      </c>
      <c r="C1163" t="s">
        <v>95</v>
      </c>
      <c r="D1163" t="s">
        <v>51</v>
      </c>
      <c r="F1163">
        <v>0</v>
      </c>
      <c r="G1163">
        <v>0</v>
      </c>
      <c r="H1163">
        <v>0</v>
      </c>
    </row>
    <row r="1164" spans="1:8">
      <c r="A1164">
        <v>2024</v>
      </c>
      <c r="C1164" t="s">
        <v>95</v>
      </c>
      <c r="D1164" t="s">
        <v>51</v>
      </c>
      <c r="F1164">
        <v>71</v>
      </c>
      <c r="G1164">
        <v>0</v>
      </c>
      <c r="H1164">
        <v>71</v>
      </c>
    </row>
    <row r="1165" spans="1:8">
      <c r="A1165">
        <v>2025</v>
      </c>
      <c r="C1165" t="s">
        <v>95</v>
      </c>
      <c r="D1165" t="s">
        <v>51</v>
      </c>
      <c r="F1165">
        <v>82</v>
      </c>
      <c r="G1165">
        <v>50</v>
      </c>
      <c r="H1165">
        <v>132</v>
      </c>
    </row>
    <row r="1166" spans="1:8">
      <c r="A1166">
        <v>2020</v>
      </c>
      <c r="C1166" t="s">
        <v>56</v>
      </c>
      <c r="D1166" t="s">
        <v>45</v>
      </c>
      <c r="F1166">
        <v>0</v>
      </c>
      <c r="G1166">
        <v>0</v>
      </c>
      <c r="H1166">
        <v>0</v>
      </c>
    </row>
    <row r="1167" spans="1:8">
      <c r="A1167">
        <v>2021</v>
      </c>
      <c r="C1167" t="s">
        <v>56</v>
      </c>
      <c r="D1167" t="s">
        <v>45</v>
      </c>
      <c r="F1167">
        <v>0</v>
      </c>
      <c r="G1167">
        <v>0</v>
      </c>
      <c r="H1167">
        <v>0</v>
      </c>
    </row>
    <row r="1168" spans="1:8">
      <c r="A1168">
        <v>2022</v>
      </c>
      <c r="C1168" t="s">
        <v>56</v>
      </c>
      <c r="D1168" t="s">
        <v>45</v>
      </c>
      <c r="F1168">
        <v>0</v>
      </c>
      <c r="G1168">
        <v>0</v>
      </c>
      <c r="H1168">
        <v>0</v>
      </c>
    </row>
    <row r="1169" spans="1:8">
      <c r="A1169">
        <v>2023</v>
      </c>
      <c r="C1169" t="s">
        <v>56</v>
      </c>
      <c r="D1169" t="s">
        <v>45</v>
      </c>
      <c r="F1169">
        <v>0</v>
      </c>
      <c r="G1169">
        <v>0</v>
      </c>
      <c r="H1169">
        <v>0</v>
      </c>
    </row>
    <row r="1170" spans="1:8">
      <c r="A1170">
        <v>2024</v>
      </c>
      <c r="C1170" t="s">
        <v>56</v>
      </c>
      <c r="D1170" t="s">
        <v>45</v>
      </c>
      <c r="F1170">
        <v>0</v>
      </c>
      <c r="G1170">
        <v>0</v>
      </c>
      <c r="H1170">
        <v>0</v>
      </c>
    </row>
    <row r="1171" spans="1:8">
      <c r="A1171">
        <v>2025</v>
      </c>
      <c r="C1171" t="s">
        <v>56</v>
      </c>
      <c r="D1171" t="s">
        <v>45</v>
      </c>
      <c r="F1171">
        <v>0</v>
      </c>
      <c r="G1171">
        <v>0</v>
      </c>
      <c r="H1171">
        <v>0</v>
      </c>
    </row>
    <row r="1172" spans="1:8">
      <c r="A1172">
        <v>2020</v>
      </c>
      <c r="C1172" t="s">
        <v>58</v>
      </c>
      <c r="D1172" t="s">
        <v>45</v>
      </c>
      <c r="F1172">
        <v>289</v>
      </c>
      <c r="G1172">
        <v>465</v>
      </c>
      <c r="H1172">
        <v>754</v>
      </c>
    </row>
    <row r="1173" spans="1:8">
      <c r="A1173">
        <v>2021</v>
      </c>
      <c r="C1173" t="s">
        <v>58</v>
      </c>
      <c r="D1173" t="s">
        <v>45</v>
      </c>
      <c r="F1173">
        <v>241</v>
      </c>
      <c r="G1173">
        <v>436</v>
      </c>
      <c r="H1173">
        <v>677</v>
      </c>
    </row>
    <row r="1174" spans="1:8">
      <c r="A1174">
        <v>2022</v>
      </c>
      <c r="C1174" t="s">
        <v>58</v>
      </c>
      <c r="D1174" t="s">
        <v>45</v>
      </c>
      <c r="F1174">
        <v>318</v>
      </c>
      <c r="G1174">
        <v>430</v>
      </c>
      <c r="H1174">
        <v>748</v>
      </c>
    </row>
    <row r="1175" spans="1:8">
      <c r="A1175">
        <v>2023</v>
      </c>
      <c r="C1175" t="s">
        <v>58</v>
      </c>
      <c r="D1175" t="s">
        <v>45</v>
      </c>
      <c r="F1175">
        <v>294</v>
      </c>
      <c r="G1175">
        <v>481</v>
      </c>
      <c r="H1175">
        <v>775</v>
      </c>
    </row>
    <row r="1176" spans="1:8">
      <c r="A1176">
        <v>2024</v>
      </c>
      <c r="C1176" t="s">
        <v>58</v>
      </c>
      <c r="D1176" t="s">
        <v>45</v>
      </c>
      <c r="F1176">
        <v>286</v>
      </c>
      <c r="G1176">
        <v>486</v>
      </c>
      <c r="H1176">
        <v>772</v>
      </c>
    </row>
    <row r="1177" spans="1:8">
      <c r="A1177">
        <v>2025</v>
      </c>
      <c r="C1177" t="s">
        <v>58</v>
      </c>
      <c r="D1177" t="s">
        <v>45</v>
      </c>
      <c r="F1177">
        <v>280</v>
      </c>
      <c r="G1177">
        <v>451</v>
      </c>
      <c r="H1177">
        <v>731</v>
      </c>
    </row>
    <row r="1178" spans="1:8">
      <c r="A1178">
        <v>2020</v>
      </c>
      <c r="C1178" t="s">
        <v>60</v>
      </c>
      <c r="D1178" t="s">
        <v>45</v>
      </c>
      <c r="F1178">
        <v>198</v>
      </c>
      <c r="G1178">
        <v>360</v>
      </c>
      <c r="H1178">
        <v>558</v>
      </c>
    </row>
    <row r="1179" spans="1:8">
      <c r="A1179">
        <v>2021</v>
      </c>
      <c r="C1179" t="s">
        <v>60</v>
      </c>
      <c r="D1179" t="s">
        <v>45</v>
      </c>
      <c r="F1179">
        <v>180</v>
      </c>
      <c r="G1179">
        <v>338</v>
      </c>
      <c r="H1179">
        <v>518</v>
      </c>
    </row>
    <row r="1180" spans="1:8">
      <c r="A1180">
        <v>2022</v>
      </c>
      <c r="C1180" t="s">
        <v>60</v>
      </c>
      <c r="D1180" t="s">
        <v>45</v>
      </c>
      <c r="F1180">
        <v>223</v>
      </c>
      <c r="G1180">
        <v>308</v>
      </c>
      <c r="H1180">
        <v>531</v>
      </c>
    </row>
    <row r="1181" spans="1:8">
      <c r="A1181">
        <v>2023</v>
      </c>
      <c r="C1181" t="s">
        <v>60</v>
      </c>
      <c r="D1181" t="s">
        <v>45</v>
      </c>
      <c r="F1181">
        <v>222</v>
      </c>
      <c r="G1181">
        <v>343</v>
      </c>
      <c r="H1181">
        <v>565</v>
      </c>
    </row>
    <row r="1182" spans="1:8">
      <c r="A1182">
        <v>2024</v>
      </c>
      <c r="C1182" t="s">
        <v>60</v>
      </c>
      <c r="D1182" t="s">
        <v>45</v>
      </c>
      <c r="F1182">
        <v>195</v>
      </c>
      <c r="G1182">
        <v>382</v>
      </c>
      <c r="H1182">
        <v>577</v>
      </c>
    </row>
    <row r="1183" spans="1:8">
      <c r="A1183">
        <v>2025</v>
      </c>
      <c r="C1183" t="s">
        <v>60</v>
      </c>
      <c r="D1183" t="s">
        <v>45</v>
      </c>
      <c r="F1183">
        <v>216</v>
      </c>
      <c r="G1183">
        <v>346</v>
      </c>
      <c r="H1183">
        <v>562</v>
      </c>
    </row>
    <row r="1184" spans="1:8">
      <c r="A1184">
        <v>2020</v>
      </c>
      <c r="C1184" t="s">
        <v>62</v>
      </c>
      <c r="D1184" t="s">
        <v>45</v>
      </c>
      <c r="F1184">
        <v>292</v>
      </c>
      <c r="G1184">
        <v>512</v>
      </c>
      <c r="H1184">
        <v>804</v>
      </c>
    </row>
    <row r="1185" spans="1:8">
      <c r="A1185">
        <v>2021</v>
      </c>
      <c r="C1185" t="s">
        <v>62</v>
      </c>
      <c r="D1185" t="s">
        <v>45</v>
      </c>
      <c r="F1185">
        <v>313</v>
      </c>
      <c r="G1185">
        <v>510</v>
      </c>
      <c r="H1185">
        <v>823</v>
      </c>
    </row>
    <row r="1186" spans="1:8">
      <c r="A1186">
        <v>2022</v>
      </c>
      <c r="C1186" t="s">
        <v>62</v>
      </c>
      <c r="D1186" t="s">
        <v>45</v>
      </c>
      <c r="F1186">
        <v>320</v>
      </c>
      <c r="G1186">
        <v>516</v>
      </c>
      <c r="H1186">
        <v>836</v>
      </c>
    </row>
    <row r="1187" spans="1:8">
      <c r="A1187">
        <v>2023</v>
      </c>
      <c r="C1187" t="s">
        <v>62</v>
      </c>
      <c r="D1187" t="s">
        <v>45</v>
      </c>
      <c r="F1187">
        <v>303</v>
      </c>
      <c r="G1187">
        <v>529</v>
      </c>
      <c r="H1187">
        <v>832</v>
      </c>
    </row>
    <row r="1188" spans="1:8">
      <c r="A1188">
        <v>2024</v>
      </c>
      <c r="C1188" t="s">
        <v>62</v>
      </c>
      <c r="D1188" t="s">
        <v>45</v>
      </c>
      <c r="F1188">
        <v>293</v>
      </c>
      <c r="G1188">
        <v>525</v>
      </c>
      <c r="H1188">
        <v>818</v>
      </c>
    </row>
    <row r="1189" spans="1:8">
      <c r="A1189">
        <v>2025</v>
      </c>
      <c r="C1189" t="s">
        <v>62</v>
      </c>
      <c r="D1189" t="s">
        <v>45</v>
      </c>
      <c r="F1189">
        <v>261</v>
      </c>
      <c r="G1189">
        <v>519</v>
      </c>
      <c r="H1189">
        <v>780</v>
      </c>
    </row>
    <row r="1190" spans="1:8">
      <c r="A1190">
        <v>2020</v>
      </c>
      <c r="C1190" t="s">
        <v>64</v>
      </c>
      <c r="D1190" t="s">
        <v>45</v>
      </c>
      <c r="F1190">
        <v>371</v>
      </c>
      <c r="G1190">
        <v>653</v>
      </c>
      <c r="H1190">
        <v>1024</v>
      </c>
    </row>
    <row r="1191" spans="1:8">
      <c r="A1191">
        <v>2021</v>
      </c>
      <c r="C1191" t="s">
        <v>64</v>
      </c>
      <c r="D1191" t="s">
        <v>45</v>
      </c>
      <c r="F1191">
        <v>382</v>
      </c>
      <c r="G1191">
        <v>673</v>
      </c>
      <c r="H1191">
        <v>1055</v>
      </c>
    </row>
    <row r="1192" spans="1:8">
      <c r="A1192">
        <v>2022</v>
      </c>
      <c r="C1192" t="s">
        <v>64</v>
      </c>
      <c r="D1192" t="s">
        <v>45</v>
      </c>
      <c r="F1192">
        <v>418</v>
      </c>
      <c r="G1192">
        <v>664</v>
      </c>
      <c r="H1192">
        <v>1082</v>
      </c>
    </row>
    <row r="1193" spans="1:8">
      <c r="A1193">
        <v>2023</v>
      </c>
      <c r="C1193" t="s">
        <v>64</v>
      </c>
      <c r="D1193" t="s">
        <v>45</v>
      </c>
      <c r="F1193">
        <v>539</v>
      </c>
      <c r="G1193">
        <v>749</v>
      </c>
      <c r="H1193">
        <v>1288</v>
      </c>
    </row>
    <row r="1194" spans="1:8">
      <c r="A1194">
        <v>2024</v>
      </c>
      <c r="C1194" t="s">
        <v>64</v>
      </c>
      <c r="D1194" t="s">
        <v>45</v>
      </c>
      <c r="F1194">
        <v>566</v>
      </c>
      <c r="G1194">
        <v>889</v>
      </c>
      <c r="H1194">
        <v>1455</v>
      </c>
    </row>
    <row r="1195" spans="1:8">
      <c r="A1195">
        <v>2025</v>
      </c>
      <c r="C1195" t="s">
        <v>64</v>
      </c>
      <c r="D1195" t="s">
        <v>45</v>
      </c>
      <c r="F1195">
        <v>560</v>
      </c>
      <c r="G1195">
        <v>981</v>
      </c>
      <c r="H1195">
        <v>1541</v>
      </c>
    </row>
    <row r="1196" spans="1:8">
      <c r="A1196">
        <v>2020</v>
      </c>
      <c r="C1196" t="s">
        <v>66</v>
      </c>
      <c r="D1196" t="s">
        <v>45</v>
      </c>
      <c r="F1196">
        <v>241</v>
      </c>
      <c r="G1196">
        <v>410</v>
      </c>
      <c r="H1196">
        <v>651</v>
      </c>
    </row>
    <row r="1197" spans="1:8">
      <c r="A1197">
        <v>2021</v>
      </c>
      <c r="C1197" t="s">
        <v>66</v>
      </c>
      <c r="D1197" t="s">
        <v>45</v>
      </c>
      <c r="F1197">
        <v>213</v>
      </c>
      <c r="G1197">
        <v>439</v>
      </c>
      <c r="H1197">
        <v>652</v>
      </c>
    </row>
    <row r="1198" spans="1:8">
      <c r="A1198">
        <v>2022</v>
      </c>
      <c r="C1198" t="s">
        <v>66</v>
      </c>
      <c r="D1198" t="s">
        <v>45</v>
      </c>
      <c r="F1198">
        <v>252</v>
      </c>
      <c r="G1198">
        <v>381</v>
      </c>
      <c r="H1198">
        <v>633</v>
      </c>
    </row>
    <row r="1199" spans="1:8">
      <c r="A1199">
        <v>2023</v>
      </c>
      <c r="C1199" t="s">
        <v>66</v>
      </c>
      <c r="D1199" t="s">
        <v>45</v>
      </c>
      <c r="F1199">
        <v>285</v>
      </c>
      <c r="G1199">
        <v>408</v>
      </c>
      <c r="H1199">
        <v>693</v>
      </c>
    </row>
    <row r="1200" spans="1:8">
      <c r="A1200">
        <v>2024</v>
      </c>
      <c r="C1200" t="s">
        <v>66</v>
      </c>
      <c r="D1200" t="s">
        <v>45</v>
      </c>
      <c r="F1200">
        <v>289</v>
      </c>
      <c r="G1200">
        <v>461</v>
      </c>
      <c r="H1200">
        <v>750</v>
      </c>
    </row>
    <row r="1201" spans="1:8">
      <c r="A1201">
        <v>2025</v>
      </c>
      <c r="C1201" t="s">
        <v>66</v>
      </c>
      <c r="D1201" t="s">
        <v>45</v>
      </c>
      <c r="F1201">
        <v>281</v>
      </c>
      <c r="G1201">
        <v>467</v>
      </c>
      <c r="H1201">
        <v>748</v>
      </c>
    </row>
    <row r="1202" spans="1:8">
      <c r="A1202">
        <v>2020</v>
      </c>
      <c r="C1202" t="s">
        <v>68</v>
      </c>
      <c r="D1202" t="s">
        <v>45</v>
      </c>
      <c r="F1202">
        <v>373</v>
      </c>
      <c r="G1202">
        <v>600</v>
      </c>
      <c r="H1202">
        <v>973</v>
      </c>
    </row>
    <row r="1203" spans="1:8">
      <c r="A1203">
        <v>2021</v>
      </c>
      <c r="C1203" t="s">
        <v>68</v>
      </c>
      <c r="D1203" t="s">
        <v>45</v>
      </c>
      <c r="F1203">
        <v>364</v>
      </c>
      <c r="G1203">
        <v>634</v>
      </c>
      <c r="H1203">
        <v>998</v>
      </c>
    </row>
    <row r="1204" spans="1:8">
      <c r="A1204">
        <v>2022</v>
      </c>
      <c r="C1204" t="s">
        <v>68</v>
      </c>
      <c r="D1204" t="s">
        <v>45</v>
      </c>
      <c r="F1204">
        <v>466</v>
      </c>
      <c r="G1204">
        <v>654</v>
      </c>
      <c r="H1204">
        <v>1120</v>
      </c>
    </row>
    <row r="1205" spans="1:8">
      <c r="A1205">
        <v>2023</v>
      </c>
      <c r="C1205" t="s">
        <v>68</v>
      </c>
      <c r="D1205" t="s">
        <v>45</v>
      </c>
      <c r="F1205">
        <v>462</v>
      </c>
      <c r="G1205">
        <v>730</v>
      </c>
      <c r="H1205">
        <v>1192</v>
      </c>
    </row>
    <row r="1206" spans="1:8">
      <c r="A1206">
        <v>2024</v>
      </c>
      <c r="C1206" t="s">
        <v>68</v>
      </c>
      <c r="D1206" t="s">
        <v>45</v>
      </c>
      <c r="F1206">
        <v>382</v>
      </c>
      <c r="G1206">
        <v>745</v>
      </c>
      <c r="H1206">
        <v>1127</v>
      </c>
    </row>
    <row r="1207" spans="1:8">
      <c r="A1207">
        <v>2025</v>
      </c>
      <c r="C1207" t="s">
        <v>68</v>
      </c>
      <c r="D1207" t="s">
        <v>45</v>
      </c>
      <c r="F1207">
        <v>380</v>
      </c>
      <c r="G1207">
        <v>678</v>
      </c>
      <c r="H1207">
        <v>1058</v>
      </c>
    </row>
    <row r="1208" spans="1:8">
      <c r="A1208">
        <v>2020</v>
      </c>
      <c r="C1208" t="s">
        <v>69</v>
      </c>
      <c r="D1208" t="s">
        <v>45</v>
      </c>
      <c r="F1208">
        <v>245</v>
      </c>
      <c r="G1208">
        <v>427</v>
      </c>
      <c r="H1208">
        <v>672</v>
      </c>
    </row>
    <row r="1209" spans="1:8">
      <c r="A1209">
        <v>2021</v>
      </c>
      <c r="C1209" t="s">
        <v>69</v>
      </c>
      <c r="D1209" t="s">
        <v>45</v>
      </c>
      <c r="F1209">
        <v>254</v>
      </c>
      <c r="G1209">
        <v>398</v>
      </c>
      <c r="H1209">
        <v>652</v>
      </c>
    </row>
    <row r="1210" spans="1:8">
      <c r="A1210">
        <v>2022</v>
      </c>
      <c r="C1210" t="s">
        <v>69</v>
      </c>
      <c r="D1210" t="s">
        <v>45</v>
      </c>
      <c r="F1210">
        <v>323</v>
      </c>
      <c r="G1210">
        <v>423</v>
      </c>
      <c r="H1210">
        <v>746</v>
      </c>
    </row>
    <row r="1211" spans="1:8">
      <c r="A1211">
        <v>2023</v>
      </c>
      <c r="C1211" t="s">
        <v>69</v>
      </c>
      <c r="D1211" t="s">
        <v>45</v>
      </c>
      <c r="F1211">
        <v>362</v>
      </c>
      <c r="G1211">
        <v>517</v>
      </c>
      <c r="H1211">
        <v>879</v>
      </c>
    </row>
    <row r="1212" spans="1:8">
      <c r="A1212">
        <v>2024</v>
      </c>
      <c r="C1212" t="s">
        <v>69</v>
      </c>
      <c r="D1212" t="s">
        <v>45</v>
      </c>
      <c r="F1212">
        <v>401</v>
      </c>
      <c r="G1212">
        <v>597</v>
      </c>
      <c r="H1212">
        <v>998</v>
      </c>
    </row>
    <row r="1213" spans="1:8">
      <c r="A1213">
        <v>2025</v>
      </c>
      <c r="C1213" t="s">
        <v>69</v>
      </c>
      <c r="D1213" t="s">
        <v>45</v>
      </c>
      <c r="F1213">
        <v>439</v>
      </c>
      <c r="G1213">
        <v>704</v>
      </c>
      <c r="H1213">
        <v>1143</v>
      </c>
    </row>
    <row r="1214" spans="1:8">
      <c r="A1214">
        <v>2020</v>
      </c>
      <c r="C1214" t="s">
        <v>71</v>
      </c>
      <c r="D1214" t="s">
        <v>45</v>
      </c>
      <c r="F1214">
        <v>102</v>
      </c>
      <c r="G1214">
        <v>115</v>
      </c>
      <c r="H1214">
        <v>217</v>
      </c>
    </row>
    <row r="1215" spans="1:8">
      <c r="A1215">
        <v>2021</v>
      </c>
      <c r="C1215" t="s">
        <v>71</v>
      </c>
      <c r="D1215" t="s">
        <v>45</v>
      </c>
      <c r="F1215">
        <v>100</v>
      </c>
      <c r="G1215">
        <v>132</v>
      </c>
      <c r="H1215">
        <v>232</v>
      </c>
    </row>
    <row r="1216" spans="1:8">
      <c r="A1216">
        <v>2022</v>
      </c>
      <c r="C1216" t="s">
        <v>71</v>
      </c>
      <c r="D1216" t="s">
        <v>45</v>
      </c>
      <c r="F1216">
        <v>101</v>
      </c>
      <c r="G1216">
        <v>149</v>
      </c>
      <c r="H1216">
        <v>250</v>
      </c>
    </row>
    <row r="1217" spans="1:8">
      <c r="A1217">
        <v>2023</v>
      </c>
      <c r="C1217" t="s">
        <v>71</v>
      </c>
      <c r="D1217" t="s">
        <v>45</v>
      </c>
      <c r="F1217">
        <v>89</v>
      </c>
      <c r="G1217">
        <v>157</v>
      </c>
      <c r="H1217">
        <v>246</v>
      </c>
    </row>
    <row r="1218" spans="1:8">
      <c r="A1218">
        <v>2024</v>
      </c>
      <c r="C1218" t="s">
        <v>71</v>
      </c>
      <c r="D1218" t="s">
        <v>45</v>
      </c>
      <c r="F1218">
        <v>84</v>
      </c>
      <c r="G1218">
        <v>145</v>
      </c>
      <c r="H1218">
        <v>229</v>
      </c>
    </row>
    <row r="1219" spans="1:8">
      <c r="A1219">
        <v>2025</v>
      </c>
      <c r="C1219" t="s">
        <v>71</v>
      </c>
      <c r="D1219" t="s">
        <v>45</v>
      </c>
      <c r="F1219">
        <v>103</v>
      </c>
      <c r="G1219">
        <v>135</v>
      </c>
      <c r="H1219">
        <v>238</v>
      </c>
    </row>
    <row r="1220" spans="1:8">
      <c r="A1220">
        <v>2020</v>
      </c>
      <c r="C1220" t="s">
        <v>73</v>
      </c>
      <c r="D1220" t="s">
        <v>45</v>
      </c>
      <c r="F1220">
        <v>422</v>
      </c>
      <c r="G1220">
        <v>821</v>
      </c>
      <c r="H1220">
        <v>1243</v>
      </c>
    </row>
    <row r="1221" spans="1:8">
      <c r="A1221">
        <v>2021</v>
      </c>
      <c r="C1221" t="s">
        <v>73</v>
      </c>
      <c r="D1221" t="s">
        <v>45</v>
      </c>
      <c r="F1221">
        <v>317</v>
      </c>
      <c r="G1221">
        <v>790</v>
      </c>
      <c r="H1221">
        <v>1107</v>
      </c>
    </row>
    <row r="1222" spans="1:8">
      <c r="A1222">
        <v>2022</v>
      </c>
      <c r="C1222" t="s">
        <v>73</v>
      </c>
      <c r="D1222" t="s">
        <v>45</v>
      </c>
      <c r="F1222">
        <v>434</v>
      </c>
      <c r="G1222">
        <v>657</v>
      </c>
      <c r="H1222">
        <v>1091</v>
      </c>
    </row>
    <row r="1223" spans="1:8">
      <c r="A1223">
        <v>2023</v>
      </c>
      <c r="C1223" t="s">
        <v>73</v>
      </c>
      <c r="D1223" t="s">
        <v>45</v>
      </c>
      <c r="F1223">
        <v>467</v>
      </c>
      <c r="G1223">
        <v>713</v>
      </c>
      <c r="H1223">
        <v>1180</v>
      </c>
    </row>
    <row r="1224" spans="1:8">
      <c r="A1224">
        <v>2024</v>
      </c>
      <c r="C1224" t="s">
        <v>73</v>
      </c>
      <c r="D1224" t="s">
        <v>45</v>
      </c>
      <c r="F1224">
        <v>510</v>
      </c>
      <c r="G1224">
        <v>836</v>
      </c>
      <c r="H1224">
        <v>1346</v>
      </c>
    </row>
    <row r="1225" spans="1:8">
      <c r="A1225">
        <v>2025</v>
      </c>
      <c r="C1225" t="s">
        <v>73</v>
      </c>
      <c r="D1225" t="s">
        <v>45</v>
      </c>
      <c r="F1225">
        <v>509</v>
      </c>
      <c r="G1225">
        <v>901</v>
      </c>
      <c r="H1225">
        <v>1410</v>
      </c>
    </row>
    <row r="1226" spans="1:8">
      <c r="A1226">
        <v>2020</v>
      </c>
      <c r="C1226" t="s">
        <v>74</v>
      </c>
      <c r="D1226" t="s">
        <v>45</v>
      </c>
      <c r="F1226">
        <v>367</v>
      </c>
      <c r="G1226">
        <v>629</v>
      </c>
      <c r="H1226">
        <v>996</v>
      </c>
    </row>
    <row r="1227" spans="1:8">
      <c r="A1227">
        <v>2021</v>
      </c>
      <c r="C1227" t="s">
        <v>74</v>
      </c>
      <c r="D1227" t="s">
        <v>45</v>
      </c>
      <c r="F1227">
        <v>255</v>
      </c>
      <c r="G1227">
        <v>652</v>
      </c>
      <c r="H1227">
        <v>907</v>
      </c>
    </row>
    <row r="1228" spans="1:8">
      <c r="A1228">
        <v>2022</v>
      </c>
      <c r="C1228" t="s">
        <v>74</v>
      </c>
      <c r="D1228" t="s">
        <v>45</v>
      </c>
      <c r="F1228">
        <v>301</v>
      </c>
      <c r="G1228">
        <v>538</v>
      </c>
      <c r="H1228">
        <v>839</v>
      </c>
    </row>
    <row r="1229" spans="1:8">
      <c r="A1229">
        <v>2023</v>
      </c>
      <c r="C1229" t="s">
        <v>74</v>
      </c>
      <c r="D1229" t="s">
        <v>45</v>
      </c>
      <c r="F1229">
        <v>267</v>
      </c>
      <c r="G1229">
        <v>514</v>
      </c>
      <c r="H1229">
        <v>781</v>
      </c>
    </row>
    <row r="1230" spans="1:8">
      <c r="A1230">
        <v>2024</v>
      </c>
      <c r="C1230" t="s">
        <v>74</v>
      </c>
      <c r="D1230" t="s">
        <v>45</v>
      </c>
      <c r="F1230">
        <v>267</v>
      </c>
      <c r="G1230">
        <v>537</v>
      </c>
      <c r="H1230">
        <v>804</v>
      </c>
    </row>
    <row r="1231" spans="1:8">
      <c r="A1231">
        <v>2025</v>
      </c>
      <c r="C1231" t="s">
        <v>74</v>
      </c>
      <c r="D1231" t="s">
        <v>45</v>
      </c>
      <c r="F1231">
        <v>298</v>
      </c>
      <c r="G1231">
        <v>527</v>
      </c>
      <c r="H1231">
        <v>825</v>
      </c>
    </row>
    <row r="1232" spans="1:8">
      <c r="A1232">
        <v>2020</v>
      </c>
      <c r="C1232" t="s">
        <v>75</v>
      </c>
      <c r="D1232" t="s">
        <v>45</v>
      </c>
      <c r="F1232">
        <v>126</v>
      </c>
      <c r="G1232">
        <v>179</v>
      </c>
      <c r="H1232">
        <v>305</v>
      </c>
    </row>
    <row r="1233" spans="1:8">
      <c r="A1233">
        <v>2021</v>
      </c>
      <c r="C1233" t="s">
        <v>75</v>
      </c>
      <c r="D1233" t="s">
        <v>45</v>
      </c>
      <c r="F1233">
        <v>134</v>
      </c>
      <c r="G1233">
        <v>172</v>
      </c>
      <c r="H1233">
        <v>306</v>
      </c>
    </row>
    <row r="1234" spans="1:8">
      <c r="A1234">
        <v>2022</v>
      </c>
      <c r="C1234" t="s">
        <v>75</v>
      </c>
      <c r="D1234" t="s">
        <v>45</v>
      </c>
      <c r="F1234">
        <v>215</v>
      </c>
      <c r="G1234">
        <v>182</v>
      </c>
      <c r="H1234">
        <v>397</v>
      </c>
    </row>
    <row r="1235" spans="1:8">
      <c r="A1235">
        <v>2023</v>
      </c>
      <c r="C1235" t="s">
        <v>75</v>
      </c>
      <c r="D1235" t="s">
        <v>45</v>
      </c>
      <c r="F1235">
        <v>240</v>
      </c>
      <c r="G1235">
        <v>260</v>
      </c>
      <c r="H1235">
        <v>500</v>
      </c>
    </row>
    <row r="1236" spans="1:8">
      <c r="A1236">
        <v>2024</v>
      </c>
      <c r="C1236" t="s">
        <v>75</v>
      </c>
      <c r="D1236" t="s">
        <v>45</v>
      </c>
      <c r="F1236">
        <v>216</v>
      </c>
      <c r="G1236">
        <v>306</v>
      </c>
      <c r="H1236">
        <v>522</v>
      </c>
    </row>
    <row r="1237" spans="1:8">
      <c r="A1237">
        <v>2025</v>
      </c>
      <c r="C1237" t="s">
        <v>75</v>
      </c>
      <c r="D1237" t="s">
        <v>45</v>
      </c>
      <c r="F1237">
        <v>223</v>
      </c>
      <c r="G1237">
        <v>352</v>
      </c>
      <c r="H1237">
        <v>575</v>
      </c>
    </row>
    <row r="1238" spans="1:8">
      <c r="A1238">
        <v>2020</v>
      </c>
      <c r="C1238" t="s">
        <v>76</v>
      </c>
      <c r="D1238" t="s">
        <v>45</v>
      </c>
      <c r="F1238">
        <v>269</v>
      </c>
      <c r="G1238">
        <v>382</v>
      </c>
      <c r="H1238">
        <v>651</v>
      </c>
    </row>
    <row r="1239" spans="1:8">
      <c r="A1239">
        <v>2021</v>
      </c>
      <c r="C1239" t="s">
        <v>76</v>
      </c>
      <c r="D1239" t="s">
        <v>45</v>
      </c>
      <c r="F1239">
        <v>232</v>
      </c>
      <c r="G1239">
        <v>437</v>
      </c>
      <c r="H1239">
        <v>669</v>
      </c>
    </row>
    <row r="1240" spans="1:8">
      <c r="A1240">
        <v>2022</v>
      </c>
      <c r="C1240" t="s">
        <v>76</v>
      </c>
      <c r="D1240" t="s">
        <v>45</v>
      </c>
      <c r="F1240">
        <v>259</v>
      </c>
      <c r="G1240">
        <v>462</v>
      </c>
      <c r="H1240">
        <v>721</v>
      </c>
    </row>
    <row r="1241" spans="1:8">
      <c r="A1241">
        <v>2023</v>
      </c>
      <c r="C1241" t="s">
        <v>76</v>
      </c>
      <c r="D1241" t="s">
        <v>45</v>
      </c>
      <c r="F1241">
        <v>300</v>
      </c>
      <c r="G1241">
        <v>471</v>
      </c>
      <c r="H1241">
        <v>771</v>
      </c>
    </row>
    <row r="1242" spans="1:8">
      <c r="A1242">
        <v>2024</v>
      </c>
      <c r="C1242" t="s">
        <v>76</v>
      </c>
      <c r="D1242" t="s">
        <v>45</v>
      </c>
      <c r="F1242">
        <v>286</v>
      </c>
      <c r="G1242">
        <v>496</v>
      </c>
      <c r="H1242">
        <v>782</v>
      </c>
    </row>
    <row r="1243" spans="1:8">
      <c r="A1243">
        <v>2025</v>
      </c>
      <c r="C1243" t="s">
        <v>76</v>
      </c>
      <c r="D1243" t="s">
        <v>45</v>
      </c>
      <c r="F1243">
        <v>239</v>
      </c>
      <c r="G1243">
        <v>526</v>
      </c>
      <c r="H1243">
        <v>765</v>
      </c>
    </row>
    <row r="1244" spans="1:8">
      <c r="A1244">
        <v>2020</v>
      </c>
      <c r="C1244" t="s">
        <v>77</v>
      </c>
      <c r="D1244" t="s">
        <v>45</v>
      </c>
      <c r="F1244">
        <v>146</v>
      </c>
      <c r="G1244">
        <v>287</v>
      </c>
      <c r="H1244">
        <v>433</v>
      </c>
    </row>
    <row r="1245" spans="1:8">
      <c r="A1245">
        <v>2021</v>
      </c>
      <c r="C1245" t="s">
        <v>77</v>
      </c>
      <c r="D1245" t="s">
        <v>45</v>
      </c>
      <c r="F1245">
        <v>122</v>
      </c>
      <c r="G1245">
        <v>244</v>
      </c>
      <c r="H1245">
        <v>366</v>
      </c>
    </row>
    <row r="1246" spans="1:8">
      <c r="A1246">
        <v>2022</v>
      </c>
      <c r="C1246" t="s">
        <v>77</v>
      </c>
      <c r="D1246" t="s">
        <v>45</v>
      </c>
      <c r="F1246">
        <v>186</v>
      </c>
      <c r="G1246">
        <v>221</v>
      </c>
      <c r="H1246">
        <v>407</v>
      </c>
    </row>
    <row r="1247" spans="1:8">
      <c r="A1247">
        <v>2023</v>
      </c>
      <c r="C1247" t="s">
        <v>77</v>
      </c>
      <c r="D1247" t="s">
        <v>45</v>
      </c>
      <c r="F1247">
        <v>227</v>
      </c>
      <c r="G1247">
        <v>286</v>
      </c>
      <c r="H1247">
        <v>513</v>
      </c>
    </row>
    <row r="1248" spans="1:8">
      <c r="A1248">
        <v>2024</v>
      </c>
      <c r="C1248" t="s">
        <v>77</v>
      </c>
      <c r="D1248" t="s">
        <v>45</v>
      </c>
      <c r="F1248">
        <v>227</v>
      </c>
      <c r="G1248">
        <v>398</v>
      </c>
      <c r="H1248">
        <v>625</v>
      </c>
    </row>
    <row r="1249" spans="1:8">
      <c r="A1249">
        <v>2025</v>
      </c>
      <c r="C1249" t="s">
        <v>77</v>
      </c>
      <c r="D1249" t="s">
        <v>45</v>
      </c>
      <c r="F1249">
        <v>242</v>
      </c>
      <c r="G1249">
        <v>494</v>
      </c>
      <c r="H1249">
        <v>736</v>
      </c>
    </row>
    <row r="1250" spans="1:8">
      <c r="A1250">
        <v>2020</v>
      </c>
      <c r="C1250" t="s">
        <v>78</v>
      </c>
      <c r="D1250" t="s">
        <v>45</v>
      </c>
      <c r="F1250">
        <v>406</v>
      </c>
      <c r="G1250">
        <v>762</v>
      </c>
      <c r="H1250">
        <v>1168</v>
      </c>
    </row>
    <row r="1251" spans="1:8">
      <c r="A1251">
        <v>2021</v>
      </c>
      <c r="C1251" t="s">
        <v>78</v>
      </c>
      <c r="D1251" t="s">
        <v>45</v>
      </c>
      <c r="F1251">
        <v>424</v>
      </c>
      <c r="G1251">
        <v>743</v>
      </c>
      <c r="H1251">
        <v>1167</v>
      </c>
    </row>
    <row r="1252" spans="1:8">
      <c r="A1252">
        <v>2022</v>
      </c>
      <c r="C1252" t="s">
        <v>78</v>
      </c>
      <c r="D1252" t="s">
        <v>45</v>
      </c>
      <c r="F1252">
        <v>511</v>
      </c>
      <c r="G1252">
        <v>742</v>
      </c>
      <c r="H1252">
        <v>1253</v>
      </c>
    </row>
    <row r="1253" spans="1:8">
      <c r="A1253">
        <v>2023</v>
      </c>
      <c r="C1253" t="s">
        <v>78</v>
      </c>
      <c r="D1253" t="s">
        <v>45</v>
      </c>
      <c r="F1253">
        <v>525</v>
      </c>
      <c r="G1253">
        <v>836</v>
      </c>
      <c r="H1253">
        <v>1361</v>
      </c>
    </row>
    <row r="1254" spans="1:8">
      <c r="A1254">
        <v>2024</v>
      </c>
      <c r="C1254" t="s">
        <v>78</v>
      </c>
      <c r="D1254" t="s">
        <v>45</v>
      </c>
      <c r="F1254">
        <v>543</v>
      </c>
      <c r="G1254">
        <v>896</v>
      </c>
      <c r="H1254">
        <v>1439</v>
      </c>
    </row>
    <row r="1255" spans="1:8">
      <c r="A1255">
        <v>2025</v>
      </c>
      <c r="C1255" t="s">
        <v>78</v>
      </c>
      <c r="D1255" t="s">
        <v>45</v>
      </c>
      <c r="F1255">
        <v>508</v>
      </c>
      <c r="G1255">
        <v>914</v>
      </c>
      <c r="H1255">
        <v>1422</v>
      </c>
    </row>
    <row r="1256" spans="1:8">
      <c r="A1256">
        <v>2020</v>
      </c>
      <c r="C1256" t="s">
        <v>79</v>
      </c>
      <c r="D1256" t="s">
        <v>45</v>
      </c>
      <c r="F1256">
        <v>106</v>
      </c>
      <c r="G1256">
        <v>161</v>
      </c>
      <c r="H1256">
        <v>267</v>
      </c>
    </row>
    <row r="1257" spans="1:8">
      <c r="A1257">
        <v>2021</v>
      </c>
      <c r="C1257" t="s">
        <v>79</v>
      </c>
      <c r="D1257" t="s">
        <v>45</v>
      </c>
      <c r="F1257">
        <v>80</v>
      </c>
      <c r="G1257">
        <v>154</v>
      </c>
      <c r="H1257">
        <v>234</v>
      </c>
    </row>
    <row r="1258" spans="1:8">
      <c r="A1258">
        <v>2022</v>
      </c>
      <c r="C1258" t="s">
        <v>79</v>
      </c>
      <c r="D1258" t="s">
        <v>45</v>
      </c>
      <c r="F1258">
        <v>100</v>
      </c>
      <c r="G1258">
        <v>147</v>
      </c>
      <c r="H1258">
        <v>247</v>
      </c>
    </row>
    <row r="1259" spans="1:8">
      <c r="A1259">
        <v>2023</v>
      </c>
      <c r="C1259" t="s">
        <v>79</v>
      </c>
      <c r="D1259" t="s">
        <v>45</v>
      </c>
      <c r="F1259">
        <v>76</v>
      </c>
      <c r="G1259">
        <v>153</v>
      </c>
      <c r="H1259">
        <v>229</v>
      </c>
    </row>
    <row r="1260" spans="1:8">
      <c r="A1260">
        <v>2024</v>
      </c>
      <c r="C1260" t="s">
        <v>79</v>
      </c>
      <c r="D1260" t="s">
        <v>45</v>
      </c>
      <c r="F1260">
        <v>93</v>
      </c>
      <c r="G1260">
        <v>152</v>
      </c>
      <c r="H1260">
        <v>245</v>
      </c>
    </row>
    <row r="1261" spans="1:8">
      <c r="A1261">
        <v>2025</v>
      </c>
      <c r="C1261" t="s">
        <v>79</v>
      </c>
      <c r="D1261" t="s">
        <v>45</v>
      </c>
      <c r="F1261">
        <v>68</v>
      </c>
      <c r="G1261">
        <v>141</v>
      </c>
      <c r="H1261">
        <v>209</v>
      </c>
    </row>
    <row r="1262" spans="1:8">
      <c r="A1262">
        <v>2020</v>
      </c>
      <c r="C1262" t="s">
        <v>80</v>
      </c>
      <c r="D1262" t="s">
        <v>45</v>
      </c>
      <c r="F1262">
        <v>126</v>
      </c>
      <c r="G1262">
        <v>243</v>
      </c>
      <c r="H1262">
        <v>369</v>
      </c>
    </row>
    <row r="1263" spans="1:8">
      <c r="A1263">
        <v>2021</v>
      </c>
      <c r="C1263" t="s">
        <v>80</v>
      </c>
      <c r="D1263" t="s">
        <v>45</v>
      </c>
      <c r="F1263">
        <v>116</v>
      </c>
      <c r="G1263">
        <v>224</v>
      </c>
      <c r="H1263">
        <v>340</v>
      </c>
    </row>
    <row r="1264" spans="1:8">
      <c r="A1264">
        <v>2022</v>
      </c>
      <c r="C1264" t="s">
        <v>80</v>
      </c>
      <c r="D1264" t="s">
        <v>45</v>
      </c>
      <c r="F1264">
        <v>148</v>
      </c>
      <c r="G1264">
        <v>187</v>
      </c>
      <c r="H1264">
        <v>335</v>
      </c>
    </row>
    <row r="1265" spans="1:8">
      <c r="A1265">
        <v>2023</v>
      </c>
      <c r="C1265" t="s">
        <v>80</v>
      </c>
      <c r="D1265" t="s">
        <v>45</v>
      </c>
      <c r="F1265">
        <v>159</v>
      </c>
      <c r="G1265">
        <v>222</v>
      </c>
      <c r="H1265">
        <v>381</v>
      </c>
    </row>
    <row r="1266" spans="1:8">
      <c r="A1266">
        <v>2024</v>
      </c>
      <c r="C1266" t="s">
        <v>80</v>
      </c>
      <c r="D1266" t="s">
        <v>45</v>
      </c>
      <c r="F1266">
        <v>153</v>
      </c>
      <c r="G1266">
        <v>256</v>
      </c>
      <c r="H1266">
        <v>409</v>
      </c>
    </row>
    <row r="1267" spans="1:8">
      <c r="A1267">
        <v>2025</v>
      </c>
      <c r="C1267" t="s">
        <v>80</v>
      </c>
      <c r="D1267" t="s">
        <v>45</v>
      </c>
      <c r="F1267">
        <v>160</v>
      </c>
      <c r="G1267">
        <v>263</v>
      </c>
      <c r="H1267">
        <v>423</v>
      </c>
    </row>
    <row r="1268" spans="1:8">
      <c r="A1268">
        <v>2020</v>
      </c>
      <c r="C1268" t="s">
        <v>81</v>
      </c>
      <c r="D1268" t="s">
        <v>45</v>
      </c>
      <c r="F1268">
        <v>132</v>
      </c>
      <c r="G1268">
        <v>222</v>
      </c>
      <c r="H1268">
        <v>354</v>
      </c>
    </row>
    <row r="1269" spans="1:8">
      <c r="A1269">
        <v>2021</v>
      </c>
      <c r="C1269" t="s">
        <v>81</v>
      </c>
      <c r="D1269" t="s">
        <v>45</v>
      </c>
      <c r="F1269">
        <v>110</v>
      </c>
      <c r="G1269">
        <v>220</v>
      </c>
      <c r="H1269">
        <v>330</v>
      </c>
    </row>
    <row r="1270" spans="1:8">
      <c r="A1270">
        <v>2022</v>
      </c>
      <c r="C1270" t="s">
        <v>81</v>
      </c>
      <c r="D1270" t="s">
        <v>45</v>
      </c>
      <c r="F1270">
        <v>146</v>
      </c>
      <c r="G1270">
        <v>208</v>
      </c>
      <c r="H1270">
        <v>354</v>
      </c>
    </row>
    <row r="1271" spans="1:8">
      <c r="A1271">
        <v>2023</v>
      </c>
      <c r="C1271" t="s">
        <v>81</v>
      </c>
      <c r="D1271" t="s">
        <v>45</v>
      </c>
      <c r="F1271">
        <v>178</v>
      </c>
      <c r="G1271">
        <v>234</v>
      </c>
      <c r="H1271">
        <v>412</v>
      </c>
    </row>
    <row r="1272" spans="1:8">
      <c r="A1272">
        <v>2024</v>
      </c>
      <c r="C1272" t="s">
        <v>81</v>
      </c>
      <c r="D1272" t="s">
        <v>45</v>
      </c>
      <c r="F1272">
        <v>157</v>
      </c>
      <c r="G1272">
        <v>285</v>
      </c>
      <c r="H1272">
        <v>442</v>
      </c>
    </row>
    <row r="1273" spans="1:8">
      <c r="A1273">
        <v>2025</v>
      </c>
      <c r="C1273" t="s">
        <v>81</v>
      </c>
      <c r="D1273" t="s">
        <v>45</v>
      </c>
      <c r="F1273">
        <v>174</v>
      </c>
      <c r="G1273">
        <v>277</v>
      </c>
      <c r="H1273">
        <v>451</v>
      </c>
    </row>
    <row r="1274" spans="1:8">
      <c r="A1274">
        <v>2020</v>
      </c>
      <c r="C1274" t="s">
        <v>82</v>
      </c>
      <c r="D1274" t="s">
        <v>45</v>
      </c>
      <c r="F1274">
        <v>57</v>
      </c>
      <c r="G1274">
        <v>111</v>
      </c>
      <c r="H1274">
        <v>168</v>
      </c>
    </row>
    <row r="1275" spans="1:8">
      <c r="A1275">
        <v>2021</v>
      </c>
      <c r="C1275" t="s">
        <v>82</v>
      </c>
      <c r="D1275" t="s">
        <v>45</v>
      </c>
      <c r="F1275">
        <v>52</v>
      </c>
      <c r="G1275">
        <v>111</v>
      </c>
      <c r="H1275">
        <v>163</v>
      </c>
    </row>
    <row r="1276" spans="1:8">
      <c r="A1276">
        <v>2022</v>
      </c>
      <c r="C1276" t="s">
        <v>82</v>
      </c>
      <c r="D1276" t="s">
        <v>45</v>
      </c>
      <c r="F1276">
        <v>79</v>
      </c>
      <c r="G1276">
        <v>106</v>
      </c>
      <c r="H1276">
        <v>185</v>
      </c>
    </row>
    <row r="1277" spans="1:8">
      <c r="A1277">
        <v>2023</v>
      </c>
      <c r="C1277" t="s">
        <v>82</v>
      </c>
      <c r="D1277" t="s">
        <v>45</v>
      </c>
      <c r="F1277">
        <v>56</v>
      </c>
      <c r="G1277">
        <v>87</v>
      </c>
      <c r="H1277">
        <v>143</v>
      </c>
    </row>
    <row r="1278" spans="1:8">
      <c r="A1278">
        <v>2024</v>
      </c>
      <c r="C1278" t="s">
        <v>82</v>
      </c>
      <c r="D1278" t="s">
        <v>45</v>
      </c>
      <c r="F1278">
        <v>44</v>
      </c>
      <c r="G1278">
        <v>90</v>
      </c>
      <c r="H1278">
        <v>134</v>
      </c>
    </row>
    <row r="1279" spans="1:8">
      <c r="A1279">
        <v>2025</v>
      </c>
      <c r="C1279" t="s">
        <v>82</v>
      </c>
      <c r="D1279" t="s">
        <v>45</v>
      </c>
      <c r="F1279">
        <v>87</v>
      </c>
      <c r="G1279">
        <v>76</v>
      </c>
      <c r="H1279">
        <v>163</v>
      </c>
    </row>
    <row r="1280" spans="1:8">
      <c r="A1280">
        <v>2020</v>
      </c>
      <c r="C1280" t="s">
        <v>83</v>
      </c>
      <c r="D1280" t="s">
        <v>45</v>
      </c>
      <c r="F1280">
        <v>110</v>
      </c>
      <c r="G1280">
        <v>235</v>
      </c>
      <c r="H1280">
        <v>345</v>
      </c>
    </row>
    <row r="1281" spans="1:8">
      <c r="A1281">
        <v>2021</v>
      </c>
      <c r="C1281" t="s">
        <v>83</v>
      </c>
      <c r="D1281" t="s">
        <v>45</v>
      </c>
      <c r="F1281">
        <v>96</v>
      </c>
      <c r="G1281">
        <v>210</v>
      </c>
      <c r="H1281">
        <v>306</v>
      </c>
    </row>
    <row r="1282" spans="1:8">
      <c r="A1282">
        <v>2022</v>
      </c>
      <c r="C1282" t="s">
        <v>83</v>
      </c>
      <c r="D1282" t="s">
        <v>45</v>
      </c>
      <c r="F1282">
        <v>119</v>
      </c>
      <c r="G1282">
        <v>196</v>
      </c>
      <c r="H1282">
        <v>315</v>
      </c>
    </row>
    <row r="1283" spans="1:8">
      <c r="A1283">
        <v>2023</v>
      </c>
      <c r="C1283" t="s">
        <v>83</v>
      </c>
      <c r="D1283" t="s">
        <v>45</v>
      </c>
      <c r="F1283">
        <v>117</v>
      </c>
      <c r="G1283">
        <v>206</v>
      </c>
      <c r="H1283">
        <v>323</v>
      </c>
    </row>
    <row r="1284" spans="1:8">
      <c r="A1284">
        <v>2024</v>
      </c>
      <c r="C1284" t="s">
        <v>83</v>
      </c>
      <c r="D1284" t="s">
        <v>45</v>
      </c>
      <c r="F1284">
        <v>101</v>
      </c>
      <c r="G1284">
        <v>183</v>
      </c>
      <c r="H1284">
        <v>284</v>
      </c>
    </row>
    <row r="1285" spans="1:8">
      <c r="A1285">
        <v>2025</v>
      </c>
      <c r="C1285" t="s">
        <v>83</v>
      </c>
      <c r="D1285" t="s">
        <v>45</v>
      </c>
      <c r="F1285">
        <v>84</v>
      </c>
      <c r="G1285">
        <v>185</v>
      </c>
      <c r="H1285">
        <v>269</v>
      </c>
    </row>
    <row r="1286" spans="1:8">
      <c r="A1286">
        <v>2020</v>
      </c>
      <c r="C1286" t="s">
        <v>84</v>
      </c>
      <c r="D1286" t="s">
        <v>45</v>
      </c>
      <c r="F1286">
        <v>174</v>
      </c>
      <c r="G1286">
        <v>310</v>
      </c>
      <c r="H1286">
        <v>484</v>
      </c>
    </row>
    <row r="1287" spans="1:8">
      <c r="A1287">
        <v>2021</v>
      </c>
      <c r="C1287" t="s">
        <v>84</v>
      </c>
      <c r="D1287" t="s">
        <v>45</v>
      </c>
      <c r="F1287">
        <v>137</v>
      </c>
      <c r="G1287">
        <v>281</v>
      </c>
      <c r="H1287">
        <v>418</v>
      </c>
    </row>
    <row r="1288" spans="1:8">
      <c r="A1288">
        <v>2022</v>
      </c>
      <c r="C1288" t="s">
        <v>84</v>
      </c>
      <c r="D1288" t="s">
        <v>45</v>
      </c>
      <c r="F1288">
        <v>178</v>
      </c>
      <c r="G1288">
        <v>243</v>
      </c>
      <c r="H1288">
        <v>421</v>
      </c>
    </row>
    <row r="1289" spans="1:8">
      <c r="A1289">
        <v>2023</v>
      </c>
      <c r="C1289" t="s">
        <v>84</v>
      </c>
      <c r="D1289" t="s">
        <v>45</v>
      </c>
      <c r="F1289">
        <v>182</v>
      </c>
      <c r="G1289">
        <v>276</v>
      </c>
      <c r="H1289">
        <v>458</v>
      </c>
    </row>
    <row r="1290" spans="1:8">
      <c r="A1290">
        <v>2024</v>
      </c>
      <c r="C1290" t="s">
        <v>84</v>
      </c>
      <c r="D1290" t="s">
        <v>45</v>
      </c>
      <c r="F1290">
        <v>228</v>
      </c>
      <c r="G1290">
        <v>279</v>
      </c>
      <c r="H1290">
        <v>507</v>
      </c>
    </row>
    <row r="1291" spans="1:8">
      <c r="A1291">
        <v>2025</v>
      </c>
      <c r="C1291" t="s">
        <v>84</v>
      </c>
      <c r="D1291" t="s">
        <v>45</v>
      </c>
      <c r="F1291">
        <v>219</v>
      </c>
      <c r="G1291">
        <v>332</v>
      </c>
      <c r="H1291">
        <v>551</v>
      </c>
    </row>
    <row r="1292" spans="1:8">
      <c r="A1292">
        <v>2020</v>
      </c>
      <c r="C1292" t="s">
        <v>85</v>
      </c>
      <c r="D1292" t="s">
        <v>45</v>
      </c>
      <c r="F1292">
        <v>265</v>
      </c>
      <c r="G1292">
        <v>531</v>
      </c>
      <c r="H1292">
        <v>796</v>
      </c>
    </row>
    <row r="1293" spans="1:8">
      <c r="A1293">
        <v>2021</v>
      </c>
      <c r="C1293" t="s">
        <v>85</v>
      </c>
      <c r="D1293" t="s">
        <v>45</v>
      </c>
      <c r="F1293">
        <v>299</v>
      </c>
      <c r="G1293">
        <v>466</v>
      </c>
      <c r="H1293">
        <v>765</v>
      </c>
    </row>
    <row r="1294" spans="1:8">
      <c r="A1294">
        <v>2022</v>
      </c>
      <c r="C1294" t="s">
        <v>85</v>
      </c>
      <c r="D1294" t="s">
        <v>45</v>
      </c>
      <c r="F1294">
        <v>438</v>
      </c>
      <c r="G1294">
        <v>504</v>
      </c>
      <c r="H1294">
        <v>942</v>
      </c>
    </row>
    <row r="1295" spans="1:8">
      <c r="A1295">
        <v>2023</v>
      </c>
      <c r="C1295" t="s">
        <v>85</v>
      </c>
      <c r="D1295" t="s">
        <v>45</v>
      </c>
      <c r="F1295">
        <v>437</v>
      </c>
      <c r="G1295">
        <v>654</v>
      </c>
      <c r="H1295">
        <v>1091</v>
      </c>
    </row>
    <row r="1296" spans="1:8">
      <c r="A1296">
        <v>2024</v>
      </c>
      <c r="C1296" t="s">
        <v>85</v>
      </c>
      <c r="D1296" t="s">
        <v>45</v>
      </c>
      <c r="F1296">
        <v>417</v>
      </c>
      <c r="G1296">
        <v>741</v>
      </c>
      <c r="H1296">
        <v>1158</v>
      </c>
    </row>
    <row r="1297" spans="1:8">
      <c r="A1297">
        <v>2025</v>
      </c>
      <c r="C1297" t="s">
        <v>85</v>
      </c>
      <c r="D1297" t="s">
        <v>45</v>
      </c>
      <c r="F1297">
        <v>324</v>
      </c>
      <c r="G1297">
        <v>752</v>
      </c>
      <c r="H1297">
        <v>1076</v>
      </c>
    </row>
    <row r="1298" spans="1:8">
      <c r="A1298">
        <v>2020</v>
      </c>
      <c r="C1298" t="s">
        <v>86</v>
      </c>
      <c r="D1298" t="s">
        <v>45</v>
      </c>
      <c r="F1298">
        <v>147</v>
      </c>
      <c r="G1298">
        <v>250</v>
      </c>
      <c r="H1298">
        <v>397</v>
      </c>
    </row>
    <row r="1299" spans="1:8">
      <c r="A1299">
        <v>2021</v>
      </c>
      <c r="C1299" t="s">
        <v>86</v>
      </c>
      <c r="D1299" t="s">
        <v>45</v>
      </c>
      <c r="F1299">
        <v>130</v>
      </c>
      <c r="G1299">
        <v>244</v>
      </c>
      <c r="H1299">
        <v>374</v>
      </c>
    </row>
    <row r="1300" spans="1:8">
      <c r="A1300">
        <v>2022</v>
      </c>
      <c r="C1300" t="s">
        <v>86</v>
      </c>
      <c r="D1300" t="s">
        <v>45</v>
      </c>
      <c r="F1300">
        <v>120</v>
      </c>
      <c r="G1300">
        <v>220</v>
      </c>
      <c r="H1300">
        <v>340</v>
      </c>
    </row>
    <row r="1301" spans="1:8">
      <c r="A1301">
        <v>2023</v>
      </c>
      <c r="C1301" t="s">
        <v>86</v>
      </c>
      <c r="D1301" t="s">
        <v>45</v>
      </c>
      <c r="F1301">
        <v>132</v>
      </c>
      <c r="G1301">
        <v>206</v>
      </c>
      <c r="H1301">
        <v>338</v>
      </c>
    </row>
    <row r="1302" spans="1:8">
      <c r="A1302">
        <v>2024</v>
      </c>
      <c r="C1302" t="s">
        <v>86</v>
      </c>
      <c r="D1302" t="s">
        <v>45</v>
      </c>
      <c r="F1302">
        <v>202</v>
      </c>
      <c r="G1302">
        <v>223</v>
      </c>
      <c r="H1302">
        <v>425</v>
      </c>
    </row>
    <row r="1303" spans="1:8">
      <c r="A1303">
        <v>2025</v>
      </c>
      <c r="C1303" t="s">
        <v>86</v>
      </c>
      <c r="D1303" t="s">
        <v>45</v>
      </c>
      <c r="F1303">
        <v>167</v>
      </c>
      <c r="G1303">
        <v>291</v>
      </c>
      <c r="H1303">
        <v>458</v>
      </c>
    </row>
    <row r="1304" spans="1:8">
      <c r="A1304">
        <v>2020</v>
      </c>
      <c r="C1304" t="s">
        <v>87</v>
      </c>
      <c r="D1304" t="s">
        <v>45</v>
      </c>
      <c r="F1304">
        <v>326</v>
      </c>
      <c r="G1304">
        <v>570</v>
      </c>
      <c r="H1304">
        <v>896</v>
      </c>
    </row>
    <row r="1305" spans="1:8">
      <c r="A1305">
        <v>2021</v>
      </c>
      <c r="C1305" t="s">
        <v>87</v>
      </c>
      <c r="D1305" t="s">
        <v>45</v>
      </c>
      <c r="F1305">
        <v>240</v>
      </c>
      <c r="G1305">
        <v>532</v>
      </c>
      <c r="H1305">
        <v>772</v>
      </c>
    </row>
    <row r="1306" spans="1:8">
      <c r="A1306">
        <v>2022</v>
      </c>
      <c r="C1306" t="s">
        <v>87</v>
      </c>
      <c r="D1306" t="s">
        <v>45</v>
      </c>
      <c r="F1306">
        <v>304</v>
      </c>
      <c r="G1306">
        <v>464</v>
      </c>
      <c r="H1306">
        <v>768</v>
      </c>
    </row>
    <row r="1307" spans="1:8">
      <c r="A1307">
        <v>2023</v>
      </c>
      <c r="C1307" t="s">
        <v>87</v>
      </c>
      <c r="D1307" t="s">
        <v>45</v>
      </c>
      <c r="F1307">
        <v>296</v>
      </c>
      <c r="G1307">
        <v>477</v>
      </c>
      <c r="H1307">
        <v>773</v>
      </c>
    </row>
    <row r="1308" spans="1:8">
      <c r="A1308">
        <v>2024</v>
      </c>
      <c r="C1308" t="s">
        <v>87</v>
      </c>
      <c r="D1308" t="s">
        <v>45</v>
      </c>
      <c r="F1308">
        <v>262</v>
      </c>
      <c r="G1308">
        <v>511</v>
      </c>
      <c r="H1308">
        <v>773</v>
      </c>
    </row>
    <row r="1309" spans="1:8">
      <c r="A1309">
        <v>2025</v>
      </c>
      <c r="C1309" t="s">
        <v>87</v>
      </c>
      <c r="D1309" t="s">
        <v>45</v>
      </c>
      <c r="F1309">
        <v>257</v>
      </c>
      <c r="G1309">
        <v>463</v>
      </c>
      <c r="H1309">
        <v>720</v>
      </c>
    </row>
    <row r="1310" spans="1:8">
      <c r="A1310">
        <v>2020</v>
      </c>
      <c r="C1310" t="s">
        <v>88</v>
      </c>
      <c r="D1310" t="s">
        <v>45</v>
      </c>
      <c r="F1310">
        <v>182</v>
      </c>
      <c r="G1310">
        <v>231</v>
      </c>
      <c r="H1310">
        <v>413</v>
      </c>
    </row>
    <row r="1311" spans="1:8">
      <c r="A1311">
        <v>2021</v>
      </c>
      <c r="C1311" t="s">
        <v>88</v>
      </c>
      <c r="D1311" t="s">
        <v>45</v>
      </c>
      <c r="F1311">
        <v>190</v>
      </c>
      <c r="G1311">
        <v>219</v>
      </c>
      <c r="H1311">
        <v>409</v>
      </c>
    </row>
    <row r="1312" spans="1:8">
      <c r="A1312">
        <v>2022</v>
      </c>
      <c r="C1312" t="s">
        <v>88</v>
      </c>
      <c r="D1312" t="s">
        <v>45</v>
      </c>
      <c r="F1312">
        <v>255</v>
      </c>
      <c r="G1312">
        <v>244</v>
      </c>
      <c r="H1312">
        <v>499</v>
      </c>
    </row>
    <row r="1313" spans="1:8">
      <c r="A1313">
        <v>2023</v>
      </c>
      <c r="C1313" t="s">
        <v>88</v>
      </c>
      <c r="D1313" t="s">
        <v>45</v>
      </c>
      <c r="F1313">
        <v>281</v>
      </c>
      <c r="G1313">
        <v>310</v>
      </c>
      <c r="H1313">
        <v>591</v>
      </c>
    </row>
    <row r="1314" spans="1:8">
      <c r="A1314">
        <v>2024</v>
      </c>
      <c r="C1314" t="s">
        <v>88</v>
      </c>
      <c r="D1314" t="s">
        <v>45</v>
      </c>
      <c r="F1314">
        <v>273</v>
      </c>
      <c r="G1314">
        <v>380</v>
      </c>
      <c r="H1314">
        <v>653</v>
      </c>
    </row>
    <row r="1315" spans="1:8">
      <c r="A1315">
        <v>2025</v>
      </c>
      <c r="C1315" t="s">
        <v>88</v>
      </c>
      <c r="D1315" t="s">
        <v>45</v>
      </c>
      <c r="F1315">
        <v>348</v>
      </c>
      <c r="G1315">
        <v>437</v>
      </c>
      <c r="H1315">
        <v>785</v>
      </c>
    </row>
    <row r="1316" spans="1:8">
      <c r="A1316">
        <v>2020</v>
      </c>
      <c r="C1316" t="s">
        <v>89</v>
      </c>
      <c r="D1316" t="s">
        <v>45</v>
      </c>
      <c r="F1316">
        <v>459</v>
      </c>
      <c r="G1316">
        <v>727</v>
      </c>
      <c r="H1316">
        <v>1186</v>
      </c>
    </row>
    <row r="1317" spans="1:8">
      <c r="A1317">
        <v>2021</v>
      </c>
      <c r="C1317" t="s">
        <v>89</v>
      </c>
      <c r="D1317" t="s">
        <v>45</v>
      </c>
      <c r="F1317">
        <v>360</v>
      </c>
      <c r="G1317">
        <v>745</v>
      </c>
      <c r="H1317">
        <v>1105</v>
      </c>
    </row>
    <row r="1318" spans="1:8">
      <c r="A1318">
        <v>2022</v>
      </c>
      <c r="C1318" t="s">
        <v>89</v>
      </c>
      <c r="D1318" t="s">
        <v>45</v>
      </c>
      <c r="F1318">
        <v>436</v>
      </c>
      <c r="G1318">
        <v>703</v>
      </c>
      <c r="H1318">
        <v>1139</v>
      </c>
    </row>
    <row r="1319" spans="1:8">
      <c r="A1319">
        <v>2023</v>
      </c>
      <c r="C1319" t="s">
        <v>89</v>
      </c>
      <c r="D1319" t="s">
        <v>45</v>
      </c>
      <c r="F1319">
        <v>488</v>
      </c>
      <c r="G1319">
        <v>717</v>
      </c>
      <c r="H1319">
        <v>1205</v>
      </c>
    </row>
    <row r="1320" spans="1:8">
      <c r="A1320">
        <v>2024</v>
      </c>
      <c r="C1320" t="s">
        <v>89</v>
      </c>
      <c r="D1320" t="s">
        <v>45</v>
      </c>
      <c r="F1320">
        <v>445</v>
      </c>
      <c r="G1320">
        <v>871</v>
      </c>
      <c r="H1320">
        <v>1316</v>
      </c>
    </row>
    <row r="1321" spans="1:8">
      <c r="A1321">
        <v>2025</v>
      </c>
      <c r="C1321" t="s">
        <v>89</v>
      </c>
      <c r="D1321" t="s">
        <v>45</v>
      </c>
      <c r="F1321">
        <v>422</v>
      </c>
      <c r="G1321">
        <v>842</v>
      </c>
      <c r="H1321">
        <v>1264</v>
      </c>
    </row>
    <row r="1322" spans="1:8">
      <c r="A1322">
        <v>2020</v>
      </c>
      <c r="C1322" t="s">
        <v>90</v>
      </c>
      <c r="D1322" t="s">
        <v>45</v>
      </c>
      <c r="F1322">
        <v>233</v>
      </c>
      <c r="G1322">
        <v>366</v>
      </c>
      <c r="H1322">
        <v>599</v>
      </c>
    </row>
    <row r="1323" spans="1:8">
      <c r="A1323">
        <v>2021</v>
      </c>
      <c r="C1323" t="s">
        <v>90</v>
      </c>
      <c r="D1323" t="s">
        <v>45</v>
      </c>
      <c r="F1323">
        <v>183</v>
      </c>
      <c r="G1323">
        <v>350</v>
      </c>
      <c r="H1323">
        <v>533</v>
      </c>
    </row>
    <row r="1324" spans="1:8">
      <c r="A1324">
        <v>2022</v>
      </c>
      <c r="C1324" t="s">
        <v>90</v>
      </c>
      <c r="D1324" t="s">
        <v>45</v>
      </c>
      <c r="F1324">
        <v>245</v>
      </c>
      <c r="G1324">
        <v>333</v>
      </c>
      <c r="H1324">
        <v>578</v>
      </c>
    </row>
    <row r="1325" spans="1:8">
      <c r="A1325">
        <v>2023</v>
      </c>
      <c r="C1325" t="s">
        <v>90</v>
      </c>
      <c r="D1325" t="s">
        <v>45</v>
      </c>
      <c r="F1325">
        <v>216</v>
      </c>
      <c r="G1325">
        <v>349</v>
      </c>
      <c r="H1325">
        <v>565</v>
      </c>
    </row>
    <row r="1326" spans="1:8">
      <c r="A1326">
        <v>2024</v>
      </c>
      <c r="C1326" t="s">
        <v>90</v>
      </c>
      <c r="D1326" t="s">
        <v>45</v>
      </c>
      <c r="F1326">
        <v>213</v>
      </c>
      <c r="G1326">
        <v>384</v>
      </c>
      <c r="H1326">
        <v>597</v>
      </c>
    </row>
    <row r="1327" spans="1:8">
      <c r="A1327">
        <v>2025</v>
      </c>
      <c r="C1327" t="s">
        <v>90</v>
      </c>
      <c r="D1327" t="s">
        <v>45</v>
      </c>
      <c r="F1327">
        <v>193</v>
      </c>
      <c r="G1327">
        <v>357</v>
      </c>
      <c r="H1327">
        <v>550</v>
      </c>
    </row>
    <row r="1328" spans="1:8">
      <c r="A1328">
        <v>2020</v>
      </c>
      <c r="C1328" t="s">
        <v>91</v>
      </c>
      <c r="D1328" t="s">
        <v>45</v>
      </c>
      <c r="F1328">
        <v>303</v>
      </c>
      <c r="G1328">
        <v>531</v>
      </c>
      <c r="H1328">
        <v>834</v>
      </c>
    </row>
    <row r="1329" spans="1:8">
      <c r="A1329">
        <v>2021</v>
      </c>
      <c r="C1329" t="s">
        <v>91</v>
      </c>
      <c r="D1329" t="s">
        <v>45</v>
      </c>
      <c r="F1329">
        <v>233</v>
      </c>
      <c r="G1329">
        <v>513</v>
      </c>
      <c r="H1329">
        <v>746</v>
      </c>
    </row>
    <row r="1330" spans="1:8">
      <c r="A1330">
        <v>2022</v>
      </c>
      <c r="C1330" t="s">
        <v>91</v>
      </c>
      <c r="D1330" t="s">
        <v>45</v>
      </c>
      <c r="F1330">
        <v>271</v>
      </c>
      <c r="G1330">
        <v>440</v>
      </c>
      <c r="H1330">
        <v>711</v>
      </c>
    </row>
    <row r="1331" spans="1:8">
      <c r="A1331">
        <v>2023</v>
      </c>
      <c r="C1331" t="s">
        <v>91</v>
      </c>
      <c r="D1331" t="s">
        <v>45</v>
      </c>
      <c r="F1331">
        <v>257</v>
      </c>
      <c r="G1331">
        <v>454</v>
      </c>
      <c r="H1331">
        <v>711</v>
      </c>
    </row>
    <row r="1332" spans="1:8">
      <c r="A1332">
        <v>2024</v>
      </c>
      <c r="C1332" t="s">
        <v>91</v>
      </c>
      <c r="D1332" t="s">
        <v>45</v>
      </c>
      <c r="F1332">
        <v>224</v>
      </c>
      <c r="G1332">
        <v>465</v>
      </c>
      <c r="H1332">
        <v>689</v>
      </c>
    </row>
    <row r="1333" spans="1:8">
      <c r="A1333">
        <v>2025</v>
      </c>
      <c r="C1333" t="s">
        <v>91</v>
      </c>
      <c r="D1333" t="s">
        <v>45</v>
      </c>
      <c r="F1333">
        <v>260</v>
      </c>
      <c r="G1333">
        <v>415</v>
      </c>
      <c r="H1333">
        <v>675</v>
      </c>
    </row>
    <row r="1334" spans="1:8">
      <c r="A1334">
        <v>2020</v>
      </c>
      <c r="C1334" t="s">
        <v>92</v>
      </c>
      <c r="D1334" t="s">
        <v>45</v>
      </c>
      <c r="F1334">
        <v>316</v>
      </c>
      <c r="G1334">
        <v>547</v>
      </c>
      <c r="H1334">
        <v>863</v>
      </c>
    </row>
    <row r="1335" spans="1:8">
      <c r="A1335">
        <v>2021</v>
      </c>
      <c r="C1335" t="s">
        <v>92</v>
      </c>
      <c r="D1335" t="s">
        <v>45</v>
      </c>
      <c r="F1335">
        <v>338</v>
      </c>
      <c r="G1335">
        <v>570</v>
      </c>
      <c r="H1335">
        <v>908</v>
      </c>
    </row>
    <row r="1336" spans="1:8">
      <c r="A1336">
        <v>2022</v>
      </c>
      <c r="C1336" t="s">
        <v>92</v>
      </c>
      <c r="D1336" t="s">
        <v>45</v>
      </c>
      <c r="F1336">
        <v>373</v>
      </c>
      <c r="G1336">
        <v>623</v>
      </c>
      <c r="H1336">
        <v>996</v>
      </c>
    </row>
    <row r="1337" spans="1:8">
      <c r="A1337">
        <v>2023</v>
      </c>
      <c r="C1337" t="s">
        <v>92</v>
      </c>
      <c r="D1337" t="s">
        <v>45</v>
      </c>
      <c r="F1337">
        <v>397</v>
      </c>
      <c r="G1337">
        <v>672</v>
      </c>
      <c r="H1337">
        <v>1069</v>
      </c>
    </row>
    <row r="1338" spans="1:8">
      <c r="A1338">
        <v>2024</v>
      </c>
      <c r="C1338" t="s">
        <v>92</v>
      </c>
      <c r="D1338" t="s">
        <v>45</v>
      </c>
      <c r="F1338">
        <v>378</v>
      </c>
      <c r="G1338">
        <v>703</v>
      </c>
      <c r="H1338">
        <v>1081</v>
      </c>
    </row>
    <row r="1339" spans="1:8">
      <c r="A1339">
        <v>2025</v>
      </c>
      <c r="C1339" t="s">
        <v>92</v>
      </c>
      <c r="D1339" t="s">
        <v>45</v>
      </c>
      <c r="F1339">
        <v>368</v>
      </c>
      <c r="G1339">
        <v>711</v>
      </c>
      <c r="H1339">
        <v>1079</v>
      </c>
    </row>
    <row r="1340" spans="1:8">
      <c r="A1340">
        <v>2020</v>
      </c>
      <c r="C1340" t="s">
        <v>93</v>
      </c>
      <c r="D1340" t="s">
        <v>45</v>
      </c>
      <c r="F1340">
        <v>0</v>
      </c>
      <c r="G1340">
        <v>0</v>
      </c>
      <c r="H1340">
        <v>0</v>
      </c>
    </row>
    <row r="1341" spans="1:8">
      <c r="A1341">
        <v>2021</v>
      </c>
      <c r="C1341" t="s">
        <v>93</v>
      </c>
      <c r="D1341" t="s">
        <v>45</v>
      </c>
      <c r="F1341">
        <v>0</v>
      </c>
      <c r="G1341">
        <v>0</v>
      </c>
      <c r="H1341">
        <v>0</v>
      </c>
    </row>
    <row r="1342" spans="1:8">
      <c r="A1342">
        <v>2022</v>
      </c>
      <c r="C1342" t="s">
        <v>93</v>
      </c>
      <c r="D1342" t="s">
        <v>45</v>
      </c>
      <c r="F1342">
        <v>0</v>
      </c>
      <c r="G1342">
        <v>0</v>
      </c>
      <c r="H1342">
        <v>0</v>
      </c>
    </row>
    <row r="1343" spans="1:8">
      <c r="A1343">
        <v>2023</v>
      </c>
      <c r="C1343" t="s">
        <v>93</v>
      </c>
      <c r="D1343" t="s">
        <v>45</v>
      </c>
      <c r="F1343">
        <v>0</v>
      </c>
      <c r="G1343">
        <v>0</v>
      </c>
      <c r="H1343">
        <v>0</v>
      </c>
    </row>
    <row r="1344" spans="1:8">
      <c r="A1344">
        <v>2024</v>
      </c>
      <c r="C1344" t="s">
        <v>93</v>
      </c>
      <c r="D1344" t="s">
        <v>45</v>
      </c>
      <c r="F1344">
        <v>119</v>
      </c>
      <c r="G1344">
        <v>0</v>
      </c>
      <c r="H1344">
        <v>119</v>
      </c>
    </row>
    <row r="1345" spans="1:8">
      <c r="A1345">
        <v>2025</v>
      </c>
      <c r="C1345" t="s">
        <v>93</v>
      </c>
      <c r="D1345" t="s">
        <v>45</v>
      </c>
      <c r="F1345">
        <v>112</v>
      </c>
      <c r="G1345">
        <v>103</v>
      </c>
      <c r="H1345">
        <v>215</v>
      </c>
    </row>
    <row r="1346" spans="1:8">
      <c r="A1346">
        <v>2020</v>
      </c>
      <c r="C1346" t="s">
        <v>94</v>
      </c>
      <c r="D1346" t="s">
        <v>45</v>
      </c>
      <c r="F1346">
        <v>0</v>
      </c>
      <c r="G1346">
        <v>0</v>
      </c>
      <c r="H1346">
        <v>0</v>
      </c>
    </row>
    <row r="1347" spans="1:8">
      <c r="A1347">
        <v>2021</v>
      </c>
      <c r="C1347" t="s">
        <v>94</v>
      </c>
      <c r="D1347" t="s">
        <v>45</v>
      </c>
      <c r="F1347">
        <v>0</v>
      </c>
      <c r="G1347">
        <v>0</v>
      </c>
      <c r="H1347">
        <v>0</v>
      </c>
    </row>
    <row r="1348" spans="1:8">
      <c r="A1348">
        <v>2022</v>
      </c>
      <c r="C1348" t="s">
        <v>94</v>
      </c>
      <c r="D1348" t="s">
        <v>45</v>
      </c>
      <c r="F1348">
        <v>0</v>
      </c>
      <c r="G1348">
        <v>0</v>
      </c>
      <c r="H1348">
        <v>0</v>
      </c>
    </row>
    <row r="1349" spans="1:8">
      <c r="A1349">
        <v>2023</v>
      </c>
      <c r="C1349" t="s">
        <v>94</v>
      </c>
      <c r="D1349" t="s">
        <v>45</v>
      </c>
      <c r="F1349">
        <v>0</v>
      </c>
      <c r="G1349">
        <v>0</v>
      </c>
      <c r="H1349">
        <v>0</v>
      </c>
    </row>
    <row r="1350" spans="1:8">
      <c r="A1350">
        <v>2024</v>
      </c>
      <c r="C1350" t="s">
        <v>94</v>
      </c>
      <c r="D1350" t="s">
        <v>45</v>
      </c>
      <c r="F1350">
        <v>0</v>
      </c>
      <c r="G1350">
        <v>0</v>
      </c>
      <c r="H1350">
        <v>0</v>
      </c>
    </row>
    <row r="1351" spans="1:8">
      <c r="A1351">
        <v>2025</v>
      </c>
      <c r="C1351" t="s">
        <v>94</v>
      </c>
      <c r="D1351" t="s">
        <v>45</v>
      </c>
      <c r="F1351">
        <v>127</v>
      </c>
      <c r="G1351">
        <v>0</v>
      </c>
      <c r="H1351">
        <v>127</v>
      </c>
    </row>
    <row r="1352" spans="1:8">
      <c r="A1352">
        <v>2020</v>
      </c>
      <c r="C1352" t="s">
        <v>95</v>
      </c>
      <c r="D1352" t="s">
        <v>45</v>
      </c>
      <c r="F1352">
        <v>0</v>
      </c>
      <c r="G1352">
        <v>0</v>
      </c>
      <c r="H1352">
        <v>0</v>
      </c>
    </row>
    <row r="1353" spans="1:8">
      <c r="A1353">
        <v>2021</v>
      </c>
      <c r="C1353" t="s">
        <v>95</v>
      </c>
      <c r="D1353" t="s">
        <v>45</v>
      </c>
      <c r="F1353">
        <v>0</v>
      </c>
      <c r="G1353">
        <v>0</v>
      </c>
      <c r="H1353">
        <v>0</v>
      </c>
    </row>
    <row r="1354" spans="1:8">
      <c r="A1354">
        <v>2022</v>
      </c>
      <c r="C1354" t="s">
        <v>95</v>
      </c>
      <c r="D1354" t="s">
        <v>45</v>
      </c>
      <c r="F1354">
        <v>0</v>
      </c>
      <c r="G1354">
        <v>0</v>
      </c>
      <c r="H1354">
        <v>0</v>
      </c>
    </row>
    <row r="1355" spans="1:8">
      <c r="A1355">
        <v>2023</v>
      </c>
      <c r="C1355" t="s">
        <v>95</v>
      </c>
      <c r="D1355" t="s">
        <v>45</v>
      </c>
      <c r="F1355">
        <v>0</v>
      </c>
      <c r="G1355">
        <v>0</v>
      </c>
      <c r="H1355">
        <v>0</v>
      </c>
    </row>
    <row r="1356" spans="1:8">
      <c r="A1356">
        <v>2024</v>
      </c>
      <c r="C1356" t="s">
        <v>95</v>
      </c>
      <c r="D1356" t="s">
        <v>45</v>
      </c>
      <c r="F1356">
        <v>171</v>
      </c>
      <c r="G1356">
        <v>0</v>
      </c>
      <c r="H1356">
        <v>171</v>
      </c>
    </row>
    <row r="1357" spans="1:8">
      <c r="A1357">
        <v>2025</v>
      </c>
      <c r="C1357" t="s">
        <v>95</v>
      </c>
      <c r="D1357" t="s">
        <v>45</v>
      </c>
      <c r="F1357">
        <v>229</v>
      </c>
      <c r="G1357">
        <v>147</v>
      </c>
      <c r="H1357">
        <v>376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0"/>
  <sheetViews>
    <sheetView workbookViewId="0">
      <selection sqref="A1:J1"/>
    </sheetView>
  </sheetViews>
  <sheetFormatPr baseColWidth="10" defaultColWidth="8.6640625" defaultRowHeight="14"/>
  <cols>
    <col min="1" max="1" width="22" customWidth="1"/>
    <col min="2" max="2" width="18" customWidth="1"/>
    <col min="3" max="5" width="16" customWidth="1"/>
    <col min="6" max="7" width="20" customWidth="1"/>
    <col min="8" max="8" width="18" customWidth="1"/>
    <col min="9" max="9" width="40" customWidth="1"/>
  </cols>
  <sheetData>
    <row r="1" spans="1:10" ht="0.75" customHeight="1">
      <c r="A1" s="88" t="s">
        <v>107</v>
      </c>
      <c r="B1" s="89"/>
      <c r="C1" s="89"/>
      <c r="D1" s="89"/>
      <c r="E1" s="89"/>
      <c r="F1" s="91"/>
      <c r="G1" s="92"/>
      <c r="H1" s="89"/>
      <c r="I1" s="89"/>
      <c r="J1" s="89"/>
    </row>
    <row r="2" spans="1:10" ht="0.9" customHeight="1">
      <c r="A2" s="90" t="s">
        <v>108</v>
      </c>
      <c r="B2" s="89"/>
      <c r="C2" s="89"/>
      <c r="D2" s="89"/>
      <c r="E2" s="89"/>
      <c r="F2" s="89"/>
      <c r="G2" s="89"/>
      <c r="H2" s="89"/>
      <c r="I2" s="89"/>
      <c r="J2" s="89"/>
    </row>
    <row r="4" spans="1:10" ht="0.9" customHeight="1">
      <c r="A4" s="1" t="s">
        <v>36</v>
      </c>
      <c r="B4" s="1" t="s">
        <v>37</v>
      </c>
      <c r="C4" s="1" t="s">
        <v>38</v>
      </c>
      <c r="D4" s="1" t="s">
        <v>39</v>
      </c>
      <c r="E4" s="1" t="s">
        <v>109</v>
      </c>
      <c r="F4" s="1" t="s">
        <v>8</v>
      </c>
      <c r="G4" s="1" t="s">
        <v>55</v>
      </c>
      <c r="H4" s="1" t="s">
        <v>110</v>
      </c>
      <c r="I4" s="1" t="s">
        <v>103</v>
      </c>
    </row>
    <row r="5" spans="1:10">
      <c r="A5" s="2" t="s">
        <v>32</v>
      </c>
      <c r="B5" s="3" t="s">
        <v>45</v>
      </c>
      <c r="C5" s="3" t="s">
        <v>46</v>
      </c>
      <c r="D5" s="3" t="s">
        <v>47</v>
      </c>
      <c r="E5" s="3" t="s">
        <v>54</v>
      </c>
      <c r="F5" s="3">
        <v>0</v>
      </c>
      <c r="G5" s="3"/>
      <c r="H5" s="3" t="s">
        <v>49</v>
      </c>
      <c r="I5" s="4" t="s">
        <v>111</v>
      </c>
    </row>
    <row r="6" spans="1:10">
      <c r="A6" s="5" t="s">
        <v>32</v>
      </c>
      <c r="B6" s="6" t="s">
        <v>45</v>
      </c>
      <c r="C6" s="6" t="s">
        <v>46</v>
      </c>
      <c r="D6" s="6" t="s">
        <v>47</v>
      </c>
      <c r="E6" s="6" t="s">
        <v>57</v>
      </c>
      <c r="F6" s="6">
        <v>0</v>
      </c>
      <c r="G6" s="6"/>
      <c r="H6" s="6" t="s">
        <v>49</v>
      </c>
      <c r="I6" s="7" t="s">
        <v>111</v>
      </c>
    </row>
    <row r="7" spans="1:10">
      <c r="A7" s="5" t="s">
        <v>32</v>
      </c>
      <c r="B7" s="6" t="s">
        <v>51</v>
      </c>
      <c r="C7" s="6" t="s">
        <v>46</v>
      </c>
      <c r="D7" s="6" t="s">
        <v>47</v>
      </c>
      <c r="E7" s="6" t="s">
        <v>57</v>
      </c>
      <c r="F7" s="6">
        <v>0</v>
      </c>
      <c r="G7" s="6"/>
      <c r="H7" s="6" t="s">
        <v>49</v>
      </c>
      <c r="I7" s="7" t="s">
        <v>111</v>
      </c>
    </row>
    <row r="8" spans="1:10">
      <c r="A8" s="5" t="s">
        <v>32</v>
      </c>
      <c r="B8" s="6" t="s">
        <v>51</v>
      </c>
      <c r="C8" s="6" t="s">
        <v>46</v>
      </c>
      <c r="D8" s="6" t="s">
        <v>47</v>
      </c>
      <c r="E8" s="6" t="s">
        <v>61</v>
      </c>
      <c r="F8" s="6">
        <v>0</v>
      </c>
      <c r="G8" s="6"/>
      <c r="H8" s="6" t="s">
        <v>49</v>
      </c>
      <c r="I8" s="7" t="s">
        <v>111</v>
      </c>
    </row>
    <row r="9" spans="1:10">
      <c r="A9" s="5" t="s">
        <v>58</v>
      </c>
      <c r="B9" s="6" t="s">
        <v>51</v>
      </c>
      <c r="C9" s="6" t="s">
        <v>46</v>
      </c>
      <c r="D9" s="6" t="s">
        <v>47</v>
      </c>
      <c r="E9" s="6" t="s">
        <v>57</v>
      </c>
      <c r="F9" s="6"/>
      <c r="G9" s="6">
        <v>0.05</v>
      </c>
      <c r="H9" s="6" t="s">
        <v>55</v>
      </c>
      <c r="I9" s="7" t="s">
        <v>112</v>
      </c>
    </row>
    <row r="10" spans="1:10">
      <c r="A10" s="5"/>
      <c r="B10" s="6"/>
      <c r="C10" s="6"/>
      <c r="D10" s="6"/>
      <c r="E10" s="6"/>
      <c r="F10" s="6"/>
      <c r="G10" s="6"/>
      <c r="H10" s="6"/>
      <c r="I10" s="7"/>
    </row>
    <row r="11" spans="1:10">
      <c r="A11" s="5"/>
      <c r="B11" s="6"/>
      <c r="C11" s="6"/>
      <c r="D11" s="6"/>
      <c r="E11" s="6"/>
      <c r="F11" s="6"/>
      <c r="G11" s="6"/>
      <c r="H11" s="6"/>
      <c r="I11" s="7"/>
    </row>
    <row r="12" spans="1:10">
      <c r="A12" s="5"/>
      <c r="B12" s="6"/>
      <c r="C12" s="6"/>
      <c r="D12" s="6"/>
      <c r="E12" s="6"/>
      <c r="F12" s="6"/>
      <c r="G12" s="6"/>
      <c r="H12" s="6"/>
      <c r="I12" s="7"/>
    </row>
    <row r="13" spans="1:10">
      <c r="A13" s="5"/>
      <c r="B13" s="6"/>
      <c r="C13" s="6"/>
      <c r="D13" s="6"/>
      <c r="E13" s="6"/>
      <c r="F13" s="6"/>
      <c r="G13" s="6"/>
      <c r="H13" s="6"/>
      <c r="I13" s="7"/>
    </row>
    <row r="14" spans="1:10">
      <c r="A14" s="5"/>
      <c r="B14" s="6"/>
      <c r="C14" s="6"/>
      <c r="D14" s="6"/>
      <c r="E14" s="6"/>
      <c r="F14" s="6"/>
      <c r="G14" s="6"/>
      <c r="H14" s="6"/>
      <c r="I14" s="7"/>
    </row>
    <row r="15" spans="1:10">
      <c r="A15" s="5"/>
      <c r="B15" s="6"/>
      <c r="C15" s="6"/>
      <c r="D15" s="6"/>
      <c r="E15" s="6"/>
      <c r="F15" s="6"/>
      <c r="G15" s="6"/>
      <c r="H15" s="6"/>
      <c r="I15" s="7"/>
    </row>
    <row r="16" spans="1:10">
      <c r="A16" s="5"/>
      <c r="B16" s="6"/>
      <c r="C16" s="6"/>
      <c r="D16" s="6"/>
      <c r="E16" s="6"/>
      <c r="F16" s="6"/>
      <c r="G16" s="6"/>
      <c r="H16" s="6"/>
      <c r="I16" s="7"/>
    </row>
    <row r="17" spans="1:9">
      <c r="A17" s="5"/>
      <c r="B17" s="6"/>
      <c r="C17" s="6"/>
      <c r="D17" s="6"/>
      <c r="E17" s="6"/>
      <c r="F17" s="6"/>
      <c r="G17" s="6"/>
      <c r="H17" s="6"/>
      <c r="I17" s="7"/>
    </row>
    <row r="18" spans="1:9">
      <c r="A18" s="5"/>
      <c r="B18" s="6"/>
      <c r="C18" s="6"/>
      <c r="D18" s="6"/>
      <c r="E18" s="6"/>
      <c r="F18" s="6"/>
      <c r="G18" s="6"/>
      <c r="H18" s="6"/>
      <c r="I18" s="7"/>
    </row>
    <row r="19" spans="1:9">
      <c r="A19" s="5"/>
      <c r="B19" s="6"/>
      <c r="C19" s="6"/>
      <c r="D19" s="6"/>
      <c r="E19" s="6"/>
      <c r="F19" s="6"/>
      <c r="G19" s="6"/>
      <c r="H19" s="6"/>
      <c r="I19" s="7"/>
    </row>
    <row r="20" spans="1:9">
      <c r="A20" s="5"/>
      <c r="B20" s="6"/>
      <c r="C20" s="6"/>
      <c r="D20" s="6"/>
      <c r="E20" s="6"/>
      <c r="F20" s="6"/>
      <c r="G20" s="6"/>
      <c r="H20" s="6"/>
      <c r="I20" s="7"/>
    </row>
    <row r="21" spans="1:9">
      <c r="A21" s="5"/>
      <c r="B21" s="6"/>
      <c r="C21" s="6"/>
      <c r="D21" s="6"/>
      <c r="E21" s="6"/>
      <c r="F21" s="6"/>
      <c r="G21" s="6"/>
      <c r="H21" s="6"/>
      <c r="I21" s="7"/>
    </row>
    <row r="22" spans="1:9">
      <c r="A22" s="5"/>
      <c r="B22" s="6"/>
      <c r="C22" s="6"/>
      <c r="D22" s="6"/>
      <c r="E22" s="6"/>
      <c r="F22" s="6"/>
      <c r="G22" s="6"/>
      <c r="H22" s="6"/>
      <c r="I22" s="7"/>
    </row>
    <row r="23" spans="1:9">
      <c r="A23" s="5"/>
      <c r="B23" s="6"/>
      <c r="C23" s="6"/>
      <c r="D23" s="6"/>
      <c r="E23" s="6"/>
      <c r="F23" s="6"/>
      <c r="G23" s="6"/>
      <c r="H23" s="6"/>
      <c r="I23" s="7"/>
    </row>
    <row r="24" spans="1:9">
      <c r="A24" s="5"/>
      <c r="B24" s="6"/>
      <c r="C24" s="6"/>
      <c r="D24" s="6"/>
      <c r="E24" s="6"/>
      <c r="F24" s="6"/>
      <c r="G24" s="6"/>
      <c r="H24" s="6"/>
      <c r="I24" s="7"/>
    </row>
    <row r="25" spans="1:9">
      <c r="A25" s="5"/>
      <c r="B25" s="6"/>
      <c r="C25" s="6"/>
      <c r="D25" s="6"/>
      <c r="E25" s="6"/>
      <c r="F25" s="6"/>
      <c r="G25" s="6"/>
      <c r="H25" s="6"/>
      <c r="I25" s="7"/>
    </row>
    <row r="26" spans="1:9">
      <c r="A26" s="5"/>
      <c r="B26" s="6"/>
      <c r="C26" s="6"/>
      <c r="D26" s="6"/>
      <c r="E26" s="6"/>
      <c r="F26" s="6"/>
      <c r="G26" s="6"/>
      <c r="H26" s="6"/>
      <c r="I26" s="7"/>
    </row>
    <row r="27" spans="1:9">
      <c r="A27" s="5"/>
      <c r="B27" s="6"/>
      <c r="C27" s="6"/>
      <c r="D27" s="6"/>
      <c r="E27" s="6"/>
      <c r="F27" s="6"/>
      <c r="G27" s="6"/>
      <c r="H27" s="6"/>
      <c r="I27" s="7"/>
    </row>
    <row r="28" spans="1:9">
      <c r="A28" s="5"/>
      <c r="B28" s="6"/>
      <c r="C28" s="6"/>
      <c r="D28" s="6"/>
      <c r="E28" s="6"/>
      <c r="F28" s="6"/>
      <c r="G28" s="6"/>
      <c r="H28" s="6"/>
      <c r="I28" s="7"/>
    </row>
    <row r="29" spans="1:9">
      <c r="A29" s="5"/>
      <c r="B29" s="6"/>
      <c r="C29" s="6"/>
      <c r="D29" s="6"/>
      <c r="E29" s="6"/>
      <c r="F29" s="6"/>
      <c r="G29" s="6"/>
      <c r="H29" s="6"/>
      <c r="I29" s="7"/>
    </row>
    <row r="30" spans="1:9">
      <c r="A30" s="5"/>
      <c r="B30" s="6"/>
      <c r="C30" s="6"/>
      <c r="D30" s="6"/>
      <c r="E30" s="6"/>
      <c r="F30" s="6"/>
      <c r="G30" s="6"/>
      <c r="H30" s="6"/>
      <c r="I30" s="7"/>
    </row>
    <row r="31" spans="1:9">
      <c r="A31" s="5"/>
      <c r="B31" s="6"/>
      <c r="C31" s="6"/>
      <c r="D31" s="6"/>
      <c r="E31" s="6"/>
      <c r="F31" s="6"/>
      <c r="G31" s="6"/>
      <c r="H31" s="6"/>
      <c r="I31" s="7"/>
    </row>
    <row r="32" spans="1:9">
      <c r="A32" s="5"/>
      <c r="B32" s="6"/>
      <c r="C32" s="6"/>
      <c r="D32" s="6"/>
      <c r="E32" s="6"/>
      <c r="F32" s="6"/>
      <c r="G32" s="6"/>
      <c r="H32" s="6"/>
      <c r="I32" s="7"/>
    </row>
    <row r="33" spans="1:9">
      <c r="A33" s="5"/>
      <c r="B33" s="6"/>
      <c r="C33" s="6"/>
      <c r="D33" s="6"/>
      <c r="E33" s="6"/>
      <c r="F33" s="6"/>
      <c r="G33" s="6"/>
      <c r="H33" s="6"/>
      <c r="I33" s="7"/>
    </row>
    <row r="34" spans="1:9">
      <c r="A34" s="5"/>
      <c r="B34" s="6"/>
      <c r="C34" s="6"/>
      <c r="D34" s="6"/>
      <c r="E34" s="6"/>
      <c r="F34" s="6"/>
      <c r="G34" s="6"/>
      <c r="H34" s="6"/>
      <c r="I34" s="7"/>
    </row>
    <row r="35" spans="1:9">
      <c r="A35" s="5"/>
      <c r="B35" s="6"/>
      <c r="C35" s="6"/>
      <c r="D35" s="6"/>
      <c r="E35" s="6"/>
      <c r="F35" s="6"/>
      <c r="G35" s="6"/>
      <c r="H35" s="6"/>
      <c r="I35" s="7"/>
    </row>
    <row r="36" spans="1:9">
      <c r="A36" s="5"/>
      <c r="B36" s="6"/>
      <c r="C36" s="6"/>
      <c r="D36" s="6"/>
      <c r="E36" s="6"/>
      <c r="F36" s="6"/>
      <c r="G36" s="6"/>
      <c r="H36" s="6"/>
      <c r="I36" s="7"/>
    </row>
    <row r="37" spans="1:9">
      <c r="A37" s="5"/>
      <c r="B37" s="6"/>
      <c r="C37" s="6"/>
      <c r="D37" s="6"/>
      <c r="E37" s="6"/>
      <c r="F37" s="6"/>
      <c r="G37" s="6"/>
      <c r="H37" s="6"/>
      <c r="I37" s="7"/>
    </row>
    <row r="38" spans="1:9">
      <c r="A38" s="5"/>
      <c r="B38" s="6"/>
      <c r="C38" s="6"/>
      <c r="D38" s="6"/>
      <c r="E38" s="6"/>
      <c r="F38" s="6"/>
      <c r="G38" s="6"/>
      <c r="H38" s="6"/>
      <c r="I38" s="7"/>
    </row>
    <row r="39" spans="1:9">
      <c r="A39" s="5"/>
      <c r="B39" s="6"/>
      <c r="C39" s="6"/>
      <c r="D39" s="6"/>
      <c r="E39" s="6"/>
      <c r="F39" s="6"/>
      <c r="G39" s="6"/>
      <c r="H39" s="6"/>
      <c r="I39" s="7"/>
    </row>
    <row r="40" spans="1:9">
      <c r="A40" s="5"/>
      <c r="B40" s="6"/>
      <c r="C40" s="6"/>
      <c r="D40" s="6"/>
      <c r="E40" s="6"/>
      <c r="F40" s="6"/>
      <c r="G40" s="6"/>
      <c r="H40" s="6"/>
      <c r="I40" s="7"/>
    </row>
    <row r="41" spans="1:9">
      <c r="A41" s="5"/>
      <c r="B41" s="6"/>
      <c r="C41" s="6"/>
      <c r="D41" s="6"/>
      <c r="E41" s="6"/>
      <c r="F41" s="6"/>
      <c r="G41" s="6"/>
      <c r="H41" s="6"/>
      <c r="I41" s="7"/>
    </row>
    <row r="42" spans="1:9">
      <c r="A42" s="5"/>
      <c r="B42" s="6"/>
      <c r="C42" s="6"/>
      <c r="D42" s="6"/>
      <c r="E42" s="6"/>
      <c r="F42" s="6"/>
      <c r="G42" s="6"/>
      <c r="H42" s="6"/>
      <c r="I42" s="7"/>
    </row>
    <row r="43" spans="1:9">
      <c r="A43" s="5"/>
      <c r="B43" s="6"/>
      <c r="C43" s="6"/>
      <c r="D43" s="6"/>
      <c r="E43" s="6"/>
      <c r="F43" s="6"/>
      <c r="G43" s="6"/>
      <c r="H43" s="6"/>
      <c r="I43" s="7"/>
    </row>
    <row r="44" spans="1:9">
      <c r="A44" s="5"/>
      <c r="B44" s="6"/>
      <c r="C44" s="6"/>
      <c r="D44" s="6"/>
      <c r="E44" s="6"/>
      <c r="F44" s="6"/>
      <c r="G44" s="6"/>
      <c r="H44" s="6"/>
      <c r="I44" s="7"/>
    </row>
    <row r="45" spans="1:9">
      <c r="A45" s="5"/>
      <c r="B45" s="6"/>
      <c r="C45" s="6"/>
      <c r="D45" s="6"/>
      <c r="E45" s="6"/>
      <c r="F45" s="6"/>
      <c r="G45" s="6"/>
      <c r="H45" s="6"/>
      <c r="I45" s="7"/>
    </row>
    <row r="46" spans="1:9">
      <c r="A46" s="5"/>
      <c r="B46" s="6"/>
      <c r="C46" s="6"/>
      <c r="D46" s="6"/>
      <c r="E46" s="6"/>
      <c r="F46" s="6"/>
      <c r="G46" s="6"/>
      <c r="H46" s="6"/>
      <c r="I46" s="7"/>
    </row>
    <row r="47" spans="1:9">
      <c r="A47" s="5"/>
      <c r="B47" s="6"/>
      <c r="C47" s="6"/>
      <c r="D47" s="6"/>
      <c r="E47" s="6"/>
      <c r="F47" s="6"/>
      <c r="G47" s="6"/>
      <c r="H47" s="6"/>
      <c r="I47" s="7"/>
    </row>
    <row r="48" spans="1:9">
      <c r="A48" s="5"/>
      <c r="B48" s="6"/>
      <c r="C48" s="6"/>
      <c r="D48" s="6"/>
      <c r="E48" s="6"/>
      <c r="F48" s="6"/>
      <c r="G48" s="6"/>
      <c r="H48" s="6"/>
      <c r="I48" s="7"/>
    </row>
    <row r="49" spans="1:9">
      <c r="A49" s="5"/>
      <c r="B49" s="6"/>
      <c r="C49" s="6"/>
      <c r="D49" s="6"/>
      <c r="E49" s="6"/>
      <c r="F49" s="6"/>
      <c r="G49" s="6"/>
      <c r="H49" s="6"/>
      <c r="I49" s="7"/>
    </row>
    <row r="50" spans="1:9">
      <c r="A50" s="5"/>
      <c r="B50" s="6"/>
      <c r="C50" s="6"/>
      <c r="D50" s="6"/>
      <c r="E50" s="6"/>
      <c r="F50" s="6"/>
      <c r="G50" s="6"/>
      <c r="H50" s="6"/>
      <c r="I50" s="7"/>
    </row>
    <row r="51" spans="1:9">
      <c r="A51" s="5"/>
      <c r="B51" s="6"/>
      <c r="C51" s="6"/>
      <c r="D51" s="6"/>
      <c r="E51" s="6"/>
      <c r="F51" s="6"/>
      <c r="G51" s="6"/>
      <c r="H51" s="6"/>
      <c r="I51" s="7"/>
    </row>
    <row r="52" spans="1:9">
      <c r="A52" s="5"/>
      <c r="B52" s="6"/>
      <c r="C52" s="6"/>
      <c r="D52" s="6"/>
      <c r="E52" s="6"/>
      <c r="F52" s="6"/>
      <c r="G52" s="6"/>
      <c r="H52" s="6"/>
      <c r="I52" s="7"/>
    </row>
    <row r="53" spans="1:9">
      <c r="A53" s="5"/>
      <c r="B53" s="6"/>
      <c r="C53" s="6"/>
      <c r="D53" s="6"/>
      <c r="E53" s="6"/>
      <c r="F53" s="6"/>
      <c r="G53" s="6"/>
      <c r="H53" s="6"/>
      <c r="I53" s="7"/>
    </row>
    <row r="54" spans="1:9">
      <c r="A54" s="5"/>
      <c r="B54" s="6"/>
      <c r="C54" s="6"/>
      <c r="D54" s="6"/>
      <c r="E54" s="6"/>
      <c r="F54" s="6"/>
      <c r="G54" s="6"/>
      <c r="H54" s="6"/>
      <c r="I54" s="7"/>
    </row>
    <row r="55" spans="1:9">
      <c r="A55" s="5"/>
      <c r="B55" s="6"/>
      <c r="C55" s="6"/>
      <c r="D55" s="6"/>
      <c r="E55" s="6"/>
      <c r="F55" s="6"/>
      <c r="G55" s="6"/>
      <c r="H55" s="6"/>
      <c r="I55" s="7"/>
    </row>
    <row r="56" spans="1:9">
      <c r="A56" s="5"/>
      <c r="B56" s="6"/>
      <c r="C56" s="6"/>
      <c r="D56" s="6"/>
      <c r="E56" s="6"/>
      <c r="F56" s="6"/>
      <c r="G56" s="6"/>
      <c r="H56" s="6"/>
      <c r="I56" s="7"/>
    </row>
    <row r="57" spans="1:9">
      <c r="A57" s="5"/>
      <c r="B57" s="6"/>
      <c r="C57" s="6"/>
      <c r="D57" s="6"/>
      <c r="E57" s="6"/>
      <c r="F57" s="6"/>
      <c r="G57" s="6"/>
      <c r="H57" s="6"/>
      <c r="I57" s="7"/>
    </row>
    <row r="58" spans="1:9">
      <c r="A58" s="5"/>
      <c r="B58" s="6"/>
      <c r="C58" s="6"/>
      <c r="D58" s="6"/>
      <c r="E58" s="6"/>
      <c r="F58" s="6"/>
      <c r="G58" s="6"/>
      <c r="H58" s="6"/>
      <c r="I58" s="7"/>
    </row>
    <row r="59" spans="1:9">
      <c r="A59" s="5"/>
      <c r="B59" s="6"/>
      <c r="C59" s="6"/>
      <c r="D59" s="6"/>
      <c r="E59" s="6"/>
      <c r="F59" s="6"/>
      <c r="G59" s="6"/>
      <c r="H59" s="6"/>
      <c r="I59" s="7"/>
    </row>
    <row r="60" spans="1:9">
      <c r="A60" s="5"/>
      <c r="B60" s="6"/>
      <c r="C60" s="6"/>
      <c r="D60" s="6"/>
      <c r="E60" s="6"/>
      <c r="F60" s="6"/>
      <c r="G60" s="6"/>
      <c r="H60" s="6"/>
      <c r="I60" s="7"/>
    </row>
    <row r="61" spans="1:9">
      <c r="A61" s="5"/>
      <c r="B61" s="6"/>
      <c r="C61" s="6"/>
      <c r="D61" s="6"/>
      <c r="E61" s="6"/>
      <c r="F61" s="6"/>
      <c r="G61" s="6"/>
      <c r="H61" s="6"/>
      <c r="I61" s="7"/>
    </row>
    <row r="62" spans="1:9">
      <c r="A62" s="5"/>
      <c r="B62" s="6"/>
      <c r="C62" s="6"/>
      <c r="D62" s="6"/>
      <c r="E62" s="6"/>
      <c r="F62" s="6"/>
      <c r="G62" s="6"/>
      <c r="H62" s="6"/>
      <c r="I62" s="7"/>
    </row>
    <row r="63" spans="1:9">
      <c r="A63" s="5"/>
      <c r="B63" s="6"/>
      <c r="C63" s="6"/>
      <c r="D63" s="6"/>
      <c r="E63" s="6"/>
      <c r="F63" s="6"/>
      <c r="G63" s="6"/>
      <c r="H63" s="6"/>
      <c r="I63" s="7"/>
    </row>
    <row r="64" spans="1:9">
      <c r="A64" s="5"/>
      <c r="B64" s="6"/>
      <c r="C64" s="6"/>
      <c r="D64" s="6"/>
      <c r="E64" s="6"/>
      <c r="F64" s="6"/>
      <c r="G64" s="6"/>
      <c r="H64" s="6"/>
      <c r="I64" s="7"/>
    </row>
    <row r="65" spans="1:9">
      <c r="A65" s="5"/>
      <c r="B65" s="6"/>
      <c r="C65" s="6"/>
      <c r="D65" s="6"/>
      <c r="E65" s="6"/>
      <c r="F65" s="6"/>
      <c r="G65" s="6"/>
      <c r="H65" s="6"/>
      <c r="I65" s="7"/>
    </row>
    <row r="66" spans="1:9">
      <c r="A66" s="5"/>
      <c r="B66" s="6"/>
      <c r="C66" s="6"/>
      <c r="D66" s="6"/>
      <c r="E66" s="6"/>
      <c r="F66" s="6"/>
      <c r="G66" s="6"/>
      <c r="H66" s="6"/>
      <c r="I66" s="7"/>
    </row>
    <row r="67" spans="1:9">
      <c r="A67" s="5"/>
      <c r="B67" s="6"/>
      <c r="C67" s="6"/>
      <c r="D67" s="6"/>
      <c r="E67" s="6"/>
      <c r="F67" s="6"/>
      <c r="G67" s="6"/>
      <c r="H67" s="6"/>
      <c r="I67" s="7"/>
    </row>
    <row r="68" spans="1:9">
      <c r="A68" s="5"/>
      <c r="B68" s="6"/>
      <c r="C68" s="6"/>
      <c r="D68" s="6"/>
      <c r="E68" s="6"/>
      <c r="F68" s="6"/>
      <c r="G68" s="6"/>
      <c r="H68" s="6"/>
      <c r="I68" s="7"/>
    </row>
    <row r="69" spans="1:9">
      <c r="A69" s="5"/>
      <c r="B69" s="6"/>
      <c r="C69" s="6"/>
      <c r="D69" s="6"/>
      <c r="E69" s="6"/>
      <c r="F69" s="6"/>
      <c r="G69" s="6"/>
      <c r="H69" s="6"/>
      <c r="I69" s="7"/>
    </row>
    <row r="70" spans="1:9">
      <c r="A70" s="5"/>
      <c r="B70" s="6"/>
      <c r="C70" s="6"/>
      <c r="D70" s="6"/>
      <c r="E70" s="6"/>
      <c r="F70" s="6"/>
      <c r="G70" s="6"/>
      <c r="H70" s="6"/>
      <c r="I70" s="7"/>
    </row>
    <row r="71" spans="1:9">
      <c r="A71" s="5"/>
      <c r="B71" s="6"/>
      <c r="C71" s="6"/>
      <c r="D71" s="6"/>
      <c r="E71" s="6"/>
      <c r="F71" s="6"/>
      <c r="G71" s="6"/>
      <c r="H71" s="6"/>
      <c r="I71" s="7"/>
    </row>
    <row r="72" spans="1:9">
      <c r="A72" s="5"/>
      <c r="B72" s="6"/>
      <c r="C72" s="6"/>
      <c r="D72" s="6"/>
      <c r="E72" s="6"/>
      <c r="F72" s="6"/>
      <c r="G72" s="6"/>
      <c r="H72" s="6"/>
      <c r="I72" s="7"/>
    </row>
    <row r="73" spans="1:9">
      <c r="A73" s="5"/>
      <c r="B73" s="6"/>
      <c r="C73" s="6"/>
      <c r="D73" s="6"/>
      <c r="E73" s="6"/>
      <c r="F73" s="6"/>
      <c r="G73" s="6"/>
      <c r="H73" s="6"/>
      <c r="I73" s="7"/>
    </row>
    <row r="74" spans="1:9">
      <c r="A74" s="5"/>
      <c r="B74" s="6"/>
      <c r="C74" s="6"/>
      <c r="D74" s="6"/>
      <c r="E74" s="6"/>
      <c r="F74" s="6"/>
      <c r="G74" s="6"/>
      <c r="H74" s="6"/>
      <c r="I74" s="7"/>
    </row>
    <row r="75" spans="1:9">
      <c r="A75" s="5"/>
      <c r="B75" s="6"/>
      <c r="C75" s="6"/>
      <c r="D75" s="6"/>
      <c r="E75" s="6"/>
      <c r="F75" s="6"/>
      <c r="G75" s="6"/>
      <c r="H75" s="6"/>
      <c r="I75" s="7"/>
    </row>
    <row r="76" spans="1:9">
      <c r="A76" s="5"/>
      <c r="B76" s="6"/>
      <c r="C76" s="6"/>
      <c r="D76" s="6"/>
      <c r="E76" s="6"/>
      <c r="F76" s="6"/>
      <c r="G76" s="6"/>
      <c r="H76" s="6"/>
      <c r="I76" s="7"/>
    </row>
    <row r="77" spans="1:9">
      <c r="A77" s="5"/>
      <c r="B77" s="6"/>
      <c r="C77" s="6"/>
      <c r="D77" s="6"/>
      <c r="E77" s="6"/>
      <c r="F77" s="6"/>
      <c r="G77" s="6"/>
      <c r="H77" s="6"/>
      <c r="I77" s="7"/>
    </row>
    <row r="78" spans="1:9">
      <c r="A78" s="5"/>
      <c r="B78" s="6"/>
      <c r="C78" s="6"/>
      <c r="D78" s="6"/>
      <c r="E78" s="6"/>
      <c r="F78" s="6"/>
      <c r="G78" s="6"/>
      <c r="H78" s="6"/>
      <c r="I78" s="7"/>
    </row>
    <row r="79" spans="1:9">
      <c r="A79" s="5"/>
      <c r="B79" s="6"/>
      <c r="C79" s="6"/>
      <c r="D79" s="6"/>
      <c r="E79" s="6"/>
      <c r="F79" s="6"/>
      <c r="G79" s="6"/>
      <c r="H79" s="6"/>
      <c r="I79" s="7"/>
    </row>
    <row r="80" spans="1:9">
      <c r="A80" s="5"/>
      <c r="B80" s="6"/>
      <c r="C80" s="6"/>
      <c r="D80" s="6"/>
      <c r="E80" s="6"/>
      <c r="F80" s="6"/>
      <c r="G80" s="6"/>
      <c r="H80" s="6"/>
      <c r="I80" s="7"/>
    </row>
    <row r="81" spans="1:9">
      <c r="A81" s="5"/>
      <c r="B81" s="6"/>
      <c r="C81" s="6"/>
      <c r="D81" s="6"/>
      <c r="E81" s="6"/>
      <c r="F81" s="6"/>
      <c r="G81" s="6"/>
      <c r="H81" s="6"/>
      <c r="I81" s="7"/>
    </row>
    <row r="82" spans="1:9">
      <c r="A82" s="5"/>
      <c r="B82" s="6"/>
      <c r="C82" s="6"/>
      <c r="D82" s="6"/>
      <c r="E82" s="6"/>
      <c r="F82" s="6"/>
      <c r="G82" s="6"/>
      <c r="H82" s="6"/>
      <c r="I82" s="7"/>
    </row>
    <row r="83" spans="1:9">
      <c r="A83" s="5"/>
      <c r="B83" s="6"/>
      <c r="C83" s="6"/>
      <c r="D83" s="6"/>
      <c r="E83" s="6"/>
      <c r="F83" s="6"/>
      <c r="G83" s="6"/>
      <c r="H83" s="6"/>
      <c r="I83" s="7"/>
    </row>
    <row r="84" spans="1:9">
      <c r="A84" s="5"/>
      <c r="B84" s="6"/>
      <c r="C84" s="6"/>
      <c r="D84" s="6"/>
      <c r="E84" s="6"/>
      <c r="F84" s="6"/>
      <c r="G84" s="6"/>
      <c r="H84" s="6"/>
      <c r="I84" s="7"/>
    </row>
    <row r="85" spans="1:9">
      <c r="A85" s="5"/>
      <c r="B85" s="6"/>
      <c r="C85" s="6"/>
      <c r="D85" s="6"/>
      <c r="E85" s="6"/>
      <c r="F85" s="6"/>
      <c r="G85" s="6"/>
      <c r="H85" s="6"/>
      <c r="I85" s="7"/>
    </row>
    <row r="86" spans="1:9">
      <c r="A86" s="5"/>
      <c r="B86" s="6"/>
      <c r="C86" s="6"/>
      <c r="D86" s="6"/>
      <c r="E86" s="6"/>
      <c r="F86" s="6"/>
      <c r="G86" s="6"/>
      <c r="H86" s="6"/>
      <c r="I86" s="7"/>
    </row>
    <row r="87" spans="1:9">
      <c r="A87" s="5"/>
      <c r="B87" s="6"/>
      <c r="C87" s="6"/>
      <c r="D87" s="6"/>
      <c r="E87" s="6"/>
      <c r="F87" s="6"/>
      <c r="G87" s="6"/>
      <c r="H87" s="6"/>
      <c r="I87" s="7"/>
    </row>
    <row r="88" spans="1:9">
      <c r="A88" s="5"/>
      <c r="B88" s="6"/>
      <c r="C88" s="6"/>
      <c r="D88" s="6"/>
      <c r="E88" s="6"/>
      <c r="F88" s="6"/>
      <c r="G88" s="6"/>
      <c r="H88" s="6"/>
      <c r="I88" s="7"/>
    </row>
    <row r="89" spans="1:9">
      <c r="A89" s="5"/>
      <c r="B89" s="6"/>
      <c r="C89" s="6"/>
      <c r="D89" s="6"/>
      <c r="E89" s="6"/>
      <c r="F89" s="6"/>
      <c r="G89" s="6"/>
      <c r="H89" s="6"/>
      <c r="I89" s="7"/>
    </row>
    <row r="90" spans="1:9">
      <c r="A90" s="5"/>
      <c r="B90" s="6"/>
      <c r="C90" s="6"/>
      <c r="D90" s="6"/>
      <c r="E90" s="6"/>
      <c r="F90" s="6"/>
      <c r="G90" s="6"/>
      <c r="H90" s="6"/>
      <c r="I90" s="7"/>
    </row>
    <row r="91" spans="1:9">
      <c r="A91" s="5"/>
      <c r="B91" s="6"/>
      <c r="C91" s="6"/>
      <c r="D91" s="6"/>
      <c r="E91" s="6"/>
      <c r="F91" s="6"/>
      <c r="G91" s="6"/>
      <c r="H91" s="6"/>
      <c r="I91" s="7"/>
    </row>
    <row r="92" spans="1:9">
      <c r="A92" s="5"/>
      <c r="B92" s="6"/>
      <c r="C92" s="6"/>
      <c r="D92" s="6"/>
      <c r="E92" s="6"/>
      <c r="F92" s="6"/>
      <c r="G92" s="6"/>
      <c r="H92" s="6"/>
      <c r="I92" s="7"/>
    </row>
    <row r="93" spans="1:9">
      <c r="A93" s="5"/>
      <c r="B93" s="6"/>
      <c r="C93" s="6"/>
      <c r="D93" s="6"/>
      <c r="E93" s="6"/>
      <c r="F93" s="6"/>
      <c r="G93" s="6"/>
      <c r="H93" s="6"/>
      <c r="I93" s="7"/>
    </row>
    <row r="94" spans="1:9">
      <c r="A94" s="5"/>
      <c r="B94" s="6"/>
      <c r="C94" s="6"/>
      <c r="D94" s="6"/>
      <c r="E94" s="6"/>
      <c r="F94" s="6"/>
      <c r="G94" s="6"/>
      <c r="H94" s="6"/>
      <c r="I94" s="7"/>
    </row>
    <row r="95" spans="1:9">
      <c r="A95" s="5"/>
      <c r="B95" s="6"/>
      <c r="C95" s="6"/>
      <c r="D95" s="6"/>
      <c r="E95" s="6"/>
      <c r="F95" s="6"/>
      <c r="G95" s="6"/>
      <c r="H95" s="6"/>
      <c r="I95" s="7"/>
    </row>
    <row r="96" spans="1:9">
      <c r="A96" s="5"/>
      <c r="B96" s="6"/>
      <c r="C96" s="6"/>
      <c r="D96" s="6"/>
      <c r="E96" s="6"/>
      <c r="F96" s="6"/>
      <c r="G96" s="6"/>
      <c r="H96" s="6"/>
      <c r="I96" s="7"/>
    </row>
    <row r="97" spans="1:9">
      <c r="A97" s="5"/>
      <c r="B97" s="6"/>
      <c r="C97" s="6"/>
      <c r="D97" s="6"/>
      <c r="E97" s="6"/>
      <c r="F97" s="6"/>
      <c r="G97" s="6"/>
      <c r="H97" s="6"/>
      <c r="I97" s="7"/>
    </row>
    <row r="98" spans="1:9">
      <c r="A98" s="5"/>
      <c r="B98" s="6"/>
      <c r="C98" s="6"/>
      <c r="D98" s="6"/>
      <c r="E98" s="6"/>
      <c r="F98" s="6"/>
      <c r="G98" s="6"/>
      <c r="H98" s="6"/>
      <c r="I98" s="7"/>
    </row>
    <row r="99" spans="1:9">
      <c r="A99" s="5"/>
      <c r="B99" s="6"/>
      <c r="C99" s="6"/>
      <c r="D99" s="6"/>
      <c r="E99" s="6"/>
      <c r="F99" s="6"/>
      <c r="G99" s="6"/>
      <c r="H99" s="6"/>
      <c r="I99" s="7"/>
    </row>
    <row r="100" spans="1:9">
      <c r="A100" s="5"/>
      <c r="B100" s="6"/>
      <c r="C100" s="6"/>
      <c r="D100" s="6"/>
      <c r="E100" s="6"/>
      <c r="F100" s="6"/>
      <c r="G100" s="6"/>
      <c r="H100" s="6"/>
      <c r="I100" s="7"/>
    </row>
    <row r="101" spans="1:9">
      <c r="A101" s="5"/>
      <c r="B101" s="6"/>
      <c r="C101" s="6"/>
      <c r="D101" s="6"/>
      <c r="E101" s="6"/>
      <c r="F101" s="6"/>
      <c r="G101" s="6"/>
      <c r="H101" s="6"/>
      <c r="I101" s="7"/>
    </row>
    <row r="102" spans="1:9">
      <c r="A102" s="5"/>
      <c r="B102" s="6"/>
      <c r="C102" s="6"/>
      <c r="D102" s="6"/>
      <c r="E102" s="6"/>
      <c r="F102" s="6"/>
      <c r="G102" s="6"/>
      <c r="H102" s="6"/>
      <c r="I102" s="7"/>
    </row>
    <row r="103" spans="1:9">
      <c r="A103" s="5"/>
      <c r="B103" s="6"/>
      <c r="C103" s="6"/>
      <c r="D103" s="6"/>
      <c r="E103" s="6"/>
      <c r="F103" s="6"/>
      <c r="G103" s="6"/>
      <c r="H103" s="6"/>
      <c r="I103" s="7"/>
    </row>
    <row r="104" spans="1:9">
      <c r="A104" s="5"/>
      <c r="B104" s="6"/>
      <c r="C104" s="6"/>
      <c r="D104" s="6"/>
      <c r="E104" s="6"/>
      <c r="F104" s="6"/>
      <c r="G104" s="6"/>
      <c r="H104" s="6"/>
      <c r="I104" s="7"/>
    </row>
    <row r="105" spans="1:9">
      <c r="A105" s="5"/>
      <c r="B105" s="6"/>
      <c r="C105" s="6"/>
      <c r="D105" s="6"/>
      <c r="E105" s="6"/>
      <c r="F105" s="6"/>
      <c r="G105" s="6"/>
      <c r="H105" s="6"/>
      <c r="I105" s="7"/>
    </row>
    <row r="106" spans="1:9">
      <c r="A106" s="5"/>
      <c r="B106" s="6"/>
      <c r="C106" s="6"/>
      <c r="D106" s="6"/>
      <c r="E106" s="6"/>
      <c r="F106" s="6"/>
      <c r="G106" s="6"/>
      <c r="H106" s="6"/>
      <c r="I106" s="7"/>
    </row>
    <row r="107" spans="1:9">
      <c r="A107" s="5"/>
      <c r="B107" s="6"/>
      <c r="C107" s="6"/>
      <c r="D107" s="6"/>
      <c r="E107" s="6"/>
      <c r="F107" s="6"/>
      <c r="G107" s="6"/>
      <c r="H107" s="6"/>
      <c r="I107" s="7"/>
    </row>
    <row r="108" spans="1:9">
      <c r="A108" s="5"/>
      <c r="B108" s="6"/>
      <c r="C108" s="6"/>
      <c r="D108" s="6"/>
      <c r="E108" s="6"/>
      <c r="F108" s="6"/>
      <c r="G108" s="6"/>
      <c r="H108" s="6"/>
      <c r="I108" s="7"/>
    </row>
    <row r="109" spans="1:9">
      <c r="A109" s="5"/>
      <c r="B109" s="6"/>
      <c r="C109" s="6"/>
      <c r="D109" s="6"/>
      <c r="E109" s="6"/>
      <c r="F109" s="6"/>
      <c r="G109" s="6"/>
      <c r="H109" s="6"/>
      <c r="I109" s="7"/>
    </row>
    <row r="110" spans="1:9">
      <c r="A110" s="5"/>
      <c r="B110" s="6"/>
      <c r="C110" s="6"/>
      <c r="D110" s="6"/>
      <c r="E110" s="6"/>
      <c r="F110" s="6"/>
      <c r="G110" s="6"/>
      <c r="H110" s="6"/>
      <c r="I110" s="7"/>
    </row>
    <row r="111" spans="1:9">
      <c r="A111" s="5"/>
      <c r="B111" s="6"/>
      <c r="C111" s="6"/>
      <c r="D111" s="6"/>
      <c r="E111" s="6"/>
      <c r="F111" s="6"/>
      <c r="G111" s="6"/>
      <c r="H111" s="6"/>
      <c r="I111" s="7"/>
    </row>
    <row r="112" spans="1:9">
      <c r="A112" s="5"/>
      <c r="B112" s="6"/>
      <c r="C112" s="6"/>
      <c r="D112" s="6"/>
      <c r="E112" s="6"/>
      <c r="F112" s="6"/>
      <c r="G112" s="6"/>
      <c r="H112" s="6"/>
      <c r="I112" s="7"/>
    </row>
    <row r="113" spans="1:9">
      <c r="A113" s="5"/>
      <c r="B113" s="6"/>
      <c r="C113" s="6"/>
      <c r="D113" s="6"/>
      <c r="E113" s="6"/>
      <c r="F113" s="6"/>
      <c r="G113" s="6"/>
      <c r="H113" s="6"/>
      <c r="I113" s="7"/>
    </row>
    <row r="114" spans="1:9">
      <c r="A114" s="5"/>
      <c r="B114" s="6"/>
      <c r="C114" s="6"/>
      <c r="D114" s="6"/>
      <c r="E114" s="6"/>
      <c r="F114" s="6"/>
      <c r="G114" s="6"/>
      <c r="H114" s="6"/>
      <c r="I114" s="7"/>
    </row>
    <row r="115" spans="1:9">
      <c r="A115" s="5"/>
      <c r="B115" s="6"/>
      <c r="C115" s="6"/>
      <c r="D115" s="6"/>
      <c r="E115" s="6"/>
      <c r="F115" s="6"/>
      <c r="G115" s="6"/>
      <c r="H115" s="6"/>
      <c r="I115" s="7"/>
    </row>
    <row r="116" spans="1:9">
      <c r="A116" s="5"/>
      <c r="B116" s="6"/>
      <c r="C116" s="6"/>
      <c r="D116" s="6"/>
      <c r="E116" s="6"/>
      <c r="F116" s="6"/>
      <c r="G116" s="6"/>
      <c r="H116" s="6"/>
      <c r="I116" s="7"/>
    </row>
    <row r="117" spans="1:9">
      <c r="A117" s="5"/>
      <c r="B117" s="6"/>
      <c r="C117" s="6"/>
      <c r="D117" s="6"/>
      <c r="E117" s="6"/>
      <c r="F117" s="6"/>
      <c r="G117" s="6"/>
      <c r="H117" s="6"/>
      <c r="I117" s="7"/>
    </row>
    <row r="118" spans="1:9">
      <c r="A118" s="5"/>
      <c r="B118" s="6"/>
      <c r="C118" s="6"/>
      <c r="D118" s="6"/>
      <c r="E118" s="6"/>
      <c r="F118" s="6"/>
      <c r="G118" s="6"/>
      <c r="H118" s="6"/>
      <c r="I118" s="7"/>
    </row>
    <row r="119" spans="1:9">
      <c r="A119" s="5"/>
      <c r="B119" s="6"/>
      <c r="C119" s="6"/>
      <c r="D119" s="6"/>
      <c r="E119" s="6"/>
      <c r="F119" s="6"/>
      <c r="G119" s="6"/>
      <c r="H119" s="6"/>
      <c r="I119" s="7"/>
    </row>
    <row r="120" spans="1:9">
      <c r="A120" s="5"/>
      <c r="B120" s="6"/>
      <c r="C120" s="6"/>
      <c r="D120" s="6"/>
      <c r="E120" s="6"/>
      <c r="F120" s="6"/>
      <c r="G120" s="6"/>
      <c r="H120" s="6"/>
      <c r="I120" s="7"/>
    </row>
    <row r="121" spans="1:9">
      <c r="A121" s="5"/>
      <c r="B121" s="6"/>
      <c r="C121" s="6"/>
      <c r="D121" s="6"/>
      <c r="E121" s="6"/>
      <c r="F121" s="6"/>
      <c r="G121" s="6"/>
      <c r="H121" s="6"/>
      <c r="I121" s="7"/>
    </row>
    <row r="122" spans="1:9">
      <c r="A122" s="5"/>
      <c r="B122" s="6"/>
      <c r="C122" s="6"/>
      <c r="D122" s="6"/>
      <c r="E122" s="6"/>
      <c r="F122" s="6"/>
      <c r="G122" s="6"/>
      <c r="H122" s="6"/>
      <c r="I122" s="7"/>
    </row>
    <row r="123" spans="1:9">
      <c r="A123" s="5"/>
      <c r="B123" s="6"/>
      <c r="C123" s="6"/>
      <c r="D123" s="6"/>
      <c r="E123" s="6"/>
      <c r="F123" s="6"/>
      <c r="G123" s="6"/>
      <c r="H123" s="6"/>
      <c r="I123" s="7"/>
    </row>
    <row r="124" spans="1:9">
      <c r="A124" s="5"/>
      <c r="B124" s="6"/>
      <c r="C124" s="6"/>
      <c r="D124" s="6"/>
      <c r="E124" s="6"/>
      <c r="F124" s="6"/>
      <c r="G124" s="6"/>
      <c r="H124" s="6"/>
      <c r="I124" s="7"/>
    </row>
    <row r="125" spans="1:9">
      <c r="A125" s="5"/>
      <c r="B125" s="6"/>
      <c r="C125" s="6"/>
      <c r="D125" s="6"/>
      <c r="E125" s="6"/>
      <c r="F125" s="6"/>
      <c r="G125" s="6"/>
      <c r="H125" s="6"/>
      <c r="I125" s="7"/>
    </row>
    <row r="126" spans="1:9">
      <c r="A126" s="5"/>
      <c r="B126" s="6"/>
      <c r="C126" s="6"/>
      <c r="D126" s="6"/>
      <c r="E126" s="6"/>
      <c r="F126" s="6"/>
      <c r="G126" s="6"/>
      <c r="H126" s="6"/>
      <c r="I126" s="7"/>
    </row>
    <row r="127" spans="1:9">
      <c r="A127" s="5"/>
      <c r="B127" s="6"/>
      <c r="C127" s="6"/>
      <c r="D127" s="6"/>
      <c r="E127" s="6"/>
      <c r="F127" s="6"/>
      <c r="G127" s="6"/>
      <c r="H127" s="6"/>
      <c r="I127" s="7"/>
    </row>
    <row r="128" spans="1:9">
      <c r="A128" s="5"/>
      <c r="B128" s="6"/>
      <c r="C128" s="6"/>
      <c r="D128" s="6"/>
      <c r="E128" s="6"/>
      <c r="F128" s="6"/>
      <c r="G128" s="6"/>
      <c r="H128" s="6"/>
      <c r="I128" s="7"/>
    </row>
    <row r="129" spans="1:9">
      <c r="A129" s="5"/>
      <c r="B129" s="6"/>
      <c r="C129" s="6"/>
      <c r="D129" s="6"/>
      <c r="E129" s="6"/>
      <c r="F129" s="6"/>
      <c r="G129" s="6"/>
      <c r="H129" s="6"/>
      <c r="I129" s="7"/>
    </row>
    <row r="130" spans="1:9">
      <c r="A130" s="5"/>
      <c r="B130" s="6"/>
      <c r="C130" s="6"/>
      <c r="D130" s="6"/>
      <c r="E130" s="6"/>
      <c r="F130" s="6"/>
      <c r="G130" s="6"/>
      <c r="H130" s="6"/>
      <c r="I130" s="7"/>
    </row>
    <row r="131" spans="1:9">
      <c r="A131" s="5"/>
      <c r="B131" s="6"/>
      <c r="C131" s="6"/>
      <c r="D131" s="6"/>
      <c r="E131" s="6"/>
      <c r="F131" s="6"/>
      <c r="G131" s="6"/>
      <c r="H131" s="6"/>
      <c r="I131" s="7"/>
    </row>
    <row r="132" spans="1:9">
      <c r="A132" s="5"/>
      <c r="B132" s="6"/>
      <c r="C132" s="6"/>
      <c r="D132" s="6"/>
      <c r="E132" s="6"/>
      <c r="F132" s="6"/>
      <c r="G132" s="6"/>
      <c r="H132" s="6"/>
      <c r="I132" s="7"/>
    </row>
    <row r="133" spans="1:9">
      <c r="A133" s="5"/>
      <c r="B133" s="6"/>
      <c r="C133" s="6"/>
      <c r="D133" s="6"/>
      <c r="E133" s="6"/>
      <c r="F133" s="6"/>
      <c r="G133" s="6"/>
      <c r="H133" s="6"/>
      <c r="I133" s="7"/>
    </row>
    <row r="134" spans="1:9">
      <c r="A134" s="5"/>
      <c r="B134" s="6"/>
      <c r="C134" s="6"/>
      <c r="D134" s="6"/>
      <c r="E134" s="6"/>
      <c r="F134" s="6"/>
      <c r="G134" s="6"/>
      <c r="H134" s="6"/>
      <c r="I134" s="7"/>
    </row>
    <row r="135" spans="1:9">
      <c r="A135" s="5"/>
      <c r="B135" s="6"/>
      <c r="C135" s="6"/>
      <c r="D135" s="6"/>
      <c r="E135" s="6"/>
      <c r="F135" s="6"/>
      <c r="G135" s="6"/>
      <c r="H135" s="6"/>
      <c r="I135" s="7"/>
    </row>
    <row r="136" spans="1:9">
      <c r="A136" s="5"/>
      <c r="B136" s="6"/>
      <c r="C136" s="6"/>
      <c r="D136" s="6"/>
      <c r="E136" s="6"/>
      <c r="F136" s="6"/>
      <c r="G136" s="6"/>
      <c r="H136" s="6"/>
      <c r="I136" s="7"/>
    </row>
    <row r="137" spans="1:9">
      <c r="A137" s="5"/>
      <c r="B137" s="6"/>
      <c r="C137" s="6"/>
      <c r="D137" s="6"/>
      <c r="E137" s="6"/>
      <c r="F137" s="6"/>
      <c r="G137" s="6"/>
      <c r="H137" s="6"/>
      <c r="I137" s="7"/>
    </row>
    <row r="138" spans="1:9">
      <c r="A138" s="5"/>
      <c r="B138" s="6"/>
      <c r="C138" s="6"/>
      <c r="D138" s="6"/>
      <c r="E138" s="6"/>
      <c r="F138" s="6"/>
      <c r="G138" s="6"/>
      <c r="H138" s="6"/>
      <c r="I138" s="7"/>
    </row>
    <row r="139" spans="1:9">
      <c r="A139" s="5"/>
      <c r="B139" s="6"/>
      <c r="C139" s="6"/>
      <c r="D139" s="6"/>
      <c r="E139" s="6"/>
      <c r="F139" s="6"/>
      <c r="G139" s="6"/>
      <c r="H139" s="6"/>
      <c r="I139" s="7"/>
    </row>
    <row r="140" spans="1:9">
      <c r="A140" s="5"/>
      <c r="B140" s="6"/>
      <c r="C140" s="6"/>
      <c r="D140" s="6"/>
      <c r="E140" s="6"/>
      <c r="F140" s="6"/>
      <c r="G140" s="6"/>
      <c r="H140" s="6"/>
      <c r="I140" s="7"/>
    </row>
    <row r="141" spans="1:9">
      <c r="A141" s="5"/>
      <c r="B141" s="6"/>
      <c r="C141" s="6"/>
      <c r="D141" s="6"/>
      <c r="E141" s="6"/>
      <c r="F141" s="6"/>
      <c r="G141" s="6"/>
      <c r="H141" s="6"/>
      <c r="I141" s="7"/>
    </row>
    <row r="142" spans="1:9">
      <c r="A142" s="5"/>
      <c r="B142" s="6"/>
      <c r="C142" s="6"/>
      <c r="D142" s="6"/>
      <c r="E142" s="6"/>
      <c r="F142" s="6"/>
      <c r="G142" s="6"/>
      <c r="H142" s="6"/>
      <c r="I142" s="7"/>
    </row>
    <row r="143" spans="1:9">
      <c r="A143" s="5"/>
      <c r="B143" s="6"/>
      <c r="C143" s="6"/>
      <c r="D143" s="6"/>
      <c r="E143" s="6"/>
      <c r="F143" s="6"/>
      <c r="G143" s="6"/>
      <c r="H143" s="6"/>
      <c r="I143" s="7"/>
    </row>
    <row r="144" spans="1:9">
      <c r="A144" s="5"/>
      <c r="B144" s="6"/>
      <c r="C144" s="6"/>
      <c r="D144" s="6"/>
      <c r="E144" s="6"/>
      <c r="F144" s="6"/>
      <c r="G144" s="6"/>
      <c r="H144" s="6"/>
      <c r="I144" s="7"/>
    </row>
    <row r="145" spans="1:9">
      <c r="A145" s="5"/>
      <c r="B145" s="6"/>
      <c r="C145" s="6"/>
      <c r="D145" s="6"/>
      <c r="E145" s="6"/>
      <c r="F145" s="6"/>
      <c r="G145" s="6"/>
      <c r="H145" s="6"/>
      <c r="I145" s="7"/>
    </row>
    <row r="146" spans="1:9">
      <c r="A146" s="5"/>
      <c r="B146" s="6"/>
      <c r="C146" s="6"/>
      <c r="D146" s="6"/>
      <c r="E146" s="6"/>
      <c r="F146" s="6"/>
      <c r="G146" s="6"/>
      <c r="H146" s="6"/>
      <c r="I146" s="7"/>
    </row>
    <row r="147" spans="1:9">
      <c r="A147" s="5"/>
      <c r="B147" s="6"/>
      <c r="C147" s="6"/>
      <c r="D147" s="6"/>
      <c r="E147" s="6"/>
      <c r="F147" s="6"/>
      <c r="G147" s="6"/>
      <c r="H147" s="6"/>
      <c r="I147" s="7"/>
    </row>
    <row r="148" spans="1:9">
      <c r="A148" s="5"/>
      <c r="B148" s="6"/>
      <c r="C148" s="6"/>
      <c r="D148" s="6"/>
      <c r="E148" s="6"/>
      <c r="F148" s="6"/>
      <c r="G148" s="6"/>
      <c r="H148" s="6"/>
      <c r="I148" s="7"/>
    </row>
    <row r="149" spans="1:9">
      <c r="A149" s="5"/>
      <c r="B149" s="6"/>
      <c r="C149" s="6"/>
      <c r="D149" s="6"/>
      <c r="E149" s="6"/>
      <c r="F149" s="6"/>
      <c r="G149" s="6"/>
      <c r="H149" s="6"/>
      <c r="I149" s="7"/>
    </row>
    <row r="150" spans="1:9">
      <c r="A150" s="5"/>
      <c r="B150" s="6"/>
      <c r="C150" s="6"/>
      <c r="D150" s="6"/>
      <c r="E150" s="6"/>
      <c r="F150" s="6"/>
      <c r="G150" s="6"/>
      <c r="H150" s="6"/>
      <c r="I150" s="7"/>
    </row>
    <row r="151" spans="1:9">
      <c r="A151" s="5"/>
      <c r="B151" s="6"/>
      <c r="C151" s="6"/>
      <c r="D151" s="6"/>
      <c r="E151" s="6"/>
      <c r="F151" s="6"/>
      <c r="G151" s="6"/>
      <c r="H151" s="6"/>
      <c r="I151" s="7"/>
    </row>
    <row r="152" spans="1:9">
      <c r="A152" s="5"/>
      <c r="B152" s="6"/>
      <c r="C152" s="6"/>
      <c r="D152" s="6"/>
      <c r="E152" s="6"/>
      <c r="F152" s="6"/>
      <c r="G152" s="6"/>
      <c r="H152" s="6"/>
      <c r="I152" s="7"/>
    </row>
    <row r="153" spans="1:9">
      <c r="A153" s="5"/>
      <c r="B153" s="6"/>
      <c r="C153" s="6"/>
      <c r="D153" s="6"/>
      <c r="E153" s="6"/>
      <c r="F153" s="6"/>
      <c r="G153" s="6"/>
      <c r="H153" s="6"/>
      <c r="I153" s="7"/>
    </row>
    <row r="154" spans="1:9">
      <c r="A154" s="5"/>
      <c r="B154" s="6"/>
      <c r="C154" s="6"/>
      <c r="D154" s="6"/>
      <c r="E154" s="6"/>
      <c r="F154" s="6"/>
      <c r="G154" s="6"/>
      <c r="H154" s="6"/>
      <c r="I154" s="7"/>
    </row>
    <row r="155" spans="1:9">
      <c r="A155" s="5"/>
      <c r="B155" s="6"/>
      <c r="C155" s="6"/>
      <c r="D155" s="6"/>
      <c r="E155" s="6"/>
      <c r="F155" s="6"/>
      <c r="G155" s="6"/>
      <c r="H155" s="6"/>
      <c r="I155" s="7"/>
    </row>
    <row r="156" spans="1:9">
      <c r="A156" s="5"/>
      <c r="B156" s="6"/>
      <c r="C156" s="6"/>
      <c r="D156" s="6"/>
      <c r="E156" s="6"/>
      <c r="F156" s="6"/>
      <c r="G156" s="6"/>
      <c r="H156" s="6"/>
      <c r="I156" s="7"/>
    </row>
    <row r="157" spans="1:9">
      <c r="A157" s="5"/>
      <c r="B157" s="6"/>
      <c r="C157" s="6"/>
      <c r="D157" s="6"/>
      <c r="E157" s="6"/>
      <c r="F157" s="6"/>
      <c r="G157" s="6"/>
      <c r="H157" s="6"/>
      <c r="I157" s="7"/>
    </row>
    <row r="158" spans="1:9">
      <c r="A158" s="5"/>
      <c r="B158" s="6"/>
      <c r="C158" s="6"/>
      <c r="D158" s="6"/>
      <c r="E158" s="6"/>
      <c r="F158" s="6"/>
      <c r="G158" s="6"/>
      <c r="H158" s="6"/>
      <c r="I158" s="7"/>
    </row>
    <row r="159" spans="1:9">
      <c r="A159" s="5"/>
      <c r="B159" s="6"/>
      <c r="C159" s="6"/>
      <c r="D159" s="6"/>
      <c r="E159" s="6"/>
      <c r="F159" s="6"/>
      <c r="G159" s="6"/>
      <c r="H159" s="6"/>
      <c r="I159" s="7"/>
    </row>
    <row r="160" spans="1:9">
      <c r="A160" s="5"/>
      <c r="B160" s="6"/>
      <c r="C160" s="6"/>
      <c r="D160" s="6"/>
      <c r="E160" s="6"/>
      <c r="F160" s="6"/>
      <c r="G160" s="6"/>
      <c r="H160" s="6"/>
      <c r="I160" s="7"/>
    </row>
    <row r="161" spans="1:9">
      <c r="A161" s="5"/>
      <c r="B161" s="6"/>
      <c r="C161" s="6"/>
      <c r="D161" s="6"/>
      <c r="E161" s="6"/>
      <c r="F161" s="6"/>
      <c r="G161" s="6"/>
      <c r="H161" s="6"/>
      <c r="I161" s="7"/>
    </row>
    <row r="162" spans="1:9">
      <c r="A162" s="5"/>
      <c r="B162" s="6"/>
      <c r="C162" s="6"/>
      <c r="D162" s="6"/>
      <c r="E162" s="6"/>
      <c r="F162" s="6"/>
      <c r="G162" s="6"/>
      <c r="H162" s="6"/>
      <c r="I162" s="7"/>
    </row>
    <row r="163" spans="1:9">
      <c r="A163" s="5"/>
      <c r="B163" s="6"/>
      <c r="C163" s="6"/>
      <c r="D163" s="6"/>
      <c r="E163" s="6"/>
      <c r="F163" s="6"/>
      <c r="G163" s="6"/>
      <c r="H163" s="6"/>
      <c r="I163" s="7"/>
    </row>
    <row r="164" spans="1:9">
      <c r="A164" s="5"/>
      <c r="B164" s="6"/>
      <c r="C164" s="6"/>
      <c r="D164" s="6"/>
      <c r="E164" s="6"/>
      <c r="F164" s="6"/>
      <c r="G164" s="6"/>
      <c r="H164" s="6"/>
      <c r="I164" s="7"/>
    </row>
    <row r="165" spans="1:9">
      <c r="A165" s="5"/>
      <c r="B165" s="6"/>
      <c r="C165" s="6"/>
      <c r="D165" s="6"/>
      <c r="E165" s="6"/>
      <c r="F165" s="6"/>
      <c r="G165" s="6"/>
      <c r="H165" s="6"/>
      <c r="I165" s="7"/>
    </row>
    <row r="166" spans="1:9">
      <c r="A166" s="5"/>
      <c r="B166" s="6"/>
      <c r="C166" s="6"/>
      <c r="D166" s="6"/>
      <c r="E166" s="6"/>
      <c r="F166" s="6"/>
      <c r="G166" s="6"/>
      <c r="H166" s="6"/>
      <c r="I166" s="7"/>
    </row>
    <row r="167" spans="1:9">
      <c r="A167" s="5"/>
      <c r="B167" s="6"/>
      <c r="C167" s="6"/>
      <c r="D167" s="6"/>
      <c r="E167" s="6"/>
      <c r="F167" s="6"/>
      <c r="G167" s="6"/>
      <c r="H167" s="6"/>
      <c r="I167" s="7"/>
    </row>
    <row r="168" spans="1:9">
      <c r="A168" s="5"/>
      <c r="B168" s="6"/>
      <c r="C168" s="6"/>
      <c r="D168" s="6"/>
      <c r="E168" s="6"/>
      <c r="F168" s="6"/>
      <c r="G168" s="6"/>
      <c r="H168" s="6"/>
      <c r="I168" s="7"/>
    </row>
    <row r="169" spans="1:9">
      <c r="A169" s="5"/>
      <c r="B169" s="6"/>
      <c r="C169" s="6"/>
      <c r="D169" s="6"/>
      <c r="E169" s="6"/>
      <c r="F169" s="6"/>
      <c r="G169" s="6"/>
      <c r="H169" s="6"/>
      <c r="I169" s="7"/>
    </row>
    <row r="170" spans="1:9">
      <c r="A170" s="5"/>
      <c r="B170" s="6"/>
      <c r="C170" s="6"/>
      <c r="D170" s="6"/>
      <c r="E170" s="6"/>
      <c r="F170" s="6"/>
      <c r="G170" s="6"/>
      <c r="H170" s="6"/>
      <c r="I170" s="7"/>
    </row>
    <row r="171" spans="1:9">
      <c r="A171" s="5"/>
      <c r="B171" s="6"/>
      <c r="C171" s="6"/>
      <c r="D171" s="6"/>
      <c r="E171" s="6"/>
      <c r="F171" s="6"/>
      <c r="G171" s="6"/>
      <c r="H171" s="6"/>
      <c r="I171" s="7"/>
    </row>
    <row r="172" spans="1:9">
      <c r="A172" s="5"/>
      <c r="B172" s="6"/>
      <c r="C172" s="6"/>
      <c r="D172" s="6"/>
      <c r="E172" s="6"/>
      <c r="F172" s="6"/>
      <c r="G172" s="6"/>
      <c r="H172" s="6"/>
      <c r="I172" s="7"/>
    </row>
    <row r="173" spans="1:9">
      <c r="A173" s="5"/>
      <c r="B173" s="6"/>
      <c r="C173" s="6"/>
      <c r="D173" s="6"/>
      <c r="E173" s="6"/>
      <c r="F173" s="6"/>
      <c r="G173" s="6"/>
      <c r="H173" s="6"/>
      <c r="I173" s="7"/>
    </row>
    <row r="174" spans="1:9">
      <c r="A174" s="5"/>
      <c r="B174" s="6"/>
      <c r="C174" s="6"/>
      <c r="D174" s="6"/>
      <c r="E174" s="6"/>
      <c r="F174" s="6"/>
      <c r="G174" s="6"/>
      <c r="H174" s="6"/>
      <c r="I174" s="7"/>
    </row>
    <row r="175" spans="1:9">
      <c r="A175" s="5"/>
      <c r="B175" s="6"/>
      <c r="C175" s="6"/>
      <c r="D175" s="6"/>
      <c r="E175" s="6"/>
      <c r="F175" s="6"/>
      <c r="G175" s="6"/>
      <c r="H175" s="6"/>
      <c r="I175" s="7"/>
    </row>
    <row r="176" spans="1:9">
      <c r="A176" s="5"/>
      <c r="B176" s="6"/>
      <c r="C176" s="6"/>
      <c r="D176" s="6"/>
      <c r="E176" s="6"/>
      <c r="F176" s="6"/>
      <c r="G176" s="6"/>
      <c r="H176" s="6"/>
      <c r="I176" s="7"/>
    </row>
    <row r="177" spans="1:9">
      <c r="A177" s="5"/>
      <c r="B177" s="6"/>
      <c r="C177" s="6"/>
      <c r="D177" s="6"/>
      <c r="E177" s="6"/>
      <c r="F177" s="6"/>
      <c r="G177" s="6"/>
      <c r="H177" s="6"/>
      <c r="I177" s="7"/>
    </row>
    <row r="178" spans="1:9">
      <c r="A178" s="5"/>
      <c r="B178" s="6"/>
      <c r="C178" s="6"/>
      <c r="D178" s="6"/>
      <c r="E178" s="6"/>
      <c r="F178" s="6"/>
      <c r="G178" s="6"/>
      <c r="H178" s="6"/>
      <c r="I178" s="7"/>
    </row>
    <row r="179" spans="1:9">
      <c r="A179" s="5"/>
      <c r="B179" s="6"/>
      <c r="C179" s="6"/>
      <c r="D179" s="6"/>
      <c r="E179" s="6"/>
      <c r="F179" s="6"/>
      <c r="G179" s="6"/>
      <c r="H179" s="6"/>
      <c r="I179" s="7"/>
    </row>
    <row r="180" spans="1:9">
      <c r="A180" s="5"/>
      <c r="B180" s="6"/>
      <c r="C180" s="6"/>
      <c r="D180" s="6"/>
      <c r="E180" s="6"/>
      <c r="F180" s="6"/>
      <c r="G180" s="6"/>
      <c r="H180" s="6"/>
      <c r="I180" s="7"/>
    </row>
    <row r="181" spans="1:9">
      <c r="A181" s="5"/>
      <c r="B181" s="6"/>
      <c r="C181" s="6"/>
      <c r="D181" s="6"/>
      <c r="E181" s="6"/>
      <c r="F181" s="6"/>
      <c r="G181" s="6"/>
      <c r="H181" s="6"/>
      <c r="I181" s="7"/>
    </row>
    <row r="182" spans="1:9">
      <c r="A182" s="5"/>
      <c r="B182" s="6"/>
      <c r="C182" s="6"/>
      <c r="D182" s="6"/>
      <c r="E182" s="6"/>
      <c r="F182" s="6"/>
      <c r="G182" s="6"/>
      <c r="H182" s="6"/>
      <c r="I182" s="7"/>
    </row>
    <row r="183" spans="1:9">
      <c r="A183" s="5"/>
      <c r="B183" s="6"/>
      <c r="C183" s="6"/>
      <c r="D183" s="6"/>
      <c r="E183" s="6"/>
      <c r="F183" s="6"/>
      <c r="G183" s="6"/>
      <c r="H183" s="6"/>
      <c r="I183" s="7"/>
    </row>
    <row r="184" spans="1:9">
      <c r="A184" s="5"/>
      <c r="B184" s="6"/>
      <c r="C184" s="6"/>
      <c r="D184" s="6"/>
      <c r="E184" s="6"/>
      <c r="F184" s="6"/>
      <c r="G184" s="6"/>
      <c r="H184" s="6"/>
      <c r="I184" s="7"/>
    </row>
    <row r="185" spans="1:9">
      <c r="A185" s="5"/>
      <c r="B185" s="6"/>
      <c r="C185" s="6"/>
      <c r="D185" s="6"/>
      <c r="E185" s="6"/>
      <c r="F185" s="6"/>
      <c r="G185" s="6"/>
      <c r="H185" s="6"/>
      <c r="I185" s="7"/>
    </row>
    <row r="186" spans="1:9">
      <c r="A186" s="5"/>
      <c r="B186" s="6"/>
      <c r="C186" s="6"/>
      <c r="D186" s="6"/>
      <c r="E186" s="6"/>
      <c r="F186" s="6"/>
      <c r="G186" s="6"/>
      <c r="H186" s="6"/>
      <c r="I186" s="7"/>
    </row>
    <row r="187" spans="1:9">
      <c r="A187" s="5"/>
      <c r="B187" s="6"/>
      <c r="C187" s="6"/>
      <c r="D187" s="6"/>
      <c r="E187" s="6"/>
      <c r="F187" s="6"/>
      <c r="G187" s="6"/>
      <c r="H187" s="6"/>
      <c r="I187" s="7"/>
    </row>
    <row r="188" spans="1:9">
      <c r="A188" s="5"/>
      <c r="B188" s="6"/>
      <c r="C188" s="6"/>
      <c r="D188" s="6"/>
      <c r="E188" s="6"/>
      <c r="F188" s="6"/>
      <c r="G188" s="6"/>
      <c r="H188" s="6"/>
      <c r="I188" s="7"/>
    </row>
    <row r="189" spans="1:9">
      <c r="A189" s="5"/>
      <c r="B189" s="6"/>
      <c r="C189" s="6"/>
      <c r="D189" s="6"/>
      <c r="E189" s="6"/>
      <c r="F189" s="6"/>
      <c r="G189" s="6"/>
      <c r="H189" s="6"/>
      <c r="I189" s="7"/>
    </row>
    <row r="190" spans="1:9">
      <c r="A190" s="5"/>
      <c r="B190" s="6"/>
      <c r="C190" s="6"/>
      <c r="D190" s="6"/>
      <c r="E190" s="6"/>
      <c r="F190" s="6"/>
      <c r="G190" s="6"/>
      <c r="H190" s="6"/>
      <c r="I190" s="7"/>
    </row>
    <row r="191" spans="1:9">
      <c r="A191" s="5"/>
      <c r="B191" s="6"/>
      <c r="C191" s="6"/>
      <c r="D191" s="6"/>
      <c r="E191" s="6"/>
      <c r="F191" s="6"/>
      <c r="G191" s="6"/>
      <c r="H191" s="6"/>
      <c r="I191" s="7"/>
    </row>
    <row r="192" spans="1:9">
      <c r="A192" s="5"/>
      <c r="B192" s="6"/>
      <c r="C192" s="6"/>
      <c r="D192" s="6"/>
      <c r="E192" s="6"/>
      <c r="F192" s="6"/>
      <c r="G192" s="6"/>
      <c r="H192" s="6"/>
      <c r="I192" s="7"/>
    </row>
    <row r="193" spans="1:9">
      <c r="A193" s="5"/>
      <c r="B193" s="6"/>
      <c r="C193" s="6"/>
      <c r="D193" s="6"/>
      <c r="E193" s="6"/>
      <c r="F193" s="6"/>
      <c r="G193" s="6"/>
      <c r="H193" s="6"/>
      <c r="I193" s="7"/>
    </row>
    <row r="194" spans="1:9">
      <c r="A194" s="5"/>
      <c r="B194" s="6"/>
      <c r="C194" s="6"/>
      <c r="D194" s="6"/>
      <c r="E194" s="6"/>
      <c r="F194" s="6"/>
      <c r="G194" s="6"/>
      <c r="H194" s="6"/>
      <c r="I194" s="7"/>
    </row>
    <row r="195" spans="1:9">
      <c r="A195" s="5"/>
      <c r="B195" s="6"/>
      <c r="C195" s="6"/>
      <c r="D195" s="6"/>
      <c r="E195" s="6"/>
      <c r="F195" s="6"/>
      <c r="G195" s="6"/>
      <c r="H195" s="6"/>
      <c r="I195" s="7"/>
    </row>
    <row r="196" spans="1:9">
      <c r="A196" s="5"/>
      <c r="B196" s="6"/>
      <c r="C196" s="6"/>
      <c r="D196" s="6"/>
      <c r="E196" s="6"/>
      <c r="F196" s="6"/>
      <c r="G196" s="6"/>
      <c r="H196" s="6"/>
      <c r="I196" s="7"/>
    </row>
    <row r="197" spans="1:9">
      <c r="A197" s="5"/>
      <c r="B197" s="6"/>
      <c r="C197" s="6"/>
      <c r="D197" s="6"/>
      <c r="E197" s="6"/>
      <c r="F197" s="6"/>
      <c r="G197" s="6"/>
      <c r="H197" s="6"/>
      <c r="I197" s="7"/>
    </row>
    <row r="198" spans="1:9">
      <c r="A198" s="5"/>
      <c r="B198" s="6"/>
      <c r="C198" s="6"/>
      <c r="D198" s="6"/>
      <c r="E198" s="6"/>
      <c r="F198" s="6"/>
      <c r="G198" s="6"/>
      <c r="H198" s="6"/>
      <c r="I198" s="7"/>
    </row>
    <row r="199" spans="1:9">
      <c r="A199" s="5"/>
      <c r="B199" s="6"/>
      <c r="C199" s="6"/>
      <c r="D199" s="6"/>
      <c r="E199" s="6"/>
      <c r="F199" s="6"/>
      <c r="G199" s="6"/>
      <c r="H199" s="6"/>
      <c r="I199" s="7"/>
    </row>
    <row r="200" spans="1:9">
      <c r="A200" s="5"/>
      <c r="B200" s="6"/>
      <c r="C200" s="6"/>
      <c r="D200" s="6"/>
      <c r="E200" s="6"/>
      <c r="F200" s="6"/>
      <c r="G200" s="6"/>
      <c r="H200" s="6"/>
      <c r="I200" s="7"/>
    </row>
    <row r="201" spans="1:9">
      <c r="A201" s="5"/>
      <c r="B201" s="6"/>
      <c r="C201" s="6"/>
      <c r="D201" s="6"/>
      <c r="E201" s="6"/>
      <c r="F201" s="6"/>
      <c r="G201" s="6"/>
      <c r="H201" s="6"/>
      <c r="I201" s="7"/>
    </row>
    <row r="202" spans="1:9">
      <c r="A202" s="5"/>
      <c r="B202" s="6"/>
      <c r="C202" s="6"/>
      <c r="D202" s="6"/>
      <c r="E202" s="6"/>
      <c r="F202" s="6"/>
      <c r="G202" s="6"/>
      <c r="H202" s="6"/>
      <c r="I202" s="7"/>
    </row>
    <row r="203" spans="1:9">
      <c r="A203" s="5"/>
      <c r="B203" s="6"/>
      <c r="C203" s="6"/>
      <c r="D203" s="6"/>
      <c r="E203" s="6"/>
      <c r="F203" s="6"/>
      <c r="G203" s="6"/>
      <c r="H203" s="6"/>
      <c r="I203" s="7"/>
    </row>
    <row r="204" spans="1:9">
      <c r="A204" s="5"/>
      <c r="B204" s="6"/>
      <c r="C204" s="6"/>
      <c r="D204" s="6"/>
      <c r="E204" s="6"/>
      <c r="F204" s="6"/>
      <c r="G204" s="6"/>
      <c r="H204" s="6"/>
      <c r="I204" s="7"/>
    </row>
    <row r="205" spans="1:9">
      <c r="A205" s="5"/>
      <c r="B205" s="6"/>
      <c r="C205" s="6"/>
      <c r="D205" s="6"/>
      <c r="E205" s="6"/>
      <c r="F205" s="6"/>
      <c r="G205" s="6"/>
      <c r="H205" s="6"/>
      <c r="I205" s="7"/>
    </row>
    <row r="206" spans="1:9">
      <c r="A206" s="5"/>
      <c r="B206" s="6"/>
      <c r="C206" s="6"/>
      <c r="D206" s="6"/>
      <c r="E206" s="6"/>
      <c r="F206" s="6"/>
      <c r="G206" s="6"/>
      <c r="H206" s="6"/>
      <c r="I206" s="7"/>
    </row>
    <row r="207" spans="1:9">
      <c r="A207" s="5"/>
      <c r="B207" s="6"/>
      <c r="C207" s="6"/>
      <c r="D207" s="6"/>
      <c r="E207" s="6"/>
      <c r="F207" s="6"/>
      <c r="G207" s="6"/>
      <c r="H207" s="6"/>
      <c r="I207" s="7"/>
    </row>
    <row r="208" spans="1:9">
      <c r="A208" s="5"/>
      <c r="B208" s="6"/>
      <c r="C208" s="6"/>
      <c r="D208" s="6"/>
      <c r="E208" s="6"/>
      <c r="F208" s="6"/>
      <c r="G208" s="6"/>
      <c r="H208" s="6"/>
      <c r="I208" s="7"/>
    </row>
    <row r="209" spans="1:9">
      <c r="A209" s="5"/>
      <c r="B209" s="6"/>
      <c r="C209" s="6"/>
      <c r="D209" s="6"/>
      <c r="E209" s="6"/>
      <c r="F209" s="6"/>
      <c r="G209" s="6"/>
      <c r="H209" s="6"/>
      <c r="I209" s="7"/>
    </row>
    <row r="210" spans="1:9">
      <c r="A210" s="5"/>
      <c r="B210" s="6"/>
      <c r="C210" s="6"/>
      <c r="D210" s="6"/>
      <c r="E210" s="6"/>
      <c r="F210" s="6"/>
      <c r="G210" s="6"/>
      <c r="H210" s="6"/>
      <c r="I210" s="7"/>
    </row>
    <row r="211" spans="1:9">
      <c r="A211" s="5"/>
      <c r="B211" s="6"/>
      <c r="C211" s="6"/>
      <c r="D211" s="6"/>
      <c r="E211" s="6"/>
      <c r="F211" s="6"/>
      <c r="G211" s="6"/>
      <c r="H211" s="6"/>
      <c r="I211" s="7"/>
    </row>
    <row r="212" spans="1:9">
      <c r="A212" s="5"/>
      <c r="B212" s="6"/>
      <c r="C212" s="6"/>
      <c r="D212" s="6"/>
      <c r="E212" s="6"/>
      <c r="F212" s="6"/>
      <c r="G212" s="6"/>
      <c r="H212" s="6"/>
      <c r="I212" s="7"/>
    </row>
    <row r="213" spans="1:9">
      <c r="A213" s="5"/>
      <c r="B213" s="6"/>
      <c r="C213" s="6"/>
      <c r="D213" s="6"/>
      <c r="E213" s="6"/>
      <c r="F213" s="6"/>
      <c r="G213" s="6"/>
      <c r="H213" s="6"/>
      <c r="I213" s="7"/>
    </row>
    <row r="214" spans="1:9">
      <c r="A214" s="5"/>
      <c r="B214" s="6"/>
      <c r="C214" s="6"/>
      <c r="D214" s="6"/>
      <c r="E214" s="6"/>
      <c r="F214" s="6"/>
      <c r="G214" s="6"/>
      <c r="H214" s="6"/>
      <c r="I214" s="7"/>
    </row>
    <row r="215" spans="1:9">
      <c r="A215" s="5"/>
      <c r="B215" s="6"/>
      <c r="C215" s="6"/>
      <c r="D215" s="6"/>
      <c r="E215" s="6"/>
      <c r="F215" s="6"/>
      <c r="G215" s="6"/>
      <c r="H215" s="6"/>
      <c r="I215" s="7"/>
    </row>
    <row r="216" spans="1:9">
      <c r="A216" s="5"/>
      <c r="B216" s="6"/>
      <c r="C216" s="6"/>
      <c r="D216" s="6"/>
      <c r="E216" s="6"/>
      <c r="F216" s="6"/>
      <c r="G216" s="6"/>
      <c r="H216" s="6"/>
      <c r="I216" s="7"/>
    </row>
    <row r="217" spans="1:9">
      <c r="A217" s="5"/>
      <c r="B217" s="6"/>
      <c r="C217" s="6"/>
      <c r="D217" s="6"/>
      <c r="E217" s="6"/>
      <c r="F217" s="6"/>
      <c r="G217" s="6"/>
      <c r="H217" s="6"/>
      <c r="I217" s="7"/>
    </row>
    <row r="218" spans="1:9">
      <c r="A218" s="5"/>
      <c r="B218" s="6"/>
      <c r="C218" s="6"/>
      <c r="D218" s="6"/>
      <c r="E218" s="6"/>
      <c r="F218" s="6"/>
      <c r="G218" s="6"/>
      <c r="H218" s="6"/>
      <c r="I218" s="7"/>
    </row>
    <row r="219" spans="1:9">
      <c r="A219" s="5"/>
      <c r="B219" s="6"/>
      <c r="C219" s="6"/>
      <c r="D219" s="6"/>
      <c r="E219" s="6"/>
      <c r="F219" s="6"/>
      <c r="G219" s="6"/>
      <c r="H219" s="6"/>
      <c r="I219" s="7"/>
    </row>
    <row r="220" spans="1:9">
      <c r="A220" s="5"/>
      <c r="B220" s="6"/>
      <c r="C220" s="6"/>
      <c r="D220" s="6"/>
      <c r="E220" s="6"/>
      <c r="F220" s="6"/>
      <c r="G220" s="6"/>
      <c r="H220" s="6"/>
      <c r="I220" s="7"/>
    </row>
    <row r="221" spans="1:9">
      <c r="A221" s="5"/>
      <c r="B221" s="6"/>
      <c r="C221" s="6"/>
      <c r="D221" s="6"/>
      <c r="E221" s="6"/>
      <c r="F221" s="6"/>
      <c r="G221" s="6"/>
      <c r="H221" s="6"/>
      <c r="I221" s="7"/>
    </row>
    <row r="222" spans="1:9">
      <c r="A222" s="5"/>
      <c r="B222" s="6"/>
      <c r="C222" s="6"/>
      <c r="D222" s="6"/>
      <c r="E222" s="6"/>
      <c r="F222" s="6"/>
      <c r="G222" s="6"/>
      <c r="H222" s="6"/>
      <c r="I222" s="7"/>
    </row>
    <row r="223" spans="1:9">
      <c r="A223" s="5"/>
      <c r="B223" s="6"/>
      <c r="C223" s="6"/>
      <c r="D223" s="6"/>
      <c r="E223" s="6"/>
      <c r="F223" s="6"/>
      <c r="G223" s="6"/>
      <c r="H223" s="6"/>
      <c r="I223" s="7"/>
    </row>
    <row r="224" spans="1:9">
      <c r="A224" s="5"/>
      <c r="B224" s="6"/>
      <c r="C224" s="6"/>
      <c r="D224" s="6"/>
      <c r="E224" s="6"/>
      <c r="F224" s="6"/>
      <c r="G224" s="6"/>
      <c r="H224" s="6"/>
      <c r="I224" s="7"/>
    </row>
    <row r="225" spans="1:9">
      <c r="A225" s="5"/>
      <c r="B225" s="6"/>
      <c r="C225" s="6"/>
      <c r="D225" s="6"/>
      <c r="E225" s="6"/>
      <c r="F225" s="6"/>
      <c r="G225" s="6"/>
      <c r="H225" s="6"/>
      <c r="I225" s="7"/>
    </row>
    <row r="226" spans="1:9">
      <c r="A226" s="5"/>
      <c r="B226" s="6"/>
      <c r="C226" s="6"/>
      <c r="D226" s="6"/>
      <c r="E226" s="6"/>
      <c r="F226" s="6"/>
      <c r="G226" s="6"/>
      <c r="H226" s="6"/>
      <c r="I226" s="7"/>
    </row>
    <row r="227" spans="1:9">
      <c r="A227" s="5"/>
      <c r="B227" s="6"/>
      <c r="C227" s="6"/>
      <c r="D227" s="6"/>
      <c r="E227" s="6"/>
      <c r="F227" s="6"/>
      <c r="G227" s="6"/>
      <c r="H227" s="6"/>
      <c r="I227" s="7"/>
    </row>
    <row r="228" spans="1:9">
      <c r="A228" s="5"/>
      <c r="B228" s="6"/>
      <c r="C228" s="6"/>
      <c r="D228" s="6"/>
      <c r="E228" s="6"/>
      <c r="F228" s="6"/>
      <c r="G228" s="6"/>
      <c r="H228" s="6"/>
      <c r="I228" s="7"/>
    </row>
    <row r="229" spans="1:9">
      <c r="A229" s="5"/>
      <c r="B229" s="6"/>
      <c r="C229" s="6"/>
      <c r="D229" s="6"/>
      <c r="E229" s="6"/>
      <c r="F229" s="6"/>
      <c r="G229" s="6"/>
      <c r="H229" s="6"/>
      <c r="I229" s="7"/>
    </row>
    <row r="230" spans="1:9">
      <c r="A230" s="5"/>
      <c r="B230" s="6"/>
      <c r="C230" s="6"/>
      <c r="D230" s="6"/>
      <c r="E230" s="6"/>
      <c r="F230" s="6"/>
      <c r="G230" s="6"/>
      <c r="H230" s="6"/>
      <c r="I230" s="7"/>
    </row>
    <row r="231" spans="1:9">
      <c r="A231" s="5"/>
      <c r="B231" s="6"/>
      <c r="C231" s="6"/>
      <c r="D231" s="6"/>
      <c r="E231" s="6"/>
      <c r="F231" s="6"/>
      <c r="G231" s="6"/>
      <c r="H231" s="6"/>
      <c r="I231" s="7"/>
    </row>
    <row r="232" spans="1:9">
      <c r="A232" s="5"/>
      <c r="B232" s="6"/>
      <c r="C232" s="6"/>
      <c r="D232" s="6"/>
      <c r="E232" s="6"/>
      <c r="F232" s="6"/>
      <c r="G232" s="6"/>
      <c r="H232" s="6"/>
      <c r="I232" s="7"/>
    </row>
    <row r="233" spans="1:9">
      <c r="A233" s="5"/>
      <c r="B233" s="6"/>
      <c r="C233" s="6"/>
      <c r="D233" s="6"/>
      <c r="E233" s="6"/>
      <c r="F233" s="6"/>
      <c r="G233" s="6"/>
      <c r="H233" s="6"/>
      <c r="I233" s="7"/>
    </row>
    <row r="234" spans="1:9">
      <c r="A234" s="5"/>
      <c r="B234" s="6"/>
      <c r="C234" s="6"/>
      <c r="D234" s="6"/>
      <c r="E234" s="6"/>
      <c r="F234" s="6"/>
      <c r="G234" s="6"/>
      <c r="H234" s="6"/>
      <c r="I234" s="7"/>
    </row>
    <row r="235" spans="1:9">
      <c r="A235" s="5"/>
      <c r="B235" s="6"/>
      <c r="C235" s="6"/>
      <c r="D235" s="6"/>
      <c r="E235" s="6"/>
      <c r="F235" s="6"/>
      <c r="G235" s="6"/>
      <c r="H235" s="6"/>
      <c r="I235" s="7"/>
    </row>
    <row r="236" spans="1:9">
      <c r="A236" s="5"/>
      <c r="B236" s="6"/>
      <c r="C236" s="6"/>
      <c r="D236" s="6"/>
      <c r="E236" s="6"/>
      <c r="F236" s="6"/>
      <c r="G236" s="6"/>
      <c r="H236" s="6"/>
      <c r="I236" s="7"/>
    </row>
    <row r="237" spans="1:9">
      <c r="A237" s="5"/>
      <c r="B237" s="6"/>
      <c r="C237" s="6"/>
      <c r="D237" s="6"/>
      <c r="E237" s="6"/>
      <c r="F237" s="6"/>
      <c r="G237" s="6"/>
      <c r="H237" s="6"/>
      <c r="I237" s="7"/>
    </row>
    <row r="238" spans="1:9">
      <c r="A238" s="5"/>
      <c r="B238" s="6"/>
      <c r="C238" s="6"/>
      <c r="D238" s="6"/>
      <c r="E238" s="6"/>
      <c r="F238" s="6"/>
      <c r="G238" s="6"/>
      <c r="H238" s="6"/>
      <c r="I238" s="7"/>
    </row>
    <row r="239" spans="1:9">
      <c r="A239" s="5"/>
      <c r="B239" s="6"/>
      <c r="C239" s="6"/>
      <c r="D239" s="6"/>
      <c r="E239" s="6"/>
      <c r="F239" s="6"/>
      <c r="G239" s="6"/>
      <c r="H239" s="6"/>
      <c r="I239" s="7"/>
    </row>
    <row r="240" spans="1:9">
      <c r="A240" s="5"/>
      <c r="B240" s="6"/>
      <c r="C240" s="6"/>
      <c r="D240" s="6"/>
      <c r="E240" s="6"/>
      <c r="F240" s="6"/>
      <c r="G240" s="6"/>
      <c r="H240" s="6"/>
      <c r="I240" s="7"/>
    </row>
    <row r="241" spans="1:9">
      <c r="A241" s="5"/>
      <c r="B241" s="6"/>
      <c r="C241" s="6"/>
      <c r="D241" s="6"/>
      <c r="E241" s="6"/>
      <c r="F241" s="6"/>
      <c r="G241" s="6"/>
      <c r="H241" s="6"/>
      <c r="I241" s="7"/>
    </row>
    <row r="242" spans="1:9">
      <c r="A242" s="5"/>
      <c r="B242" s="6"/>
      <c r="C242" s="6"/>
      <c r="D242" s="6"/>
      <c r="E242" s="6"/>
      <c r="F242" s="6"/>
      <c r="G242" s="6"/>
      <c r="H242" s="6"/>
      <c r="I242" s="7"/>
    </row>
    <row r="243" spans="1:9">
      <c r="A243" s="5"/>
      <c r="B243" s="6"/>
      <c r="C243" s="6"/>
      <c r="D243" s="6"/>
      <c r="E243" s="6"/>
      <c r="F243" s="6"/>
      <c r="G243" s="6"/>
      <c r="H243" s="6"/>
      <c r="I243" s="7"/>
    </row>
    <row r="244" spans="1:9">
      <c r="A244" s="5"/>
      <c r="B244" s="6"/>
      <c r="C244" s="6"/>
      <c r="D244" s="6"/>
      <c r="E244" s="6"/>
      <c r="F244" s="6"/>
      <c r="G244" s="6"/>
      <c r="H244" s="6"/>
      <c r="I244" s="7"/>
    </row>
    <row r="245" spans="1:9">
      <c r="A245" s="5"/>
      <c r="B245" s="6"/>
      <c r="C245" s="6"/>
      <c r="D245" s="6"/>
      <c r="E245" s="6"/>
      <c r="F245" s="6"/>
      <c r="G245" s="6"/>
      <c r="H245" s="6"/>
      <c r="I245" s="7"/>
    </row>
    <row r="246" spans="1:9">
      <c r="A246" s="5"/>
      <c r="B246" s="6"/>
      <c r="C246" s="6"/>
      <c r="D246" s="6"/>
      <c r="E246" s="6"/>
      <c r="F246" s="6"/>
      <c r="G246" s="6"/>
      <c r="H246" s="6"/>
      <c r="I246" s="7"/>
    </row>
    <row r="247" spans="1:9">
      <c r="A247" s="5"/>
      <c r="B247" s="6"/>
      <c r="C247" s="6"/>
      <c r="D247" s="6"/>
      <c r="E247" s="6"/>
      <c r="F247" s="6"/>
      <c r="G247" s="6"/>
      <c r="H247" s="6"/>
      <c r="I247" s="7"/>
    </row>
    <row r="248" spans="1:9">
      <c r="A248" s="5"/>
      <c r="B248" s="6"/>
      <c r="C248" s="6"/>
      <c r="D248" s="6"/>
      <c r="E248" s="6"/>
      <c r="F248" s="6"/>
      <c r="G248" s="6"/>
      <c r="H248" s="6"/>
      <c r="I248" s="7"/>
    </row>
    <row r="249" spans="1:9">
      <c r="A249" s="5"/>
      <c r="B249" s="6"/>
      <c r="C249" s="6"/>
      <c r="D249" s="6"/>
      <c r="E249" s="6"/>
      <c r="F249" s="6"/>
      <c r="G249" s="6"/>
      <c r="H249" s="6"/>
      <c r="I249" s="7"/>
    </row>
    <row r="250" spans="1:9">
      <c r="A250" s="5"/>
      <c r="B250" s="6"/>
      <c r="C250" s="6"/>
      <c r="D250" s="6"/>
      <c r="E250" s="6"/>
      <c r="F250" s="6"/>
      <c r="G250" s="6"/>
      <c r="H250" s="6"/>
      <c r="I250" s="7"/>
    </row>
    <row r="251" spans="1:9">
      <c r="A251" s="5"/>
      <c r="B251" s="6"/>
      <c r="C251" s="6"/>
      <c r="D251" s="6"/>
      <c r="E251" s="6"/>
      <c r="F251" s="6"/>
      <c r="G251" s="6"/>
      <c r="H251" s="6"/>
      <c r="I251" s="7"/>
    </row>
    <row r="252" spans="1:9">
      <c r="A252" s="5"/>
      <c r="B252" s="6"/>
      <c r="C252" s="6"/>
      <c r="D252" s="6"/>
      <c r="E252" s="6"/>
      <c r="F252" s="6"/>
      <c r="G252" s="6"/>
      <c r="H252" s="6"/>
      <c r="I252" s="7"/>
    </row>
    <row r="253" spans="1:9">
      <c r="A253" s="5"/>
      <c r="B253" s="6"/>
      <c r="C253" s="6"/>
      <c r="D253" s="6"/>
      <c r="E253" s="6"/>
      <c r="F253" s="6"/>
      <c r="G253" s="6"/>
      <c r="H253" s="6"/>
      <c r="I253" s="7"/>
    </row>
    <row r="254" spans="1:9">
      <c r="A254" s="5"/>
      <c r="B254" s="6"/>
      <c r="C254" s="6"/>
      <c r="D254" s="6"/>
      <c r="E254" s="6"/>
      <c r="F254" s="6"/>
      <c r="G254" s="6"/>
      <c r="H254" s="6"/>
      <c r="I254" s="7"/>
    </row>
    <row r="255" spans="1:9">
      <c r="A255" s="5"/>
      <c r="B255" s="6"/>
      <c r="C255" s="6"/>
      <c r="D255" s="6"/>
      <c r="E255" s="6"/>
      <c r="F255" s="6"/>
      <c r="G255" s="6"/>
      <c r="H255" s="6"/>
      <c r="I255" s="7"/>
    </row>
    <row r="256" spans="1:9">
      <c r="A256" s="5"/>
      <c r="B256" s="6"/>
      <c r="C256" s="6"/>
      <c r="D256" s="6"/>
      <c r="E256" s="6"/>
      <c r="F256" s="6"/>
      <c r="G256" s="6"/>
      <c r="H256" s="6"/>
      <c r="I256" s="7"/>
    </row>
    <row r="257" spans="1:9">
      <c r="A257" s="5"/>
      <c r="B257" s="6"/>
      <c r="C257" s="6"/>
      <c r="D257" s="6"/>
      <c r="E257" s="6"/>
      <c r="F257" s="6"/>
      <c r="G257" s="6"/>
      <c r="H257" s="6"/>
      <c r="I257" s="7"/>
    </row>
    <row r="258" spans="1:9">
      <c r="A258" s="5"/>
      <c r="B258" s="6"/>
      <c r="C258" s="6"/>
      <c r="D258" s="6"/>
      <c r="E258" s="6"/>
      <c r="F258" s="6"/>
      <c r="G258" s="6"/>
      <c r="H258" s="6"/>
      <c r="I258" s="7"/>
    </row>
    <row r="259" spans="1:9">
      <c r="A259" s="5"/>
      <c r="B259" s="6"/>
      <c r="C259" s="6"/>
      <c r="D259" s="6"/>
      <c r="E259" s="6"/>
      <c r="F259" s="6"/>
      <c r="G259" s="6"/>
      <c r="H259" s="6"/>
      <c r="I259" s="7"/>
    </row>
    <row r="260" spans="1:9">
      <c r="A260" s="5"/>
      <c r="B260" s="6"/>
      <c r="C260" s="6"/>
      <c r="D260" s="6"/>
      <c r="E260" s="6"/>
      <c r="F260" s="6"/>
      <c r="G260" s="6"/>
      <c r="H260" s="6"/>
      <c r="I260" s="7"/>
    </row>
    <row r="261" spans="1:9">
      <c r="A261" s="5"/>
      <c r="B261" s="6"/>
      <c r="C261" s="6"/>
      <c r="D261" s="6"/>
      <c r="E261" s="6"/>
      <c r="F261" s="6"/>
      <c r="G261" s="6"/>
      <c r="H261" s="6"/>
      <c r="I261" s="7"/>
    </row>
    <row r="262" spans="1:9">
      <c r="A262" s="5"/>
      <c r="B262" s="6"/>
      <c r="C262" s="6"/>
      <c r="D262" s="6"/>
      <c r="E262" s="6"/>
      <c r="F262" s="6"/>
      <c r="G262" s="6"/>
      <c r="H262" s="6"/>
      <c r="I262" s="7"/>
    </row>
    <row r="263" spans="1:9">
      <c r="A263" s="5"/>
      <c r="B263" s="6"/>
      <c r="C263" s="6"/>
      <c r="D263" s="6"/>
      <c r="E263" s="6"/>
      <c r="F263" s="6"/>
      <c r="G263" s="6"/>
      <c r="H263" s="6"/>
      <c r="I263" s="7"/>
    </row>
    <row r="264" spans="1:9">
      <c r="A264" s="5"/>
      <c r="B264" s="6"/>
      <c r="C264" s="6"/>
      <c r="D264" s="6"/>
      <c r="E264" s="6"/>
      <c r="F264" s="6"/>
      <c r="G264" s="6"/>
      <c r="H264" s="6"/>
      <c r="I264" s="7"/>
    </row>
    <row r="265" spans="1:9">
      <c r="A265" s="5"/>
      <c r="B265" s="6"/>
      <c r="C265" s="6"/>
      <c r="D265" s="6"/>
      <c r="E265" s="6"/>
      <c r="F265" s="6"/>
      <c r="G265" s="6"/>
      <c r="H265" s="6"/>
      <c r="I265" s="7"/>
    </row>
    <row r="266" spans="1:9">
      <c r="A266" s="5"/>
      <c r="B266" s="6"/>
      <c r="C266" s="6"/>
      <c r="D266" s="6"/>
      <c r="E266" s="6"/>
      <c r="F266" s="6"/>
      <c r="G266" s="6"/>
      <c r="H266" s="6"/>
      <c r="I266" s="7"/>
    </row>
    <row r="267" spans="1:9">
      <c r="A267" s="5"/>
      <c r="B267" s="6"/>
      <c r="C267" s="6"/>
      <c r="D267" s="6"/>
      <c r="E267" s="6"/>
      <c r="F267" s="6"/>
      <c r="G267" s="6"/>
      <c r="H267" s="6"/>
      <c r="I267" s="7"/>
    </row>
    <row r="268" spans="1:9">
      <c r="A268" s="5"/>
      <c r="B268" s="6"/>
      <c r="C268" s="6"/>
      <c r="D268" s="6"/>
      <c r="E268" s="6"/>
      <c r="F268" s="6"/>
      <c r="G268" s="6"/>
      <c r="H268" s="6"/>
      <c r="I268" s="7"/>
    </row>
    <row r="269" spans="1:9">
      <c r="A269" s="5"/>
      <c r="B269" s="6"/>
      <c r="C269" s="6"/>
      <c r="D269" s="6"/>
      <c r="E269" s="6"/>
      <c r="F269" s="6"/>
      <c r="G269" s="6"/>
      <c r="H269" s="6"/>
      <c r="I269" s="7"/>
    </row>
    <row r="270" spans="1:9">
      <c r="A270" s="5"/>
      <c r="B270" s="6"/>
      <c r="C270" s="6"/>
      <c r="D270" s="6"/>
      <c r="E270" s="6"/>
      <c r="F270" s="6"/>
      <c r="G270" s="6"/>
      <c r="H270" s="6"/>
      <c r="I270" s="7"/>
    </row>
    <row r="271" spans="1:9">
      <c r="A271" s="5"/>
      <c r="B271" s="6"/>
      <c r="C271" s="6"/>
      <c r="D271" s="6"/>
      <c r="E271" s="6"/>
      <c r="F271" s="6"/>
      <c r="G271" s="6"/>
      <c r="H271" s="6"/>
      <c r="I271" s="7"/>
    </row>
    <row r="272" spans="1:9">
      <c r="A272" s="5"/>
      <c r="B272" s="6"/>
      <c r="C272" s="6"/>
      <c r="D272" s="6"/>
      <c r="E272" s="6"/>
      <c r="F272" s="6"/>
      <c r="G272" s="6"/>
      <c r="H272" s="6"/>
      <c r="I272" s="7"/>
    </row>
    <row r="273" spans="1:9">
      <c r="A273" s="5"/>
      <c r="B273" s="6"/>
      <c r="C273" s="6"/>
      <c r="D273" s="6"/>
      <c r="E273" s="6"/>
      <c r="F273" s="6"/>
      <c r="G273" s="6"/>
      <c r="H273" s="6"/>
      <c r="I273" s="7"/>
    </row>
    <row r="274" spans="1:9">
      <c r="A274" s="5"/>
      <c r="B274" s="6"/>
      <c r="C274" s="6"/>
      <c r="D274" s="6"/>
      <c r="E274" s="6"/>
      <c r="F274" s="6"/>
      <c r="G274" s="6"/>
      <c r="H274" s="6"/>
      <c r="I274" s="7"/>
    </row>
    <row r="275" spans="1:9">
      <c r="A275" s="5"/>
      <c r="B275" s="6"/>
      <c r="C275" s="6"/>
      <c r="D275" s="6"/>
      <c r="E275" s="6"/>
      <c r="F275" s="6"/>
      <c r="G275" s="6"/>
      <c r="H275" s="6"/>
      <c r="I275" s="7"/>
    </row>
    <row r="276" spans="1:9">
      <c r="A276" s="5"/>
      <c r="B276" s="6"/>
      <c r="C276" s="6"/>
      <c r="D276" s="6"/>
      <c r="E276" s="6"/>
      <c r="F276" s="6"/>
      <c r="G276" s="6"/>
      <c r="H276" s="6"/>
      <c r="I276" s="7"/>
    </row>
    <row r="277" spans="1:9">
      <c r="A277" s="5"/>
      <c r="B277" s="6"/>
      <c r="C277" s="6"/>
      <c r="D277" s="6"/>
      <c r="E277" s="6"/>
      <c r="F277" s="6"/>
      <c r="G277" s="6"/>
      <c r="H277" s="6"/>
      <c r="I277" s="7"/>
    </row>
    <row r="278" spans="1:9">
      <c r="A278" s="5"/>
      <c r="B278" s="6"/>
      <c r="C278" s="6"/>
      <c r="D278" s="6"/>
      <c r="E278" s="6"/>
      <c r="F278" s="6"/>
      <c r="G278" s="6"/>
      <c r="H278" s="6"/>
      <c r="I278" s="7"/>
    </row>
    <row r="279" spans="1:9">
      <c r="A279" s="5"/>
      <c r="B279" s="6"/>
      <c r="C279" s="6"/>
      <c r="D279" s="6"/>
      <c r="E279" s="6"/>
      <c r="F279" s="6"/>
      <c r="G279" s="6"/>
      <c r="H279" s="6"/>
      <c r="I279" s="7"/>
    </row>
    <row r="280" spans="1:9">
      <c r="A280" s="5"/>
      <c r="B280" s="6"/>
      <c r="C280" s="6"/>
      <c r="D280" s="6"/>
      <c r="E280" s="6"/>
      <c r="F280" s="6"/>
      <c r="G280" s="6"/>
      <c r="H280" s="6"/>
      <c r="I280" s="7"/>
    </row>
    <row r="281" spans="1:9">
      <c r="A281" s="5"/>
      <c r="B281" s="6"/>
      <c r="C281" s="6"/>
      <c r="D281" s="6"/>
      <c r="E281" s="6"/>
      <c r="F281" s="6"/>
      <c r="G281" s="6"/>
      <c r="H281" s="6"/>
      <c r="I281" s="7"/>
    </row>
    <row r="282" spans="1:9">
      <c r="A282" s="5"/>
      <c r="B282" s="6"/>
      <c r="C282" s="6"/>
      <c r="D282" s="6"/>
      <c r="E282" s="6"/>
      <c r="F282" s="6"/>
      <c r="G282" s="6"/>
      <c r="H282" s="6"/>
      <c r="I282" s="7"/>
    </row>
    <row r="283" spans="1:9">
      <c r="A283" s="5"/>
      <c r="B283" s="6"/>
      <c r="C283" s="6"/>
      <c r="D283" s="6"/>
      <c r="E283" s="6"/>
      <c r="F283" s="6"/>
      <c r="G283" s="6"/>
      <c r="H283" s="6"/>
      <c r="I283" s="7"/>
    </row>
    <row r="284" spans="1:9">
      <c r="A284" s="5"/>
      <c r="B284" s="6"/>
      <c r="C284" s="6"/>
      <c r="D284" s="6"/>
      <c r="E284" s="6"/>
      <c r="F284" s="6"/>
      <c r="G284" s="6"/>
      <c r="H284" s="6"/>
      <c r="I284" s="7"/>
    </row>
    <row r="285" spans="1:9">
      <c r="A285" s="5"/>
      <c r="B285" s="6"/>
      <c r="C285" s="6"/>
      <c r="D285" s="6"/>
      <c r="E285" s="6"/>
      <c r="F285" s="6"/>
      <c r="G285" s="6"/>
      <c r="H285" s="6"/>
      <c r="I285" s="7"/>
    </row>
    <row r="286" spans="1:9">
      <c r="A286" s="5"/>
      <c r="B286" s="6"/>
      <c r="C286" s="6"/>
      <c r="D286" s="6"/>
      <c r="E286" s="6"/>
      <c r="F286" s="6"/>
      <c r="G286" s="6"/>
      <c r="H286" s="6"/>
      <c r="I286" s="7"/>
    </row>
    <row r="287" spans="1:9">
      <c r="A287" s="5"/>
      <c r="B287" s="6"/>
      <c r="C287" s="6"/>
      <c r="D287" s="6"/>
      <c r="E287" s="6"/>
      <c r="F287" s="6"/>
      <c r="G287" s="6"/>
      <c r="H287" s="6"/>
      <c r="I287" s="7"/>
    </row>
    <row r="288" spans="1:9">
      <c r="A288" s="5"/>
      <c r="B288" s="6"/>
      <c r="C288" s="6"/>
      <c r="D288" s="6"/>
      <c r="E288" s="6"/>
      <c r="F288" s="6"/>
      <c r="G288" s="6"/>
      <c r="H288" s="6"/>
      <c r="I288" s="7"/>
    </row>
    <row r="289" spans="1:9">
      <c r="A289" s="5"/>
      <c r="B289" s="6"/>
      <c r="C289" s="6"/>
      <c r="D289" s="6"/>
      <c r="E289" s="6"/>
      <c r="F289" s="6"/>
      <c r="G289" s="6"/>
      <c r="H289" s="6"/>
      <c r="I289" s="7"/>
    </row>
    <row r="290" spans="1:9">
      <c r="A290" s="5"/>
      <c r="B290" s="6"/>
      <c r="C290" s="6"/>
      <c r="D290" s="6"/>
      <c r="E290" s="6"/>
      <c r="F290" s="6"/>
      <c r="G290" s="6"/>
      <c r="H290" s="6"/>
      <c r="I290" s="7"/>
    </row>
    <row r="291" spans="1:9">
      <c r="A291" s="5"/>
      <c r="B291" s="6"/>
      <c r="C291" s="6"/>
      <c r="D291" s="6"/>
      <c r="E291" s="6"/>
      <c r="F291" s="6"/>
      <c r="G291" s="6"/>
      <c r="H291" s="6"/>
      <c r="I291" s="7"/>
    </row>
    <row r="292" spans="1:9">
      <c r="A292" s="5"/>
      <c r="B292" s="6"/>
      <c r="C292" s="6"/>
      <c r="D292" s="6"/>
      <c r="E292" s="6"/>
      <c r="F292" s="6"/>
      <c r="G292" s="6"/>
      <c r="H292" s="6"/>
      <c r="I292" s="7"/>
    </row>
    <row r="293" spans="1:9">
      <c r="A293" s="5"/>
      <c r="B293" s="6"/>
      <c r="C293" s="6"/>
      <c r="D293" s="6"/>
      <c r="E293" s="6"/>
      <c r="F293" s="6"/>
      <c r="G293" s="6"/>
      <c r="H293" s="6"/>
      <c r="I293" s="7"/>
    </row>
    <row r="294" spans="1:9">
      <c r="A294" s="5"/>
      <c r="B294" s="6"/>
      <c r="C294" s="6"/>
      <c r="D294" s="6"/>
      <c r="E294" s="6"/>
      <c r="F294" s="6"/>
      <c r="G294" s="6"/>
      <c r="H294" s="6"/>
      <c r="I294" s="7"/>
    </row>
    <row r="295" spans="1:9">
      <c r="A295" s="5"/>
      <c r="B295" s="6"/>
      <c r="C295" s="6"/>
      <c r="D295" s="6"/>
      <c r="E295" s="6"/>
      <c r="F295" s="6"/>
      <c r="G295" s="6"/>
      <c r="H295" s="6"/>
      <c r="I295" s="7"/>
    </row>
    <row r="296" spans="1:9">
      <c r="A296" s="5"/>
      <c r="B296" s="6"/>
      <c r="C296" s="6"/>
      <c r="D296" s="6"/>
      <c r="E296" s="6"/>
      <c r="F296" s="6"/>
      <c r="G296" s="6"/>
      <c r="H296" s="6"/>
      <c r="I296" s="7"/>
    </row>
    <row r="297" spans="1:9">
      <c r="A297" s="5"/>
      <c r="B297" s="6"/>
      <c r="C297" s="6"/>
      <c r="D297" s="6"/>
      <c r="E297" s="6"/>
      <c r="F297" s="6"/>
      <c r="G297" s="6"/>
      <c r="H297" s="6"/>
      <c r="I297" s="7"/>
    </row>
    <row r="298" spans="1:9">
      <c r="A298" s="5"/>
      <c r="B298" s="6"/>
      <c r="C298" s="6"/>
      <c r="D298" s="6"/>
      <c r="E298" s="6"/>
      <c r="F298" s="6"/>
      <c r="G298" s="6"/>
      <c r="H298" s="6"/>
      <c r="I298" s="7"/>
    </row>
    <row r="299" spans="1:9">
      <c r="A299" s="5"/>
      <c r="B299" s="6"/>
      <c r="C299" s="6"/>
      <c r="D299" s="6"/>
      <c r="E299" s="6"/>
      <c r="F299" s="6"/>
      <c r="G299" s="6"/>
      <c r="H299" s="6"/>
      <c r="I299" s="7"/>
    </row>
    <row r="300" spans="1:9">
      <c r="A300" s="5"/>
      <c r="B300" s="6"/>
      <c r="C300" s="6"/>
      <c r="D300" s="6"/>
      <c r="E300" s="6"/>
      <c r="F300" s="6"/>
      <c r="G300" s="6"/>
      <c r="H300" s="6"/>
      <c r="I300" s="7"/>
    </row>
    <row r="301" spans="1:9">
      <c r="A301" s="5"/>
      <c r="B301" s="6"/>
      <c r="C301" s="6"/>
      <c r="D301" s="6"/>
      <c r="E301" s="6"/>
      <c r="F301" s="6"/>
      <c r="G301" s="6"/>
      <c r="H301" s="6"/>
      <c r="I301" s="7"/>
    </row>
    <row r="302" spans="1:9">
      <c r="A302" s="5"/>
      <c r="B302" s="6"/>
      <c r="C302" s="6"/>
      <c r="D302" s="6"/>
      <c r="E302" s="6"/>
      <c r="F302" s="6"/>
      <c r="G302" s="6"/>
      <c r="H302" s="6"/>
      <c r="I302" s="7"/>
    </row>
    <row r="303" spans="1:9">
      <c r="A303" s="5"/>
      <c r="B303" s="6"/>
      <c r="C303" s="6"/>
      <c r="D303" s="6"/>
      <c r="E303" s="6"/>
      <c r="F303" s="6"/>
      <c r="G303" s="6"/>
      <c r="H303" s="6"/>
      <c r="I303" s="7"/>
    </row>
    <row r="304" spans="1:9">
      <c r="A304" s="5"/>
      <c r="B304" s="6"/>
      <c r="C304" s="6"/>
      <c r="D304" s="6"/>
      <c r="E304" s="6"/>
      <c r="F304" s="6"/>
      <c r="G304" s="6"/>
      <c r="H304" s="6"/>
      <c r="I304" s="7"/>
    </row>
    <row r="305" spans="1:9">
      <c r="A305" s="5"/>
      <c r="B305" s="6"/>
      <c r="C305" s="6"/>
      <c r="D305" s="6"/>
      <c r="E305" s="6"/>
      <c r="F305" s="6"/>
      <c r="G305" s="6"/>
      <c r="H305" s="6"/>
      <c r="I305" s="7"/>
    </row>
    <row r="306" spans="1:9">
      <c r="A306" s="5"/>
      <c r="B306" s="6"/>
      <c r="C306" s="6"/>
      <c r="D306" s="6"/>
      <c r="E306" s="6"/>
      <c r="F306" s="6"/>
      <c r="G306" s="6"/>
      <c r="H306" s="6"/>
      <c r="I306" s="7"/>
    </row>
    <row r="307" spans="1:9">
      <c r="A307" s="5"/>
      <c r="B307" s="6"/>
      <c r="C307" s="6"/>
      <c r="D307" s="6"/>
      <c r="E307" s="6"/>
      <c r="F307" s="6"/>
      <c r="G307" s="6"/>
      <c r="H307" s="6"/>
      <c r="I307" s="7"/>
    </row>
    <row r="308" spans="1:9">
      <c r="A308" s="5"/>
      <c r="B308" s="6"/>
      <c r="C308" s="6"/>
      <c r="D308" s="6"/>
      <c r="E308" s="6"/>
      <c r="F308" s="6"/>
      <c r="G308" s="6"/>
      <c r="H308" s="6"/>
      <c r="I308" s="7"/>
    </row>
    <row r="309" spans="1:9">
      <c r="A309" s="5"/>
      <c r="B309" s="6"/>
      <c r="C309" s="6"/>
      <c r="D309" s="6"/>
      <c r="E309" s="6"/>
      <c r="F309" s="6"/>
      <c r="G309" s="6"/>
      <c r="H309" s="6"/>
      <c r="I309" s="7"/>
    </row>
    <row r="310" spans="1:9">
      <c r="A310" s="5"/>
      <c r="B310" s="6"/>
      <c r="C310" s="6"/>
      <c r="D310" s="6"/>
      <c r="E310" s="6"/>
      <c r="F310" s="6"/>
      <c r="G310" s="6"/>
      <c r="H310" s="6"/>
      <c r="I310" s="7"/>
    </row>
    <row r="311" spans="1:9">
      <c r="A311" s="5"/>
      <c r="B311" s="6"/>
      <c r="C311" s="6"/>
      <c r="D311" s="6"/>
      <c r="E311" s="6"/>
      <c r="F311" s="6"/>
      <c r="G311" s="6"/>
      <c r="H311" s="6"/>
      <c r="I311" s="7"/>
    </row>
    <row r="312" spans="1:9">
      <c r="A312" s="5"/>
      <c r="B312" s="6"/>
      <c r="C312" s="6"/>
      <c r="D312" s="6"/>
      <c r="E312" s="6"/>
      <c r="F312" s="6"/>
      <c r="G312" s="6"/>
      <c r="H312" s="6"/>
      <c r="I312" s="7"/>
    </row>
    <row r="313" spans="1:9">
      <c r="A313" s="5"/>
      <c r="B313" s="6"/>
      <c r="C313" s="6"/>
      <c r="D313" s="6"/>
      <c r="E313" s="6"/>
      <c r="F313" s="6"/>
      <c r="G313" s="6"/>
      <c r="H313" s="6"/>
      <c r="I313" s="7"/>
    </row>
    <row r="314" spans="1:9">
      <c r="A314" s="5"/>
      <c r="B314" s="6"/>
      <c r="C314" s="6"/>
      <c r="D314" s="6"/>
      <c r="E314" s="6"/>
      <c r="F314" s="6"/>
      <c r="G314" s="6"/>
      <c r="H314" s="6"/>
      <c r="I314" s="7"/>
    </row>
    <row r="315" spans="1:9">
      <c r="A315" s="5"/>
      <c r="B315" s="6"/>
      <c r="C315" s="6"/>
      <c r="D315" s="6"/>
      <c r="E315" s="6"/>
      <c r="F315" s="6"/>
      <c r="G315" s="6"/>
      <c r="H315" s="6"/>
      <c r="I315" s="7"/>
    </row>
    <row r="316" spans="1:9">
      <c r="A316" s="5"/>
      <c r="B316" s="6"/>
      <c r="C316" s="6"/>
      <c r="D316" s="6"/>
      <c r="E316" s="6"/>
      <c r="F316" s="6"/>
      <c r="G316" s="6"/>
      <c r="H316" s="6"/>
      <c r="I316" s="7"/>
    </row>
    <row r="317" spans="1:9">
      <c r="A317" s="5"/>
      <c r="B317" s="6"/>
      <c r="C317" s="6"/>
      <c r="D317" s="6"/>
      <c r="E317" s="6"/>
      <c r="F317" s="6"/>
      <c r="G317" s="6"/>
      <c r="H317" s="6"/>
      <c r="I317" s="7"/>
    </row>
    <row r="318" spans="1:9">
      <c r="A318" s="5"/>
      <c r="B318" s="6"/>
      <c r="C318" s="6"/>
      <c r="D318" s="6"/>
      <c r="E318" s="6"/>
      <c r="F318" s="6"/>
      <c r="G318" s="6"/>
      <c r="H318" s="6"/>
      <c r="I318" s="7"/>
    </row>
    <row r="319" spans="1:9">
      <c r="A319" s="5"/>
      <c r="B319" s="6"/>
      <c r="C319" s="6"/>
      <c r="D319" s="6"/>
      <c r="E319" s="6"/>
      <c r="F319" s="6"/>
      <c r="G319" s="6"/>
      <c r="H319" s="6"/>
      <c r="I319" s="7"/>
    </row>
    <row r="320" spans="1:9">
      <c r="A320" s="5"/>
      <c r="B320" s="6"/>
      <c r="C320" s="6"/>
      <c r="D320" s="6"/>
      <c r="E320" s="6"/>
      <c r="F320" s="6"/>
      <c r="G320" s="6"/>
      <c r="H320" s="6"/>
      <c r="I320" s="7"/>
    </row>
    <row r="321" spans="1:9">
      <c r="A321" s="5"/>
      <c r="B321" s="6"/>
      <c r="C321" s="6"/>
      <c r="D321" s="6"/>
      <c r="E321" s="6"/>
      <c r="F321" s="6"/>
      <c r="G321" s="6"/>
      <c r="H321" s="6"/>
      <c r="I321" s="7"/>
    </row>
    <row r="322" spans="1:9">
      <c r="A322" s="5"/>
      <c r="B322" s="6"/>
      <c r="C322" s="6"/>
      <c r="D322" s="6"/>
      <c r="E322" s="6"/>
      <c r="F322" s="6"/>
      <c r="G322" s="6"/>
      <c r="H322" s="6"/>
      <c r="I322" s="7"/>
    </row>
    <row r="323" spans="1:9">
      <c r="A323" s="5"/>
      <c r="B323" s="6"/>
      <c r="C323" s="6"/>
      <c r="D323" s="6"/>
      <c r="E323" s="6"/>
      <c r="F323" s="6"/>
      <c r="G323" s="6"/>
      <c r="H323" s="6"/>
      <c r="I323" s="7"/>
    </row>
    <row r="324" spans="1:9">
      <c r="A324" s="5"/>
      <c r="B324" s="6"/>
      <c r="C324" s="6"/>
      <c r="D324" s="6"/>
      <c r="E324" s="6"/>
      <c r="F324" s="6"/>
      <c r="G324" s="6"/>
      <c r="H324" s="6"/>
      <c r="I324" s="7"/>
    </row>
    <row r="325" spans="1:9">
      <c r="A325" s="5"/>
      <c r="B325" s="6"/>
      <c r="C325" s="6"/>
      <c r="D325" s="6"/>
      <c r="E325" s="6"/>
      <c r="F325" s="6"/>
      <c r="G325" s="6"/>
      <c r="H325" s="6"/>
      <c r="I325" s="7"/>
    </row>
    <row r="326" spans="1:9">
      <c r="A326" s="5"/>
      <c r="B326" s="6"/>
      <c r="C326" s="6"/>
      <c r="D326" s="6"/>
      <c r="E326" s="6"/>
      <c r="F326" s="6"/>
      <c r="G326" s="6"/>
      <c r="H326" s="6"/>
      <c r="I326" s="7"/>
    </row>
    <row r="327" spans="1:9">
      <c r="A327" s="5"/>
      <c r="B327" s="6"/>
      <c r="C327" s="6"/>
      <c r="D327" s="6"/>
      <c r="E327" s="6"/>
      <c r="F327" s="6"/>
      <c r="G327" s="6"/>
      <c r="H327" s="6"/>
      <c r="I327" s="7"/>
    </row>
    <row r="328" spans="1:9">
      <c r="A328" s="5"/>
      <c r="B328" s="6"/>
      <c r="C328" s="6"/>
      <c r="D328" s="6"/>
      <c r="E328" s="6"/>
      <c r="F328" s="6"/>
      <c r="G328" s="6"/>
      <c r="H328" s="6"/>
      <c r="I328" s="7"/>
    </row>
    <row r="329" spans="1:9">
      <c r="A329" s="5"/>
      <c r="B329" s="6"/>
      <c r="C329" s="6"/>
      <c r="D329" s="6"/>
      <c r="E329" s="6"/>
      <c r="F329" s="6"/>
      <c r="G329" s="6"/>
      <c r="H329" s="6"/>
      <c r="I329" s="7"/>
    </row>
    <row r="330" spans="1:9">
      <c r="A330" s="5"/>
      <c r="B330" s="6"/>
      <c r="C330" s="6"/>
      <c r="D330" s="6"/>
      <c r="E330" s="6"/>
      <c r="F330" s="6"/>
      <c r="G330" s="6"/>
      <c r="H330" s="6"/>
      <c r="I330" s="7"/>
    </row>
    <row r="331" spans="1:9">
      <c r="A331" s="5"/>
      <c r="B331" s="6"/>
      <c r="C331" s="6"/>
      <c r="D331" s="6"/>
      <c r="E331" s="6"/>
      <c r="F331" s="6"/>
      <c r="G331" s="6"/>
      <c r="H331" s="6"/>
      <c r="I331" s="7"/>
    </row>
    <row r="332" spans="1:9">
      <c r="A332" s="5"/>
      <c r="B332" s="6"/>
      <c r="C332" s="6"/>
      <c r="D332" s="6"/>
      <c r="E332" s="6"/>
      <c r="F332" s="6"/>
      <c r="G332" s="6"/>
      <c r="H332" s="6"/>
      <c r="I332" s="7"/>
    </row>
    <row r="333" spans="1:9">
      <c r="A333" s="5"/>
      <c r="B333" s="6"/>
      <c r="C333" s="6"/>
      <c r="D333" s="6"/>
      <c r="E333" s="6"/>
      <c r="F333" s="6"/>
      <c r="G333" s="6"/>
      <c r="H333" s="6"/>
      <c r="I333" s="7"/>
    </row>
    <row r="334" spans="1:9">
      <c r="A334" s="5"/>
      <c r="B334" s="6"/>
      <c r="C334" s="6"/>
      <c r="D334" s="6"/>
      <c r="E334" s="6"/>
      <c r="F334" s="6"/>
      <c r="G334" s="6"/>
      <c r="H334" s="6"/>
      <c r="I334" s="7"/>
    </row>
    <row r="335" spans="1:9">
      <c r="A335" s="5"/>
      <c r="B335" s="6"/>
      <c r="C335" s="6"/>
      <c r="D335" s="6"/>
      <c r="E335" s="6"/>
      <c r="F335" s="6"/>
      <c r="G335" s="6"/>
      <c r="H335" s="6"/>
      <c r="I335" s="7"/>
    </row>
    <row r="336" spans="1:9">
      <c r="A336" s="5"/>
      <c r="B336" s="6"/>
      <c r="C336" s="6"/>
      <c r="D336" s="6"/>
      <c r="E336" s="6"/>
      <c r="F336" s="6"/>
      <c r="G336" s="6"/>
      <c r="H336" s="6"/>
      <c r="I336" s="7"/>
    </row>
    <row r="337" spans="1:9">
      <c r="A337" s="5"/>
      <c r="B337" s="6"/>
      <c r="C337" s="6"/>
      <c r="D337" s="6"/>
      <c r="E337" s="6"/>
      <c r="F337" s="6"/>
      <c r="G337" s="6"/>
      <c r="H337" s="6"/>
      <c r="I337" s="7"/>
    </row>
    <row r="338" spans="1:9">
      <c r="A338" s="5"/>
      <c r="B338" s="6"/>
      <c r="C338" s="6"/>
      <c r="D338" s="6"/>
      <c r="E338" s="6"/>
      <c r="F338" s="6"/>
      <c r="G338" s="6"/>
      <c r="H338" s="6"/>
      <c r="I338" s="7"/>
    </row>
    <row r="339" spans="1:9">
      <c r="A339" s="5"/>
      <c r="B339" s="6"/>
      <c r="C339" s="6"/>
      <c r="D339" s="6"/>
      <c r="E339" s="6"/>
      <c r="F339" s="6"/>
      <c r="G339" s="6"/>
      <c r="H339" s="6"/>
      <c r="I339" s="7"/>
    </row>
    <row r="340" spans="1:9">
      <c r="A340" s="5"/>
      <c r="B340" s="6"/>
      <c r="C340" s="6"/>
      <c r="D340" s="6"/>
      <c r="E340" s="6"/>
      <c r="F340" s="6"/>
      <c r="G340" s="6"/>
      <c r="H340" s="6"/>
      <c r="I340" s="7"/>
    </row>
    <row r="341" spans="1:9">
      <c r="A341" s="5"/>
      <c r="B341" s="6"/>
      <c r="C341" s="6"/>
      <c r="D341" s="6"/>
      <c r="E341" s="6"/>
      <c r="F341" s="6"/>
      <c r="G341" s="6"/>
      <c r="H341" s="6"/>
      <c r="I341" s="7"/>
    </row>
    <row r="342" spans="1:9">
      <c r="A342" s="5"/>
      <c r="B342" s="6"/>
      <c r="C342" s="6"/>
      <c r="D342" s="6"/>
      <c r="E342" s="6"/>
      <c r="F342" s="6"/>
      <c r="G342" s="6"/>
      <c r="H342" s="6"/>
      <c r="I342" s="7"/>
    </row>
    <row r="343" spans="1:9">
      <c r="A343" s="5"/>
      <c r="B343" s="6"/>
      <c r="C343" s="6"/>
      <c r="D343" s="6"/>
      <c r="E343" s="6"/>
      <c r="F343" s="6"/>
      <c r="G343" s="6"/>
      <c r="H343" s="6"/>
      <c r="I343" s="7"/>
    </row>
    <row r="344" spans="1:9">
      <c r="A344" s="5"/>
      <c r="B344" s="6"/>
      <c r="C344" s="6"/>
      <c r="D344" s="6"/>
      <c r="E344" s="6"/>
      <c r="F344" s="6"/>
      <c r="G344" s="6"/>
      <c r="H344" s="6"/>
      <c r="I344" s="7"/>
    </row>
    <row r="345" spans="1:9">
      <c r="A345" s="5"/>
      <c r="B345" s="6"/>
      <c r="C345" s="6"/>
      <c r="D345" s="6"/>
      <c r="E345" s="6"/>
      <c r="F345" s="6"/>
      <c r="G345" s="6"/>
      <c r="H345" s="6"/>
      <c r="I345" s="7"/>
    </row>
    <row r="346" spans="1:9">
      <c r="A346" s="5"/>
      <c r="B346" s="6"/>
      <c r="C346" s="6"/>
      <c r="D346" s="6"/>
      <c r="E346" s="6"/>
      <c r="F346" s="6"/>
      <c r="G346" s="6"/>
      <c r="H346" s="6"/>
      <c r="I346" s="7"/>
    </row>
    <row r="347" spans="1:9">
      <c r="A347" s="5"/>
      <c r="B347" s="6"/>
      <c r="C347" s="6"/>
      <c r="D347" s="6"/>
      <c r="E347" s="6"/>
      <c r="F347" s="6"/>
      <c r="G347" s="6"/>
      <c r="H347" s="6"/>
      <c r="I347" s="7"/>
    </row>
    <row r="348" spans="1:9">
      <c r="A348" s="5"/>
      <c r="B348" s="6"/>
      <c r="C348" s="6"/>
      <c r="D348" s="6"/>
      <c r="E348" s="6"/>
      <c r="F348" s="6"/>
      <c r="G348" s="6"/>
      <c r="H348" s="6"/>
      <c r="I348" s="7"/>
    </row>
    <row r="349" spans="1:9">
      <c r="A349" s="5"/>
      <c r="B349" s="6"/>
      <c r="C349" s="6"/>
      <c r="D349" s="6"/>
      <c r="E349" s="6"/>
      <c r="F349" s="6"/>
      <c r="G349" s="6"/>
      <c r="H349" s="6"/>
      <c r="I349" s="7"/>
    </row>
    <row r="350" spans="1:9">
      <c r="A350" s="5"/>
      <c r="B350" s="6"/>
      <c r="C350" s="6"/>
      <c r="D350" s="6"/>
      <c r="E350" s="6"/>
      <c r="F350" s="6"/>
      <c r="G350" s="6"/>
      <c r="H350" s="6"/>
      <c r="I350" s="7"/>
    </row>
    <row r="351" spans="1:9">
      <c r="A351" s="5"/>
      <c r="B351" s="6"/>
      <c r="C351" s="6"/>
      <c r="D351" s="6"/>
      <c r="E351" s="6"/>
      <c r="F351" s="6"/>
      <c r="G351" s="6"/>
      <c r="H351" s="6"/>
      <c r="I351" s="7"/>
    </row>
    <row r="352" spans="1:9">
      <c r="A352" s="5"/>
      <c r="B352" s="6"/>
      <c r="C352" s="6"/>
      <c r="D352" s="6"/>
      <c r="E352" s="6"/>
      <c r="F352" s="6"/>
      <c r="G352" s="6"/>
      <c r="H352" s="6"/>
      <c r="I352" s="7"/>
    </row>
    <row r="353" spans="1:9">
      <c r="A353" s="5"/>
      <c r="B353" s="6"/>
      <c r="C353" s="6"/>
      <c r="D353" s="6"/>
      <c r="E353" s="6"/>
      <c r="F353" s="6"/>
      <c r="G353" s="6"/>
      <c r="H353" s="6"/>
      <c r="I353" s="7"/>
    </row>
    <row r="354" spans="1:9">
      <c r="A354" s="5"/>
      <c r="B354" s="6"/>
      <c r="C354" s="6"/>
      <c r="D354" s="6"/>
      <c r="E354" s="6"/>
      <c r="F354" s="6"/>
      <c r="G354" s="6"/>
      <c r="H354" s="6"/>
      <c r="I354" s="7"/>
    </row>
    <row r="355" spans="1:9">
      <c r="A355" s="5"/>
      <c r="B355" s="6"/>
      <c r="C355" s="6"/>
      <c r="D355" s="6"/>
      <c r="E355" s="6"/>
      <c r="F355" s="6"/>
      <c r="G355" s="6"/>
      <c r="H355" s="6"/>
      <c r="I355" s="7"/>
    </row>
    <row r="356" spans="1:9">
      <c r="A356" s="5"/>
      <c r="B356" s="6"/>
      <c r="C356" s="6"/>
      <c r="D356" s="6"/>
      <c r="E356" s="6"/>
      <c r="F356" s="6"/>
      <c r="G356" s="6"/>
      <c r="H356" s="6"/>
      <c r="I356" s="7"/>
    </row>
    <row r="357" spans="1:9">
      <c r="A357" s="5"/>
      <c r="B357" s="6"/>
      <c r="C357" s="6"/>
      <c r="D357" s="6"/>
      <c r="E357" s="6"/>
      <c r="F357" s="6"/>
      <c r="G357" s="6"/>
      <c r="H357" s="6"/>
      <c r="I357" s="7"/>
    </row>
    <row r="358" spans="1:9">
      <c r="A358" s="5"/>
      <c r="B358" s="6"/>
      <c r="C358" s="6"/>
      <c r="D358" s="6"/>
      <c r="E358" s="6"/>
      <c r="F358" s="6"/>
      <c r="G358" s="6"/>
      <c r="H358" s="6"/>
      <c r="I358" s="7"/>
    </row>
    <row r="359" spans="1:9">
      <c r="A359" s="5"/>
      <c r="B359" s="6"/>
      <c r="C359" s="6"/>
      <c r="D359" s="6"/>
      <c r="E359" s="6"/>
      <c r="F359" s="6"/>
      <c r="G359" s="6"/>
      <c r="H359" s="6"/>
      <c r="I359" s="7"/>
    </row>
    <row r="360" spans="1:9">
      <c r="A360" s="5"/>
      <c r="B360" s="6"/>
      <c r="C360" s="6"/>
      <c r="D360" s="6"/>
      <c r="E360" s="6"/>
      <c r="F360" s="6"/>
      <c r="G360" s="6"/>
      <c r="H360" s="6"/>
      <c r="I360" s="7"/>
    </row>
    <row r="361" spans="1:9">
      <c r="A361" s="5"/>
      <c r="B361" s="6"/>
      <c r="C361" s="6"/>
      <c r="D361" s="6"/>
      <c r="E361" s="6"/>
      <c r="F361" s="6"/>
      <c r="G361" s="6"/>
      <c r="H361" s="6"/>
      <c r="I361" s="7"/>
    </row>
    <row r="362" spans="1:9">
      <c r="A362" s="5"/>
      <c r="B362" s="6"/>
      <c r="C362" s="6"/>
      <c r="D362" s="6"/>
      <c r="E362" s="6"/>
      <c r="F362" s="6"/>
      <c r="G362" s="6"/>
      <c r="H362" s="6"/>
      <c r="I362" s="7"/>
    </row>
    <row r="363" spans="1:9">
      <c r="A363" s="5"/>
      <c r="B363" s="6"/>
      <c r="C363" s="6"/>
      <c r="D363" s="6"/>
      <c r="E363" s="6"/>
      <c r="F363" s="6"/>
      <c r="G363" s="6"/>
      <c r="H363" s="6"/>
      <c r="I363" s="7"/>
    </row>
    <row r="364" spans="1:9">
      <c r="A364" s="5"/>
      <c r="B364" s="6"/>
      <c r="C364" s="6"/>
      <c r="D364" s="6"/>
      <c r="E364" s="6"/>
      <c r="F364" s="6"/>
      <c r="G364" s="6"/>
      <c r="H364" s="6"/>
      <c r="I364" s="7"/>
    </row>
    <row r="365" spans="1:9">
      <c r="A365" s="5"/>
      <c r="B365" s="6"/>
      <c r="C365" s="6"/>
      <c r="D365" s="6"/>
      <c r="E365" s="6"/>
      <c r="F365" s="6"/>
      <c r="G365" s="6"/>
      <c r="H365" s="6"/>
      <c r="I365" s="7"/>
    </row>
    <row r="366" spans="1:9">
      <c r="A366" s="5"/>
      <c r="B366" s="6"/>
      <c r="C366" s="6"/>
      <c r="D366" s="6"/>
      <c r="E366" s="6"/>
      <c r="F366" s="6"/>
      <c r="G366" s="6"/>
      <c r="H366" s="6"/>
      <c r="I366" s="7"/>
    </row>
    <row r="367" spans="1:9">
      <c r="A367" s="5"/>
      <c r="B367" s="6"/>
      <c r="C367" s="6"/>
      <c r="D367" s="6"/>
      <c r="E367" s="6"/>
      <c r="F367" s="6"/>
      <c r="G367" s="6"/>
      <c r="H367" s="6"/>
      <c r="I367" s="7"/>
    </row>
    <row r="368" spans="1:9">
      <c r="A368" s="5"/>
      <c r="B368" s="6"/>
      <c r="C368" s="6"/>
      <c r="D368" s="6"/>
      <c r="E368" s="6"/>
      <c r="F368" s="6"/>
      <c r="G368" s="6"/>
      <c r="H368" s="6"/>
      <c r="I368" s="7"/>
    </row>
    <row r="369" spans="1:9">
      <c r="A369" s="5"/>
      <c r="B369" s="6"/>
      <c r="C369" s="6"/>
      <c r="D369" s="6"/>
      <c r="E369" s="6"/>
      <c r="F369" s="6"/>
      <c r="G369" s="6"/>
      <c r="H369" s="6"/>
      <c r="I369" s="7"/>
    </row>
    <row r="370" spans="1:9">
      <c r="A370" s="5"/>
      <c r="B370" s="6"/>
      <c r="C370" s="6"/>
      <c r="D370" s="6"/>
      <c r="E370" s="6"/>
      <c r="F370" s="6"/>
      <c r="G370" s="6"/>
      <c r="H370" s="6"/>
      <c r="I370" s="7"/>
    </row>
    <row r="371" spans="1:9">
      <c r="A371" s="5"/>
      <c r="B371" s="6"/>
      <c r="C371" s="6"/>
      <c r="D371" s="6"/>
      <c r="E371" s="6"/>
      <c r="F371" s="6"/>
      <c r="G371" s="6"/>
      <c r="H371" s="6"/>
      <c r="I371" s="7"/>
    </row>
    <row r="372" spans="1:9">
      <c r="A372" s="5"/>
      <c r="B372" s="6"/>
      <c r="C372" s="6"/>
      <c r="D372" s="6"/>
      <c r="E372" s="6"/>
      <c r="F372" s="6"/>
      <c r="G372" s="6"/>
      <c r="H372" s="6"/>
      <c r="I372" s="7"/>
    </row>
    <row r="373" spans="1:9">
      <c r="A373" s="5"/>
      <c r="B373" s="6"/>
      <c r="C373" s="6"/>
      <c r="D373" s="6"/>
      <c r="E373" s="6"/>
      <c r="F373" s="6"/>
      <c r="G373" s="6"/>
      <c r="H373" s="6"/>
      <c r="I373" s="7"/>
    </row>
    <row r="374" spans="1:9">
      <c r="A374" s="5"/>
      <c r="B374" s="6"/>
      <c r="C374" s="6"/>
      <c r="D374" s="6"/>
      <c r="E374" s="6"/>
      <c r="F374" s="6"/>
      <c r="G374" s="6"/>
      <c r="H374" s="6"/>
      <c r="I374" s="7"/>
    </row>
    <row r="375" spans="1:9">
      <c r="A375" s="5"/>
      <c r="B375" s="6"/>
      <c r="C375" s="6"/>
      <c r="D375" s="6"/>
      <c r="E375" s="6"/>
      <c r="F375" s="6"/>
      <c r="G375" s="6"/>
      <c r="H375" s="6"/>
      <c r="I375" s="7"/>
    </row>
    <row r="376" spans="1:9">
      <c r="A376" s="5"/>
      <c r="B376" s="6"/>
      <c r="C376" s="6"/>
      <c r="D376" s="6"/>
      <c r="E376" s="6"/>
      <c r="F376" s="6"/>
      <c r="G376" s="6"/>
      <c r="H376" s="6"/>
      <c r="I376" s="7"/>
    </row>
    <row r="377" spans="1:9">
      <c r="A377" s="5"/>
      <c r="B377" s="6"/>
      <c r="C377" s="6"/>
      <c r="D377" s="6"/>
      <c r="E377" s="6"/>
      <c r="F377" s="6"/>
      <c r="G377" s="6"/>
      <c r="H377" s="6"/>
      <c r="I377" s="7"/>
    </row>
    <row r="378" spans="1:9">
      <c r="A378" s="5"/>
      <c r="B378" s="6"/>
      <c r="C378" s="6"/>
      <c r="D378" s="6"/>
      <c r="E378" s="6"/>
      <c r="F378" s="6"/>
      <c r="G378" s="6"/>
      <c r="H378" s="6"/>
      <c r="I378" s="7"/>
    </row>
    <row r="379" spans="1:9">
      <c r="A379" s="5"/>
      <c r="B379" s="6"/>
      <c r="C379" s="6"/>
      <c r="D379" s="6"/>
      <c r="E379" s="6"/>
      <c r="F379" s="6"/>
      <c r="G379" s="6"/>
      <c r="H379" s="6"/>
      <c r="I379" s="7"/>
    </row>
    <row r="380" spans="1:9">
      <c r="A380" s="5"/>
      <c r="B380" s="6"/>
      <c r="C380" s="6"/>
      <c r="D380" s="6"/>
      <c r="E380" s="6"/>
      <c r="F380" s="6"/>
      <c r="G380" s="6"/>
      <c r="H380" s="6"/>
      <c r="I380" s="7"/>
    </row>
    <row r="381" spans="1:9">
      <c r="A381" s="5"/>
      <c r="B381" s="6"/>
      <c r="C381" s="6"/>
      <c r="D381" s="6"/>
      <c r="E381" s="6"/>
      <c r="F381" s="6"/>
      <c r="G381" s="6"/>
      <c r="H381" s="6"/>
      <c r="I381" s="7"/>
    </row>
    <row r="382" spans="1:9">
      <c r="A382" s="5"/>
      <c r="B382" s="6"/>
      <c r="C382" s="6"/>
      <c r="D382" s="6"/>
      <c r="E382" s="6"/>
      <c r="F382" s="6"/>
      <c r="G382" s="6"/>
      <c r="H382" s="6"/>
      <c r="I382" s="7"/>
    </row>
    <row r="383" spans="1:9">
      <c r="A383" s="5"/>
      <c r="B383" s="6"/>
      <c r="C383" s="6"/>
      <c r="D383" s="6"/>
      <c r="E383" s="6"/>
      <c r="F383" s="6"/>
      <c r="G383" s="6"/>
      <c r="H383" s="6"/>
      <c r="I383" s="7"/>
    </row>
    <row r="384" spans="1:9">
      <c r="A384" s="5"/>
      <c r="B384" s="6"/>
      <c r="C384" s="6"/>
      <c r="D384" s="6"/>
      <c r="E384" s="6"/>
      <c r="F384" s="6"/>
      <c r="G384" s="6"/>
      <c r="H384" s="6"/>
      <c r="I384" s="7"/>
    </row>
    <row r="385" spans="1:9">
      <c r="A385" s="5"/>
      <c r="B385" s="6"/>
      <c r="C385" s="6"/>
      <c r="D385" s="6"/>
      <c r="E385" s="6"/>
      <c r="F385" s="6"/>
      <c r="G385" s="6"/>
      <c r="H385" s="6"/>
      <c r="I385" s="7"/>
    </row>
    <row r="386" spans="1:9">
      <c r="A386" s="5"/>
      <c r="B386" s="6"/>
      <c r="C386" s="6"/>
      <c r="D386" s="6"/>
      <c r="E386" s="6"/>
      <c r="F386" s="6"/>
      <c r="G386" s="6"/>
      <c r="H386" s="6"/>
      <c r="I386" s="7"/>
    </row>
    <row r="387" spans="1:9">
      <c r="A387" s="5"/>
      <c r="B387" s="6"/>
      <c r="C387" s="6"/>
      <c r="D387" s="6"/>
      <c r="E387" s="6"/>
      <c r="F387" s="6"/>
      <c r="G387" s="6"/>
      <c r="H387" s="6"/>
      <c r="I387" s="7"/>
    </row>
    <row r="388" spans="1:9">
      <c r="A388" s="5"/>
      <c r="B388" s="6"/>
      <c r="C388" s="6"/>
      <c r="D388" s="6"/>
      <c r="E388" s="6"/>
      <c r="F388" s="6"/>
      <c r="G388" s="6"/>
      <c r="H388" s="6"/>
      <c r="I388" s="7"/>
    </row>
    <row r="389" spans="1:9">
      <c r="A389" s="5"/>
      <c r="B389" s="6"/>
      <c r="C389" s="6"/>
      <c r="D389" s="6"/>
      <c r="E389" s="6"/>
      <c r="F389" s="6"/>
      <c r="G389" s="6"/>
      <c r="H389" s="6"/>
      <c r="I389" s="7"/>
    </row>
    <row r="390" spans="1:9">
      <c r="A390" s="5"/>
      <c r="B390" s="6"/>
      <c r="C390" s="6"/>
      <c r="D390" s="6"/>
      <c r="E390" s="6"/>
      <c r="F390" s="6"/>
      <c r="G390" s="6"/>
      <c r="H390" s="6"/>
      <c r="I390" s="7"/>
    </row>
    <row r="391" spans="1:9">
      <c r="A391" s="5"/>
      <c r="B391" s="6"/>
      <c r="C391" s="6"/>
      <c r="D391" s="6"/>
      <c r="E391" s="6"/>
      <c r="F391" s="6"/>
      <c r="G391" s="6"/>
      <c r="H391" s="6"/>
      <c r="I391" s="7"/>
    </row>
    <row r="392" spans="1:9">
      <c r="A392" s="5"/>
      <c r="B392" s="6"/>
      <c r="C392" s="6"/>
      <c r="D392" s="6"/>
      <c r="E392" s="6"/>
      <c r="F392" s="6"/>
      <c r="G392" s="6"/>
      <c r="H392" s="6"/>
      <c r="I392" s="7"/>
    </row>
    <row r="393" spans="1:9">
      <c r="A393" s="5"/>
      <c r="B393" s="6"/>
      <c r="C393" s="6"/>
      <c r="D393" s="6"/>
      <c r="E393" s="6"/>
      <c r="F393" s="6"/>
      <c r="G393" s="6"/>
      <c r="H393" s="6"/>
      <c r="I393" s="7"/>
    </row>
    <row r="394" spans="1:9">
      <c r="A394" s="5"/>
      <c r="B394" s="6"/>
      <c r="C394" s="6"/>
      <c r="D394" s="6"/>
      <c r="E394" s="6"/>
      <c r="F394" s="6"/>
      <c r="G394" s="6"/>
      <c r="H394" s="6"/>
      <c r="I394" s="7"/>
    </row>
    <row r="395" spans="1:9">
      <c r="A395" s="5"/>
      <c r="B395" s="6"/>
      <c r="C395" s="6"/>
      <c r="D395" s="6"/>
      <c r="E395" s="6"/>
      <c r="F395" s="6"/>
      <c r="G395" s="6"/>
      <c r="H395" s="6"/>
      <c r="I395" s="7"/>
    </row>
    <row r="396" spans="1:9">
      <c r="A396" s="5"/>
      <c r="B396" s="6"/>
      <c r="C396" s="6"/>
      <c r="D396" s="6"/>
      <c r="E396" s="6"/>
      <c r="F396" s="6"/>
      <c r="G396" s="6"/>
      <c r="H396" s="6"/>
      <c r="I396" s="7"/>
    </row>
    <row r="397" spans="1:9">
      <c r="A397" s="5"/>
      <c r="B397" s="6"/>
      <c r="C397" s="6"/>
      <c r="D397" s="6"/>
      <c r="E397" s="6"/>
      <c r="F397" s="6"/>
      <c r="G397" s="6"/>
      <c r="H397" s="6"/>
      <c r="I397" s="7"/>
    </row>
    <row r="398" spans="1:9">
      <c r="A398" s="5"/>
      <c r="B398" s="6"/>
      <c r="C398" s="6"/>
      <c r="D398" s="6"/>
      <c r="E398" s="6"/>
      <c r="F398" s="6"/>
      <c r="G398" s="6"/>
      <c r="H398" s="6"/>
      <c r="I398" s="7"/>
    </row>
    <row r="399" spans="1:9">
      <c r="A399" s="5"/>
      <c r="B399" s="6"/>
      <c r="C399" s="6"/>
      <c r="D399" s="6"/>
      <c r="E399" s="6"/>
      <c r="F399" s="6"/>
      <c r="G399" s="6"/>
      <c r="H399" s="6"/>
      <c r="I399" s="7"/>
    </row>
    <row r="400" spans="1:9">
      <c r="A400" s="5"/>
      <c r="B400" s="6"/>
      <c r="C400" s="6"/>
      <c r="D400" s="6"/>
      <c r="E400" s="6"/>
      <c r="F400" s="6"/>
      <c r="G400" s="6"/>
      <c r="H400" s="6"/>
      <c r="I400" s="7"/>
    </row>
    <row r="401" spans="1:9">
      <c r="A401" s="5"/>
      <c r="B401" s="6"/>
      <c r="C401" s="6"/>
      <c r="D401" s="6"/>
      <c r="E401" s="6"/>
      <c r="F401" s="6"/>
      <c r="G401" s="6"/>
      <c r="H401" s="6"/>
      <c r="I401" s="7"/>
    </row>
    <row r="402" spans="1:9">
      <c r="A402" s="5"/>
      <c r="B402" s="6"/>
      <c r="C402" s="6"/>
      <c r="D402" s="6"/>
      <c r="E402" s="6"/>
      <c r="F402" s="6"/>
      <c r="G402" s="6"/>
      <c r="H402" s="6"/>
      <c r="I402" s="7"/>
    </row>
    <row r="403" spans="1:9">
      <c r="A403" s="5"/>
      <c r="B403" s="6"/>
      <c r="C403" s="6"/>
      <c r="D403" s="6"/>
      <c r="E403" s="6"/>
      <c r="F403" s="6"/>
      <c r="G403" s="6"/>
      <c r="H403" s="6"/>
      <c r="I403" s="7"/>
    </row>
    <row r="404" spans="1:9">
      <c r="A404" s="5"/>
      <c r="B404" s="6"/>
      <c r="C404" s="6"/>
      <c r="D404" s="6"/>
      <c r="E404" s="6"/>
      <c r="F404" s="6"/>
      <c r="G404" s="6"/>
      <c r="H404" s="6"/>
      <c r="I404" s="7"/>
    </row>
    <row r="405" spans="1:9">
      <c r="A405" s="5"/>
      <c r="B405" s="6"/>
      <c r="C405" s="6"/>
      <c r="D405" s="6"/>
      <c r="E405" s="6"/>
      <c r="F405" s="6"/>
      <c r="G405" s="6"/>
      <c r="H405" s="6"/>
      <c r="I405" s="7"/>
    </row>
    <row r="406" spans="1:9">
      <c r="A406" s="5"/>
      <c r="B406" s="6"/>
      <c r="C406" s="6"/>
      <c r="D406" s="6"/>
      <c r="E406" s="6"/>
      <c r="F406" s="6"/>
      <c r="G406" s="6"/>
      <c r="H406" s="6"/>
      <c r="I406" s="7"/>
    </row>
    <row r="407" spans="1:9">
      <c r="A407" s="5"/>
      <c r="B407" s="6"/>
      <c r="C407" s="6"/>
      <c r="D407" s="6"/>
      <c r="E407" s="6"/>
      <c r="F407" s="6"/>
      <c r="G407" s="6"/>
      <c r="H407" s="6"/>
      <c r="I407" s="7"/>
    </row>
    <row r="408" spans="1:9">
      <c r="A408" s="5"/>
      <c r="B408" s="6"/>
      <c r="C408" s="6"/>
      <c r="D408" s="6"/>
      <c r="E408" s="6"/>
      <c r="F408" s="6"/>
      <c r="G408" s="6"/>
      <c r="H408" s="6"/>
      <c r="I408" s="7"/>
    </row>
    <row r="409" spans="1:9">
      <c r="A409" s="5"/>
      <c r="B409" s="6"/>
      <c r="C409" s="6"/>
      <c r="D409" s="6"/>
      <c r="E409" s="6"/>
      <c r="F409" s="6"/>
      <c r="G409" s="6"/>
      <c r="H409" s="6"/>
      <c r="I409" s="7"/>
    </row>
    <row r="410" spans="1:9">
      <c r="A410" s="5"/>
      <c r="B410" s="6"/>
      <c r="C410" s="6"/>
      <c r="D410" s="6"/>
      <c r="E410" s="6"/>
      <c r="F410" s="6"/>
      <c r="G410" s="6"/>
      <c r="H410" s="6"/>
      <c r="I410" s="7"/>
    </row>
    <row r="411" spans="1:9">
      <c r="A411" s="5"/>
      <c r="B411" s="6"/>
      <c r="C411" s="6"/>
      <c r="D411" s="6"/>
      <c r="E411" s="6"/>
      <c r="F411" s="6"/>
      <c r="G411" s="6"/>
      <c r="H411" s="6"/>
      <c r="I411" s="7"/>
    </row>
    <row r="412" spans="1:9">
      <c r="A412" s="5"/>
      <c r="B412" s="6"/>
      <c r="C412" s="6"/>
      <c r="D412" s="6"/>
      <c r="E412" s="6"/>
      <c r="F412" s="6"/>
      <c r="G412" s="6"/>
      <c r="H412" s="6"/>
      <c r="I412" s="7"/>
    </row>
    <row r="413" spans="1:9">
      <c r="A413" s="5"/>
      <c r="B413" s="6"/>
      <c r="C413" s="6"/>
      <c r="D413" s="6"/>
      <c r="E413" s="6"/>
      <c r="F413" s="6"/>
      <c r="G413" s="6"/>
      <c r="H413" s="6"/>
      <c r="I413" s="7"/>
    </row>
    <row r="414" spans="1:9">
      <c r="A414" s="5"/>
      <c r="B414" s="6"/>
      <c r="C414" s="6"/>
      <c r="D414" s="6"/>
      <c r="E414" s="6"/>
      <c r="F414" s="6"/>
      <c r="G414" s="6"/>
      <c r="H414" s="6"/>
      <c r="I414" s="7"/>
    </row>
    <row r="415" spans="1:9">
      <c r="A415" s="5"/>
      <c r="B415" s="6"/>
      <c r="C415" s="6"/>
      <c r="D415" s="6"/>
      <c r="E415" s="6"/>
      <c r="F415" s="6"/>
      <c r="G415" s="6"/>
      <c r="H415" s="6"/>
      <c r="I415" s="7"/>
    </row>
    <row r="416" spans="1:9">
      <c r="A416" s="5"/>
      <c r="B416" s="6"/>
      <c r="C416" s="6"/>
      <c r="D416" s="6"/>
      <c r="E416" s="6"/>
      <c r="F416" s="6"/>
      <c r="G416" s="6"/>
      <c r="H416" s="6"/>
      <c r="I416" s="7"/>
    </row>
    <row r="417" spans="1:9">
      <c r="A417" s="5"/>
      <c r="B417" s="6"/>
      <c r="C417" s="6"/>
      <c r="D417" s="6"/>
      <c r="E417" s="6"/>
      <c r="F417" s="6"/>
      <c r="G417" s="6"/>
      <c r="H417" s="6"/>
      <c r="I417" s="7"/>
    </row>
    <row r="418" spans="1:9">
      <c r="A418" s="5"/>
      <c r="B418" s="6"/>
      <c r="C418" s="6"/>
      <c r="D418" s="6"/>
      <c r="E418" s="6"/>
      <c r="F418" s="6"/>
      <c r="G418" s="6"/>
      <c r="H418" s="6"/>
      <c r="I418" s="7"/>
    </row>
    <row r="419" spans="1:9">
      <c r="A419" s="5"/>
      <c r="B419" s="6"/>
      <c r="C419" s="6"/>
      <c r="D419" s="6"/>
      <c r="E419" s="6"/>
      <c r="F419" s="6"/>
      <c r="G419" s="6"/>
      <c r="H419" s="6"/>
      <c r="I419" s="7"/>
    </row>
    <row r="420" spans="1:9">
      <c r="A420" s="5"/>
      <c r="B420" s="6"/>
      <c r="C420" s="6"/>
      <c r="D420" s="6"/>
      <c r="E420" s="6"/>
      <c r="F420" s="6"/>
      <c r="G420" s="6"/>
      <c r="H420" s="6"/>
      <c r="I420" s="7"/>
    </row>
    <row r="421" spans="1:9">
      <c r="A421" s="5"/>
      <c r="B421" s="6"/>
      <c r="C421" s="6"/>
      <c r="D421" s="6"/>
      <c r="E421" s="6"/>
      <c r="F421" s="6"/>
      <c r="G421" s="6"/>
      <c r="H421" s="6"/>
      <c r="I421" s="7"/>
    </row>
    <row r="422" spans="1:9">
      <c r="A422" s="5"/>
      <c r="B422" s="6"/>
      <c r="C422" s="6"/>
      <c r="D422" s="6"/>
      <c r="E422" s="6"/>
      <c r="F422" s="6"/>
      <c r="G422" s="6"/>
      <c r="H422" s="6"/>
      <c r="I422" s="7"/>
    </row>
    <row r="423" spans="1:9">
      <c r="A423" s="5"/>
      <c r="B423" s="6"/>
      <c r="C423" s="6"/>
      <c r="D423" s="6"/>
      <c r="E423" s="6"/>
      <c r="F423" s="6"/>
      <c r="G423" s="6"/>
      <c r="H423" s="6"/>
      <c r="I423" s="7"/>
    </row>
    <row r="424" spans="1:9">
      <c r="A424" s="5"/>
      <c r="B424" s="6"/>
      <c r="C424" s="6"/>
      <c r="D424" s="6"/>
      <c r="E424" s="6"/>
      <c r="F424" s="6"/>
      <c r="G424" s="6"/>
      <c r="H424" s="6"/>
      <c r="I424" s="7"/>
    </row>
    <row r="425" spans="1:9">
      <c r="A425" s="5"/>
      <c r="B425" s="6"/>
      <c r="C425" s="6"/>
      <c r="D425" s="6"/>
      <c r="E425" s="6"/>
      <c r="F425" s="6"/>
      <c r="G425" s="6"/>
      <c r="H425" s="6"/>
      <c r="I425" s="7"/>
    </row>
    <row r="426" spans="1:9">
      <c r="A426" s="5"/>
      <c r="B426" s="6"/>
      <c r="C426" s="6"/>
      <c r="D426" s="6"/>
      <c r="E426" s="6"/>
      <c r="F426" s="6"/>
      <c r="G426" s="6"/>
      <c r="H426" s="6"/>
      <c r="I426" s="7"/>
    </row>
    <row r="427" spans="1:9">
      <c r="A427" s="5"/>
      <c r="B427" s="6"/>
      <c r="C427" s="6"/>
      <c r="D427" s="6"/>
      <c r="E427" s="6"/>
      <c r="F427" s="6"/>
      <c r="G427" s="6"/>
      <c r="H427" s="6"/>
      <c r="I427" s="7"/>
    </row>
    <row r="428" spans="1:9">
      <c r="A428" s="5"/>
      <c r="B428" s="6"/>
      <c r="C428" s="6"/>
      <c r="D428" s="6"/>
      <c r="E428" s="6"/>
      <c r="F428" s="6"/>
      <c r="G428" s="6"/>
      <c r="H428" s="6"/>
      <c r="I428" s="7"/>
    </row>
    <row r="429" spans="1:9">
      <c r="A429" s="5"/>
      <c r="B429" s="6"/>
      <c r="C429" s="6"/>
      <c r="D429" s="6"/>
      <c r="E429" s="6"/>
      <c r="F429" s="6"/>
      <c r="G429" s="6"/>
      <c r="H429" s="6"/>
      <c r="I429" s="7"/>
    </row>
    <row r="430" spans="1:9">
      <c r="A430" s="5"/>
      <c r="B430" s="6"/>
      <c r="C430" s="6"/>
      <c r="D430" s="6"/>
      <c r="E430" s="6"/>
      <c r="F430" s="6"/>
      <c r="G430" s="6"/>
      <c r="H430" s="6"/>
      <c r="I430" s="7"/>
    </row>
    <row r="431" spans="1:9">
      <c r="A431" s="5"/>
      <c r="B431" s="6"/>
      <c r="C431" s="6"/>
      <c r="D431" s="6"/>
      <c r="E431" s="6"/>
      <c r="F431" s="6"/>
      <c r="G431" s="6"/>
      <c r="H431" s="6"/>
      <c r="I431" s="7"/>
    </row>
    <row r="432" spans="1:9">
      <c r="A432" s="5"/>
      <c r="B432" s="6"/>
      <c r="C432" s="6"/>
      <c r="D432" s="6"/>
      <c r="E432" s="6"/>
      <c r="F432" s="6"/>
      <c r="G432" s="6"/>
      <c r="H432" s="6"/>
      <c r="I432" s="7"/>
    </row>
    <row r="433" spans="1:9">
      <c r="A433" s="5"/>
      <c r="B433" s="6"/>
      <c r="C433" s="6"/>
      <c r="D433" s="6"/>
      <c r="E433" s="6"/>
      <c r="F433" s="6"/>
      <c r="G433" s="6"/>
      <c r="H433" s="6"/>
      <c r="I433" s="7"/>
    </row>
    <row r="434" spans="1:9">
      <c r="A434" s="5"/>
      <c r="B434" s="6"/>
      <c r="C434" s="6"/>
      <c r="D434" s="6"/>
      <c r="E434" s="6"/>
      <c r="F434" s="6"/>
      <c r="G434" s="6"/>
      <c r="H434" s="6"/>
      <c r="I434" s="7"/>
    </row>
    <row r="435" spans="1:9">
      <c r="A435" s="5"/>
      <c r="B435" s="6"/>
      <c r="C435" s="6"/>
      <c r="D435" s="6"/>
      <c r="E435" s="6"/>
      <c r="F435" s="6"/>
      <c r="G435" s="6"/>
      <c r="H435" s="6"/>
      <c r="I435" s="7"/>
    </row>
    <row r="436" spans="1:9">
      <c r="A436" s="5"/>
      <c r="B436" s="6"/>
      <c r="C436" s="6"/>
      <c r="D436" s="6"/>
      <c r="E436" s="6"/>
      <c r="F436" s="6"/>
      <c r="G436" s="6"/>
      <c r="H436" s="6"/>
      <c r="I436" s="7"/>
    </row>
    <row r="437" spans="1:9">
      <c r="A437" s="5"/>
      <c r="B437" s="6"/>
      <c r="C437" s="6"/>
      <c r="D437" s="6"/>
      <c r="E437" s="6"/>
      <c r="F437" s="6"/>
      <c r="G437" s="6"/>
      <c r="H437" s="6"/>
      <c r="I437" s="7"/>
    </row>
    <row r="438" spans="1:9">
      <c r="A438" s="5"/>
      <c r="B438" s="6"/>
      <c r="C438" s="6"/>
      <c r="D438" s="6"/>
      <c r="E438" s="6"/>
      <c r="F438" s="6"/>
      <c r="G438" s="6"/>
      <c r="H438" s="6"/>
      <c r="I438" s="7"/>
    </row>
    <row r="439" spans="1:9">
      <c r="A439" s="5"/>
      <c r="B439" s="6"/>
      <c r="C439" s="6"/>
      <c r="D439" s="6"/>
      <c r="E439" s="6"/>
      <c r="F439" s="6"/>
      <c r="G439" s="6"/>
      <c r="H439" s="6"/>
      <c r="I439" s="7"/>
    </row>
    <row r="440" spans="1:9">
      <c r="A440" s="5"/>
      <c r="B440" s="6"/>
      <c r="C440" s="6"/>
      <c r="D440" s="6"/>
      <c r="E440" s="6"/>
      <c r="F440" s="6"/>
      <c r="G440" s="6"/>
      <c r="H440" s="6"/>
      <c r="I440" s="7"/>
    </row>
    <row r="441" spans="1:9">
      <c r="A441" s="5"/>
      <c r="B441" s="6"/>
      <c r="C441" s="6"/>
      <c r="D441" s="6"/>
      <c r="E441" s="6"/>
      <c r="F441" s="6"/>
      <c r="G441" s="6"/>
      <c r="H441" s="6"/>
      <c r="I441" s="7"/>
    </row>
    <row r="442" spans="1:9">
      <c r="A442" s="5"/>
      <c r="B442" s="6"/>
      <c r="C442" s="6"/>
      <c r="D442" s="6"/>
      <c r="E442" s="6"/>
      <c r="F442" s="6"/>
      <c r="G442" s="6"/>
      <c r="H442" s="6"/>
      <c r="I442" s="7"/>
    </row>
    <row r="443" spans="1:9">
      <c r="A443" s="5"/>
      <c r="B443" s="6"/>
      <c r="C443" s="6"/>
      <c r="D443" s="6"/>
      <c r="E443" s="6"/>
      <c r="F443" s="6"/>
      <c r="G443" s="6"/>
      <c r="H443" s="6"/>
      <c r="I443" s="7"/>
    </row>
    <row r="444" spans="1:9">
      <c r="A444" s="5"/>
      <c r="B444" s="6"/>
      <c r="C444" s="6"/>
      <c r="D444" s="6"/>
      <c r="E444" s="6"/>
      <c r="F444" s="6"/>
      <c r="G444" s="6"/>
      <c r="H444" s="6"/>
      <c r="I444" s="7"/>
    </row>
    <row r="445" spans="1:9">
      <c r="A445" s="5"/>
      <c r="B445" s="6"/>
      <c r="C445" s="6"/>
      <c r="D445" s="6"/>
      <c r="E445" s="6"/>
      <c r="F445" s="6"/>
      <c r="G445" s="6"/>
      <c r="H445" s="6"/>
      <c r="I445" s="7"/>
    </row>
    <row r="446" spans="1:9">
      <c r="A446" s="5"/>
      <c r="B446" s="6"/>
      <c r="C446" s="6"/>
      <c r="D446" s="6"/>
      <c r="E446" s="6"/>
      <c r="F446" s="6"/>
      <c r="G446" s="6"/>
      <c r="H446" s="6"/>
      <c r="I446" s="7"/>
    </row>
    <row r="447" spans="1:9">
      <c r="A447" s="5"/>
      <c r="B447" s="6"/>
      <c r="C447" s="6"/>
      <c r="D447" s="6"/>
      <c r="E447" s="6"/>
      <c r="F447" s="6"/>
      <c r="G447" s="6"/>
      <c r="H447" s="6"/>
      <c r="I447" s="7"/>
    </row>
    <row r="448" spans="1:9">
      <c r="A448" s="5"/>
      <c r="B448" s="6"/>
      <c r="C448" s="6"/>
      <c r="D448" s="6"/>
      <c r="E448" s="6"/>
      <c r="F448" s="6"/>
      <c r="G448" s="6"/>
      <c r="H448" s="6"/>
      <c r="I448" s="7"/>
    </row>
    <row r="449" spans="1:9">
      <c r="A449" s="5"/>
      <c r="B449" s="6"/>
      <c r="C449" s="6"/>
      <c r="D449" s="6"/>
      <c r="E449" s="6"/>
      <c r="F449" s="6"/>
      <c r="G449" s="6"/>
      <c r="H449" s="6"/>
      <c r="I449" s="7"/>
    </row>
    <row r="450" spans="1:9">
      <c r="A450" s="5"/>
      <c r="B450" s="6"/>
      <c r="C450" s="6"/>
      <c r="D450" s="6"/>
      <c r="E450" s="6"/>
      <c r="F450" s="6"/>
      <c r="G450" s="6"/>
      <c r="H450" s="6"/>
      <c r="I450" s="7"/>
    </row>
    <row r="451" spans="1:9">
      <c r="A451" s="5"/>
      <c r="B451" s="6"/>
      <c r="C451" s="6"/>
      <c r="D451" s="6"/>
      <c r="E451" s="6"/>
      <c r="F451" s="6"/>
      <c r="G451" s="6"/>
      <c r="H451" s="6"/>
      <c r="I451" s="7"/>
    </row>
    <row r="452" spans="1:9">
      <c r="A452" s="5"/>
      <c r="B452" s="6"/>
      <c r="C452" s="6"/>
      <c r="D452" s="6"/>
      <c r="E452" s="6"/>
      <c r="F452" s="6"/>
      <c r="G452" s="6"/>
      <c r="H452" s="6"/>
      <c r="I452" s="7"/>
    </row>
    <row r="453" spans="1:9">
      <c r="A453" s="5"/>
      <c r="B453" s="6"/>
      <c r="C453" s="6"/>
      <c r="D453" s="6"/>
      <c r="E453" s="6"/>
      <c r="F453" s="6"/>
      <c r="G453" s="6"/>
      <c r="H453" s="6"/>
      <c r="I453" s="7"/>
    </row>
    <row r="454" spans="1:9">
      <c r="A454" s="5"/>
      <c r="B454" s="6"/>
      <c r="C454" s="6"/>
      <c r="D454" s="6"/>
      <c r="E454" s="6"/>
      <c r="F454" s="6"/>
      <c r="G454" s="6"/>
      <c r="H454" s="6"/>
      <c r="I454" s="7"/>
    </row>
    <row r="455" spans="1:9">
      <c r="A455" s="5"/>
      <c r="B455" s="6"/>
      <c r="C455" s="6"/>
      <c r="D455" s="6"/>
      <c r="E455" s="6"/>
      <c r="F455" s="6"/>
      <c r="G455" s="6"/>
      <c r="H455" s="6"/>
      <c r="I455" s="7"/>
    </row>
    <row r="456" spans="1:9">
      <c r="A456" s="5"/>
      <c r="B456" s="6"/>
      <c r="C456" s="6"/>
      <c r="D456" s="6"/>
      <c r="E456" s="6"/>
      <c r="F456" s="6"/>
      <c r="G456" s="6"/>
      <c r="H456" s="6"/>
      <c r="I456" s="7"/>
    </row>
    <row r="457" spans="1:9">
      <c r="A457" s="5"/>
      <c r="B457" s="6"/>
      <c r="C457" s="6"/>
      <c r="D457" s="6"/>
      <c r="E457" s="6"/>
      <c r="F457" s="6"/>
      <c r="G457" s="6"/>
      <c r="H457" s="6"/>
      <c r="I457" s="7"/>
    </row>
    <row r="458" spans="1:9">
      <c r="A458" s="5"/>
      <c r="B458" s="6"/>
      <c r="C458" s="6"/>
      <c r="D458" s="6"/>
      <c r="E458" s="6"/>
      <c r="F458" s="6"/>
      <c r="G458" s="6"/>
      <c r="H458" s="6"/>
      <c r="I458" s="7"/>
    </row>
    <row r="459" spans="1:9">
      <c r="A459" s="5"/>
      <c r="B459" s="6"/>
      <c r="C459" s="6"/>
      <c r="D459" s="6"/>
      <c r="E459" s="6"/>
      <c r="F459" s="6"/>
      <c r="G459" s="6"/>
      <c r="H459" s="6"/>
      <c r="I459" s="7"/>
    </row>
    <row r="460" spans="1:9">
      <c r="A460" s="5"/>
      <c r="B460" s="6"/>
      <c r="C460" s="6"/>
      <c r="D460" s="6"/>
      <c r="E460" s="6"/>
      <c r="F460" s="6"/>
      <c r="G460" s="6"/>
      <c r="H460" s="6"/>
      <c r="I460" s="7"/>
    </row>
    <row r="461" spans="1:9">
      <c r="A461" s="5"/>
      <c r="B461" s="6"/>
      <c r="C461" s="6"/>
      <c r="D461" s="6"/>
      <c r="E461" s="6"/>
      <c r="F461" s="6"/>
      <c r="G461" s="6"/>
      <c r="H461" s="6"/>
      <c r="I461" s="7"/>
    </row>
    <row r="462" spans="1:9">
      <c r="A462" s="5"/>
      <c r="B462" s="6"/>
      <c r="C462" s="6"/>
      <c r="D462" s="6"/>
      <c r="E462" s="6"/>
      <c r="F462" s="6"/>
      <c r="G462" s="6"/>
      <c r="H462" s="6"/>
      <c r="I462" s="7"/>
    </row>
    <row r="463" spans="1:9">
      <c r="A463" s="5"/>
      <c r="B463" s="6"/>
      <c r="C463" s="6"/>
      <c r="D463" s="6"/>
      <c r="E463" s="6"/>
      <c r="F463" s="6"/>
      <c r="G463" s="6"/>
      <c r="H463" s="6"/>
      <c r="I463" s="7"/>
    </row>
    <row r="464" spans="1:9">
      <c r="A464" s="5"/>
      <c r="B464" s="6"/>
      <c r="C464" s="6"/>
      <c r="D464" s="6"/>
      <c r="E464" s="6"/>
      <c r="F464" s="6"/>
      <c r="G464" s="6"/>
      <c r="H464" s="6"/>
      <c r="I464" s="7"/>
    </row>
    <row r="465" spans="1:9">
      <c r="A465" s="5"/>
      <c r="B465" s="6"/>
      <c r="C465" s="6"/>
      <c r="D465" s="6"/>
      <c r="E465" s="6"/>
      <c r="F465" s="6"/>
      <c r="G465" s="6"/>
      <c r="H465" s="6"/>
      <c r="I465" s="7"/>
    </row>
    <row r="466" spans="1:9">
      <c r="A466" s="5"/>
      <c r="B466" s="6"/>
      <c r="C466" s="6"/>
      <c r="D466" s="6"/>
      <c r="E466" s="6"/>
      <c r="F466" s="6"/>
      <c r="G466" s="6"/>
      <c r="H466" s="6"/>
      <c r="I466" s="7"/>
    </row>
    <row r="467" spans="1:9">
      <c r="A467" s="5"/>
      <c r="B467" s="6"/>
      <c r="C467" s="6"/>
      <c r="D467" s="6"/>
      <c r="E467" s="6"/>
      <c r="F467" s="6"/>
      <c r="G467" s="6"/>
      <c r="H467" s="6"/>
      <c r="I467" s="7"/>
    </row>
    <row r="468" spans="1:9">
      <c r="A468" s="5"/>
      <c r="B468" s="6"/>
      <c r="C468" s="6"/>
      <c r="D468" s="6"/>
      <c r="E468" s="6"/>
      <c r="F468" s="6"/>
      <c r="G468" s="6"/>
      <c r="H468" s="6"/>
      <c r="I468" s="7"/>
    </row>
    <row r="469" spans="1:9">
      <c r="A469" s="5"/>
      <c r="B469" s="6"/>
      <c r="C469" s="6"/>
      <c r="D469" s="6"/>
      <c r="E469" s="6"/>
      <c r="F469" s="6"/>
      <c r="G469" s="6"/>
      <c r="H469" s="6"/>
      <c r="I469" s="7"/>
    </row>
    <row r="470" spans="1:9">
      <c r="A470" s="5"/>
      <c r="B470" s="6"/>
      <c r="C470" s="6"/>
      <c r="D470" s="6"/>
      <c r="E470" s="6"/>
      <c r="F470" s="6"/>
      <c r="G470" s="6"/>
      <c r="H470" s="6"/>
      <c r="I470" s="7"/>
    </row>
    <row r="471" spans="1:9">
      <c r="A471" s="5"/>
      <c r="B471" s="6"/>
      <c r="C471" s="6"/>
      <c r="D471" s="6"/>
      <c r="E471" s="6"/>
      <c r="F471" s="6"/>
      <c r="G471" s="6"/>
      <c r="H471" s="6"/>
      <c r="I471" s="7"/>
    </row>
    <row r="472" spans="1:9">
      <c r="A472" s="5"/>
      <c r="B472" s="6"/>
      <c r="C472" s="6"/>
      <c r="D472" s="6"/>
      <c r="E472" s="6"/>
      <c r="F472" s="6"/>
      <c r="G472" s="6"/>
      <c r="H472" s="6"/>
      <c r="I472" s="7"/>
    </row>
    <row r="473" spans="1:9">
      <c r="A473" s="5"/>
      <c r="B473" s="6"/>
      <c r="C473" s="6"/>
      <c r="D473" s="6"/>
      <c r="E473" s="6"/>
      <c r="F473" s="6"/>
      <c r="G473" s="6"/>
      <c r="H473" s="6"/>
      <c r="I473" s="7"/>
    </row>
    <row r="474" spans="1:9">
      <c r="A474" s="5"/>
      <c r="B474" s="6"/>
      <c r="C474" s="6"/>
      <c r="D474" s="6"/>
      <c r="E474" s="6"/>
      <c r="F474" s="6"/>
      <c r="G474" s="6"/>
      <c r="H474" s="6"/>
      <c r="I474" s="7"/>
    </row>
    <row r="475" spans="1:9">
      <c r="A475" s="5"/>
      <c r="B475" s="6"/>
      <c r="C475" s="6"/>
      <c r="D475" s="6"/>
      <c r="E475" s="6"/>
      <c r="F475" s="6"/>
      <c r="G475" s="6"/>
      <c r="H475" s="6"/>
      <c r="I475" s="7"/>
    </row>
    <row r="476" spans="1:9">
      <c r="A476" s="5"/>
      <c r="B476" s="6"/>
      <c r="C476" s="6"/>
      <c r="D476" s="6"/>
      <c r="E476" s="6"/>
      <c r="F476" s="6"/>
      <c r="G476" s="6"/>
      <c r="H476" s="6"/>
      <c r="I476" s="7"/>
    </row>
    <row r="477" spans="1:9">
      <c r="A477" s="5"/>
      <c r="B477" s="6"/>
      <c r="C477" s="6"/>
      <c r="D477" s="6"/>
      <c r="E477" s="6"/>
      <c r="F477" s="6"/>
      <c r="G477" s="6"/>
      <c r="H477" s="6"/>
      <c r="I477" s="7"/>
    </row>
    <row r="478" spans="1:9">
      <c r="A478" s="5"/>
      <c r="B478" s="6"/>
      <c r="C478" s="6"/>
      <c r="D478" s="6"/>
      <c r="E478" s="6"/>
      <c r="F478" s="6"/>
      <c r="G478" s="6"/>
      <c r="H478" s="6"/>
      <c r="I478" s="7"/>
    </row>
    <row r="479" spans="1:9">
      <c r="A479" s="5"/>
      <c r="B479" s="6"/>
      <c r="C479" s="6"/>
      <c r="D479" s="6"/>
      <c r="E479" s="6"/>
      <c r="F479" s="6"/>
      <c r="G479" s="6"/>
      <c r="H479" s="6"/>
      <c r="I479" s="7"/>
    </row>
    <row r="480" spans="1:9">
      <c r="A480" s="5"/>
      <c r="B480" s="6"/>
      <c r="C480" s="6"/>
      <c r="D480" s="6"/>
      <c r="E480" s="6"/>
      <c r="F480" s="6"/>
      <c r="G480" s="6"/>
      <c r="H480" s="6"/>
      <c r="I480" s="7"/>
    </row>
    <row r="481" spans="1:9">
      <c r="A481" s="5"/>
      <c r="B481" s="6"/>
      <c r="C481" s="6"/>
      <c r="D481" s="6"/>
      <c r="E481" s="6"/>
      <c r="F481" s="6"/>
      <c r="G481" s="6"/>
      <c r="H481" s="6"/>
      <c r="I481" s="7"/>
    </row>
    <row r="482" spans="1:9">
      <c r="A482" s="5"/>
      <c r="B482" s="6"/>
      <c r="C482" s="6"/>
      <c r="D482" s="6"/>
      <c r="E482" s="6"/>
      <c r="F482" s="6"/>
      <c r="G482" s="6"/>
      <c r="H482" s="6"/>
      <c r="I482" s="7"/>
    </row>
    <row r="483" spans="1:9">
      <c r="A483" s="5"/>
      <c r="B483" s="6"/>
      <c r="C483" s="6"/>
      <c r="D483" s="6"/>
      <c r="E483" s="6"/>
      <c r="F483" s="6"/>
      <c r="G483" s="6"/>
      <c r="H483" s="6"/>
      <c r="I483" s="7"/>
    </row>
    <row r="484" spans="1:9">
      <c r="A484" s="5"/>
      <c r="B484" s="6"/>
      <c r="C484" s="6"/>
      <c r="D484" s="6"/>
      <c r="E484" s="6"/>
      <c r="F484" s="6"/>
      <c r="G484" s="6"/>
      <c r="H484" s="6"/>
      <c r="I484" s="7"/>
    </row>
    <row r="485" spans="1:9">
      <c r="A485" s="5"/>
      <c r="B485" s="6"/>
      <c r="C485" s="6"/>
      <c r="D485" s="6"/>
      <c r="E485" s="6"/>
      <c r="F485" s="6"/>
      <c r="G485" s="6"/>
      <c r="H485" s="6"/>
      <c r="I485" s="7"/>
    </row>
    <row r="486" spans="1:9">
      <c r="A486" s="5"/>
      <c r="B486" s="6"/>
      <c r="C486" s="6"/>
      <c r="D486" s="6"/>
      <c r="E486" s="6"/>
      <c r="F486" s="6"/>
      <c r="G486" s="6"/>
      <c r="H486" s="6"/>
      <c r="I486" s="7"/>
    </row>
    <row r="487" spans="1:9">
      <c r="A487" s="5"/>
      <c r="B487" s="6"/>
      <c r="C487" s="6"/>
      <c r="D487" s="6"/>
      <c r="E487" s="6"/>
      <c r="F487" s="6"/>
      <c r="G487" s="6"/>
      <c r="H487" s="6"/>
      <c r="I487" s="7"/>
    </row>
    <row r="488" spans="1:9">
      <c r="A488" s="5"/>
      <c r="B488" s="6"/>
      <c r="C488" s="6"/>
      <c r="D488" s="6"/>
      <c r="E488" s="6"/>
      <c r="F488" s="6"/>
      <c r="G488" s="6"/>
      <c r="H488" s="6"/>
      <c r="I488" s="7"/>
    </row>
    <row r="489" spans="1:9">
      <c r="A489" s="5"/>
      <c r="B489" s="6"/>
      <c r="C489" s="6"/>
      <c r="D489" s="6"/>
      <c r="E489" s="6"/>
      <c r="F489" s="6"/>
      <c r="G489" s="6"/>
      <c r="H489" s="6"/>
      <c r="I489" s="7"/>
    </row>
    <row r="490" spans="1:9">
      <c r="A490" s="5"/>
      <c r="B490" s="6"/>
      <c r="C490" s="6"/>
      <c r="D490" s="6"/>
      <c r="E490" s="6"/>
      <c r="F490" s="6"/>
      <c r="G490" s="6"/>
      <c r="H490" s="6"/>
      <c r="I490" s="7"/>
    </row>
    <row r="491" spans="1:9">
      <c r="A491" s="5"/>
      <c r="B491" s="6"/>
      <c r="C491" s="6"/>
      <c r="D491" s="6"/>
      <c r="E491" s="6"/>
      <c r="F491" s="6"/>
      <c r="G491" s="6"/>
      <c r="H491" s="6"/>
      <c r="I491" s="7"/>
    </row>
    <row r="492" spans="1:9">
      <c r="A492" s="5"/>
      <c r="B492" s="6"/>
      <c r="C492" s="6"/>
      <c r="D492" s="6"/>
      <c r="E492" s="6"/>
      <c r="F492" s="6"/>
      <c r="G492" s="6"/>
      <c r="H492" s="6"/>
      <c r="I492" s="7"/>
    </row>
    <row r="493" spans="1:9">
      <c r="A493" s="5"/>
      <c r="B493" s="6"/>
      <c r="C493" s="6"/>
      <c r="D493" s="6"/>
      <c r="E493" s="6"/>
      <c r="F493" s="6"/>
      <c r="G493" s="6"/>
      <c r="H493" s="6"/>
      <c r="I493" s="7"/>
    </row>
    <row r="494" spans="1:9">
      <c r="A494" s="5"/>
      <c r="B494" s="6"/>
      <c r="C494" s="6"/>
      <c r="D494" s="6"/>
      <c r="E494" s="6"/>
      <c r="F494" s="6"/>
      <c r="G494" s="6"/>
      <c r="H494" s="6"/>
      <c r="I494" s="7"/>
    </row>
    <row r="495" spans="1:9">
      <c r="A495" s="5"/>
      <c r="B495" s="6"/>
      <c r="C495" s="6"/>
      <c r="D495" s="6"/>
      <c r="E495" s="6"/>
      <c r="F495" s="6"/>
      <c r="G495" s="6"/>
      <c r="H495" s="6"/>
      <c r="I495" s="7"/>
    </row>
    <row r="496" spans="1:9">
      <c r="A496" s="5"/>
      <c r="B496" s="6"/>
      <c r="C496" s="6"/>
      <c r="D496" s="6"/>
      <c r="E496" s="6"/>
      <c r="F496" s="6"/>
      <c r="G496" s="6"/>
      <c r="H496" s="6"/>
      <c r="I496" s="7"/>
    </row>
    <row r="497" spans="1:9">
      <c r="A497" s="5"/>
      <c r="B497" s="6"/>
      <c r="C497" s="6"/>
      <c r="D497" s="6"/>
      <c r="E497" s="6"/>
      <c r="F497" s="6"/>
      <c r="G497" s="6"/>
      <c r="H497" s="6"/>
      <c r="I497" s="7"/>
    </row>
    <row r="498" spans="1:9">
      <c r="A498" s="5"/>
      <c r="B498" s="6"/>
      <c r="C498" s="6"/>
      <c r="D498" s="6"/>
      <c r="E498" s="6"/>
      <c r="F498" s="6"/>
      <c r="G498" s="6"/>
      <c r="H498" s="6"/>
      <c r="I498" s="7"/>
    </row>
    <row r="499" spans="1:9">
      <c r="A499" s="5"/>
      <c r="B499" s="6"/>
      <c r="C499" s="6"/>
      <c r="D499" s="6"/>
      <c r="E499" s="6"/>
      <c r="F499" s="6"/>
      <c r="G499" s="6"/>
      <c r="H499" s="6"/>
      <c r="I499" s="7"/>
    </row>
    <row r="500" spans="1:9">
      <c r="A500" s="8"/>
      <c r="B500" s="9"/>
      <c r="C500" s="9"/>
      <c r="D500" s="9"/>
      <c r="E500" s="9"/>
      <c r="F500" s="9"/>
      <c r="G500" s="9"/>
      <c r="H500" s="9"/>
      <c r="I500" s="10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sqref="A1:J1"/>
    </sheetView>
  </sheetViews>
  <sheetFormatPr baseColWidth="10" defaultColWidth="8.6640625" defaultRowHeight="14"/>
  <cols>
    <col min="1" max="1" width="22" customWidth="1"/>
    <col min="2" max="2" width="18" customWidth="1"/>
    <col min="3" max="6" width="16" customWidth="1"/>
    <col min="7" max="7" width="12" customWidth="1"/>
    <col min="8" max="8" width="40" customWidth="1"/>
  </cols>
  <sheetData>
    <row r="1" spans="1:10" ht="0.75" customHeight="1">
      <c r="A1" s="88" t="s">
        <v>113</v>
      </c>
      <c r="B1" s="89"/>
      <c r="C1" s="89"/>
      <c r="D1" s="89"/>
      <c r="E1" s="89"/>
      <c r="F1" s="89"/>
      <c r="G1" s="92"/>
      <c r="H1" s="89"/>
      <c r="I1" s="89"/>
      <c r="J1" s="89"/>
    </row>
    <row r="2" spans="1:10" ht="0.9" customHeight="1">
      <c r="A2" s="90" t="s">
        <v>114</v>
      </c>
      <c r="B2" s="89"/>
      <c r="C2" s="89"/>
      <c r="D2" s="89"/>
      <c r="E2" s="89"/>
      <c r="F2" s="89"/>
      <c r="G2" s="89"/>
      <c r="H2" s="89"/>
      <c r="I2" s="89"/>
      <c r="J2" s="89"/>
    </row>
    <row r="4" spans="1:10" ht="0.9" customHeight="1">
      <c r="A4" s="1" t="s">
        <v>36</v>
      </c>
      <c r="B4" s="1" t="s">
        <v>37</v>
      </c>
      <c r="C4" s="1" t="s">
        <v>38</v>
      </c>
      <c r="D4" s="1" t="s">
        <v>115</v>
      </c>
      <c r="E4" s="1" t="s">
        <v>116</v>
      </c>
      <c r="F4" s="1" t="s">
        <v>117</v>
      </c>
      <c r="G4" s="1" t="s">
        <v>118</v>
      </c>
      <c r="H4" s="1" t="s">
        <v>103</v>
      </c>
    </row>
    <row r="5" spans="1:10">
      <c r="A5" s="2" t="s">
        <v>32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54</v>
      </c>
      <c r="G5" s="3">
        <v>0.92500000000000004</v>
      </c>
      <c r="H5" s="4"/>
    </row>
    <row r="6" spans="1:10">
      <c r="A6" s="5" t="s">
        <v>32</v>
      </c>
      <c r="B6" s="6" t="s">
        <v>45</v>
      </c>
      <c r="C6" s="6" t="s">
        <v>46</v>
      </c>
      <c r="D6" s="6" t="s">
        <v>47</v>
      </c>
      <c r="E6" s="6" t="s">
        <v>54</v>
      </c>
      <c r="F6" s="6" t="s">
        <v>57</v>
      </c>
      <c r="G6" s="6">
        <v>0.90300000000000002</v>
      </c>
      <c r="H6" s="7"/>
    </row>
    <row r="7" spans="1:10">
      <c r="A7" s="5" t="s">
        <v>32</v>
      </c>
      <c r="B7" s="6" t="s">
        <v>45</v>
      </c>
      <c r="C7" s="6" t="s">
        <v>46</v>
      </c>
      <c r="D7" s="6" t="s">
        <v>47</v>
      </c>
      <c r="E7" s="6" t="s">
        <v>57</v>
      </c>
      <c r="F7" s="6" t="s">
        <v>59</v>
      </c>
      <c r="G7" s="6">
        <v>0.96299999999999997</v>
      </c>
      <c r="H7" s="7"/>
    </row>
    <row r="8" spans="1:10">
      <c r="A8" s="5" t="s">
        <v>32</v>
      </c>
      <c r="B8" s="6" t="s">
        <v>45</v>
      </c>
      <c r="C8" s="6" t="s">
        <v>46</v>
      </c>
      <c r="D8" s="6" t="s">
        <v>47</v>
      </c>
      <c r="E8" s="6" t="s">
        <v>59</v>
      </c>
      <c r="F8" s="6" t="s">
        <v>61</v>
      </c>
      <c r="G8" s="6">
        <v>0.91100000000000003</v>
      </c>
      <c r="H8" s="7"/>
    </row>
    <row r="9" spans="1:10">
      <c r="A9" s="5" t="s">
        <v>32</v>
      </c>
      <c r="B9" s="6" t="s">
        <v>45</v>
      </c>
      <c r="C9" s="6" t="s">
        <v>46</v>
      </c>
      <c r="D9" s="6" t="s">
        <v>47</v>
      </c>
      <c r="E9" s="6" t="s">
        <v>61</v>
      </c>
      <c r="F9" s="6" t="s">
        <v>63</v>
      </c>
      <c r="G9" s="6">
        <v>0.97599999999999998</v>
      </c>
      <c r="H9" s="7"/>
    </row>
    <row r="10" spans="1:10">
      <c r="A10" s="5" t="s">
        <v>32</v>
      </c>
      <c r="B10" s="6" t="s">
        <v>45</v>
      </c>
      <c r="C10" s="6" t="s">
        <v>46</v>
      </c>
      <c r="D10" s="6" t="s">
        <v>47</v>
      </c>
      <c r="E10" s="6" t="s">
        <v>63</v>
      </c>
      <c r="F10" s="6" t="s">
        <v>70</v>
      </c>
      <c r="G10" s="6">
        <v>0.98099999999999998</v>
      </c>
      <c r="H10" s="7"/>
    </row>
    <row r="11" spans="1:10">
      <c r="A11" s="5" t="s">
        <v>32</v>
      </c>
      <c r="B11" s="6" t="s">
        <v>45</v>
      </c>
      <c r="C11" s="6" t="s">
        <v>46</v>
      </c>
      <c r="D11" s="6" t="s">
        <v>47</v>
      </c>
      <c r="E11" s="6" t="s">
        <v>63</v>
      </c>
      <c r="F11" s="6" t="s">
        <v>28</v>
      </c>
      <c r="G11" s="6">
        <v>1.9E-2</v>
      </c>
      <c r="H11" s="7"/>
    </row>
    <row r="12" spans="1:10">
      <c r="A12" s="5" t="s">
        <v>32</v>
      </c>
      <c r="B12" s="6" t="s">
        <v>45</v>
      </c>
      <c r="C12" s="6" t="s">
        <v>46</v>
      </c>
      <c r="D12" s="6" t="s">
        <v>47</v>
      </c>
      <c r="E12" s="6" t="s">
        <v>28</v>
      </c>
      <c r="F12" s="6" t="s">
        <v>70</v>
      </c>
      <c r="G12" s="6">
        <v>0.8</v>
      </c>
      <c r="H12" s="7" t="s">
        <v>119</v>
      </c>
    </row>
    <row r="13" spans="1:10">
      <c r="A13" s="5" t="s">
        <v>32</v>
      </c>
      <c r="B13" s="6" t="s">
        <v>45</v>
      </c>
      <c r="C13" s="6" t="s">
        <v>46</v>
      </c>
      <c r="D13" s="6" t="s">
        <v>47</v>
      </c>
      <c r="E13" s="6" t="s">
        <v>28</v>
      </c>
      <c r="F13" s="6" t="s">
        <v>28</v>
      </c>
      <c r="G13" s="6">
        <v>0.2</v>
      </c>
      <c r="H13" s="7" t="s">
        <v>119</v>
      </c>
    </row>
    <row r="14" spans="1:10">
      <c r="A14" s="5" t="s">
        <v>32</v>
      </c>
      <c r="B14" s="6" t="s">
        <v>51</v>
      </c>
      <c r="C14" s="6" t="s">
        <v>46</v>
      </c>
      <c r="D14" s="6" t="s">
        <v>47</v>
      </c>
      <c r="E14" s="6" t="s">
        <v>48</v>
      </c>
      <c r="F14" s="6" t="s">
        <v>54</v>
      </c>
      <c r="G14" s="6">
        <v>0.89500000000000002</v>
      </c>
      <c r="H14" s="7"/>
    </row>
    <row r="15" spans="1:10">
      <c r="A15" s="5" t="s">
        <v>32</v>
      </c>
      <c r="B15" s="6" t="s">
        <v>51</v>
      </c>
      <c r="C15" s="6" t="s">
        <v>46</v>
      </c>
      <c r="D15" s="6" t="s">
        <v>47</v>
      </c>
      <c r="E15" s="6" t="s">
        <v>54</v>
      </c>
      <c r="F15" s="6" t="s">
        <v>57</v>
      </c>
      <c r="G15" s="6">
        <v>0.92800000000000005</v>
      </c>
      <c r="H15" s="7"/>
    </row>
    <row r="16" spans="1:10">
      <c r="A16" s="5" t="s">
        <v>32</v>
      </c>
      <c r="B16" s="6" t="s">
        <v>51</v>
      </c>
      <c r="C16" s="6" t="s">
        <v>46</v>
      </c>
      <c r="D16" s="6" t="s">
        <v>47</v>
      </c>
      <c r="E16" s="6" t="s">
        <v>57</v>
      </c>
      <c r="F16" s="6" t="s">
        <v>59</v>
      </c>
      <c r="G16" s="6">
        <v>0.95799999999999996</v>
      </c>
      <c r="H16" s="7"/>
    </row>
    <row r="17" spans="1:8">
      <c r="A17" s="5" t="s">
        <v>32</v>
      </c>
      <c r="B17" s="6" t="s">
        <v>51</v>
      </c>
      <c r="C17" s="6" t="s">
        <v>46</v>
      </c>
      <c r="D17" s="6" t="s">
        <v>47</v>
      </c>
      <c r="E17" s="6" t="s">
        <v>59</v>
      </c>
      <c r="F17" s="6" t="s">
        <v>61</v>
      </c>
      <c r="G17" s="6">
        <v>0.96799999999999997</v>
      </c>
      <c r="H17" s="7"/>
    </row>
    <row r="18" spans="1:8">
      <c r="A18" s="5" t="s">
        <v>32</v>
      </c>
      <c r="B18" s="6" t="s">
        <v>51</v>
      </c>
      <c r="C18" s="6" t="s">
        <v>46</v>
      </c>
      <c r="D18" s="6" t="s">
        <v>47</v>
      </c>
      <c r="E18" s="6" t="s">
        <v>61</v>
      </c>
      <c r="F18" s="6" t="s">
        <v>63</v>
      </c>
      <c r="G18" s="6">
        <v>0.97499999999999998</v>
      </c>
      <c r="H18" s="7"/>
    </row>
    <row r="19" spans="1:8">
      <c r="A19" s="5" t="s">
        <v>32</v>
      </c>
      <c r="B19" s="6" t="s">
        <v>51</v>
      </c>
      <c r="C19" s="6" t="s">
        <v>46</v>
      </c>
      <c r="D19" s="6" t="s">
        <v>47</v>
      </c>
      <c r="E19" s="6" t="s">
        <v>63</v>
      </c>
      <c r="F19" s="6" t="s">
        <v>65</v>
      </c>
      <c r="G19" s="6">
        <v>0.97699999999999998</v>
      </c>
      <c r="H19" s="7"/>
    </row>
    <row r="20" spans="1:8">
      <c r="A20" s="5" t="s">
        <v>32</v>
      </c>
      <c r="B20" s="6" t="s">
        <v>51</v>
      </c>
      <c r="C20" s="6" t="s">
        <v>46</v>
      </c>
      <c r="D20" s="6" t="s">
        <v>47</v>
      </c>
      <c r="E20" s="6" t="s">
        <v>65</v>
      </c>
      <c r="F20" s="6" t="s">
        <v>67</v>
      </c>
      <c r="G20" s="6">
        <v>0.97899999999999998</v>
      </c>
      <c r="H20" s="7"/>
    </row>
    <row r="21" spans="1:8">
      <c r="A21" s="5" t="s">
        <v>32</v>
      </c>
      <c r="B21" s="6" t="s">
        <v>51</v>
      </c>
      <c r="C21" s="6" t="s">
        <v>46</v>
      </c>
      <c r="D21" s="6" t="s">
        <v>47</v>
      </c>
      <c r="E21" s="6" t="s">
        <v>67</v>
      </c>
      <c r="F21" s="6" t="s">
        <v>70</v>
      </c>
      <c r="G21" s="6">
        <v>0.71</v>
      </c>
      <c r="H21" s="7"/>
    </row>
    <row r="22" spans="1:8">
      <c r="A22" s="5" t="s">
        <v>32</v>
      </c>
      <c r="B22" s="6" t="s">
        <v>51</v>
      </c>
      <c r="C22" s="6" t="s">
        <v>46</v>
      </c>
      <c r="D22" s="6" t="s">
        <v>47</v>
      </c>
      <c r="E22" s="6" t="s">
        <v>67</v>
      </c>
      <c r="F22" s="6" t="s">
        <v>28</v>
      </c>
      <c r="G22" s="6">
        <v>0.28999999999999998</v>
      </c>
      <c r="H22" s="7"/>
    </row>
    <row r="23" spans="1:8">
      <c r="A23" s="5" t="s">
        <v>32</v>
      </c>
      <c r="B23" s="6" t="s">
        <v>51</v>
      </c>
      <c r="C23" s="6" t="s">
        <v>46</v>
      </c>
      <c r="D23" s="6" t="s">
        <v>47</v>
      </c>
      <c r="E23" s="6" t="s">
        <v>28</v>
      </c>
      <c r="F23" s="6" t="s">
        <v>70</v>
      </c>
      <c r="G23" s="6">
        <v>0.4</v>
      </c>
      <c r="H23" s="7" t="s">
        <v>119</v>
      </c>
    </row>
    <row r="24" spans="1:8">
      <c r="A24" s="5" t="s">
        <v>32</v>
      </c>
      <c r="B24" s="6" t="s">
        <v>51</v>
      </c>
      <c r="C24" s="6" t="s">
        <v>46</v>
      </c>
      <c r="D24" s="6" t="s">
        <v>47</v>
      </c>
      <c r="E24" s="6" t="s">
        <v>28</v>
      </c>
      <c r="F24" s="6" t="s">
        <v>28</v>
      </c>
      <c r="G24" s="6">
        <v>0.6</v>
      </c>
      <c r="H24" s="7" t="s">
        <v>119</v>
      </c>
    </row>
    <row r="25" spans="1:8">
      <c r="A25" s="5"/>
      <c r="B25" s="6"/>
      <c r="C25" s="6"/>
      <c r="D25" s="6"/>
      <c r="E25" s="6"/>
      <c r="F25" s="6"/>
      <c r="G25" s="6"/>
      <c r="H25" s="7"/>
    </row>
    <row r="26" spans="1:8">
      <c r="A26" s="5"/>
      <c r="B26" s="6"/>
      <c r="C26" s="6"/>
      <c r="D26" s="6"/>
      <c r="E26" s="6"/>
      <c r="F26" s="6"/>
      <c r="G26" s="6"/>
      <c r="H26" s="7"/>
    </row>
    <row r="27" spans="1:8">
      <c r="A27" s="5"/>
      <c r="B27" s="6"/>
      <c r="C27" s="6"/>
      <c r="D27" s="6"/>
      <c r="E27" s="6"/>
      <c r="F27" s="6"/>
      <c r="G27" s="6"/>
      <c r="H27" s="7"/>
    </row>
    <row r="28" spans="1:8">
      <c r="A28" s="5"/>
      <c r="B28" s="6"/>
      <c r="C28" s="6"/>
      <c r="D28" s="6"/>
      <c r="E28" s="6"/>
      <c r="F28" s="6"/>
      <c r="G28" s="6"/>
      <c r="H28" s="7"/>
    </row>
    <row r="29" spans="1:8">
      <c r="A29" s="5"/>
      <c r="B29" s="6"/>
      <c r="C29" s="6"/>
      <c r="D29" s="6"/>
      <c r="E29" s="6"/>
      <c r="F29" s="6"/>
      <c r="G29" s="6"/>
      <c r="H29" s="7"/>
    </row>
    <row r="30" spans="1:8">
      <c r="A30" s="5"/>
      <c r="B30" s="6"/>
      <c r="C30" s="6"/>
      <c r="D30" s="6"/>
      <c r="E30" s="6"/>
      <c r="F30" s="6"/>
      <c r="G30" s="6"/>
      <c r="H30" s="7"/>
    </row>
    <row r="31" spans="1:8">
      <c r="A31" s="5"/>
      <c r="B31" s="6"/>
      <c r="C31" s="6"/>
      <c r="D31" s="6"/>
      <c r="E31" s="6"/>
      <c r="F31" s="6"/>
      <c r="G31" s="6"/>
      <c r="H31" s="7"/>
    </row>
    <row r="32" spans="1:8">
      <c r="A32" s="5"/>
      <c r="B32" s="6"/>
      <c r="C32" s="6"/>
      <c r="D32" s="6"/>
      <c r="E32" s="6"/>
      <c r="F32" s="6"/>
      <c r="G32" s="6"/>
      <c r="H32" s="7"/>
    </row>
    <row r="33" spans="1:8">
      <c r="A33" s="5"/>
      <c r="B33" s="6"/>
      <c r="C33" s="6"/>
      <c r="D33" s="6"/>
      <c r="E33" s="6"/>
      <c r="F33" s="6"/>
      <c r="G33" s="6"/>
      <c r="H33" s="7"/>
    </row>
    <row r="34" spans="1:8">
      <c r="A34" s="5"/>
      <c r="B34" s="6"/>
      <c r="C34" s="6"/>
      <c r="D34" s="6"/>
      <c r="E34" s="6"/>
      <c r="F34" s="6"/>
      <c r="G34" s="6"/>
      <c r="H34" s="7"/>
    </row>
    <row r="35" spans="1:8">
      <c r="A35" s="5"/>
      <c r="B35" s="6"/>
      <c r="C35" s="6"/>
      <c r="D35" s="6"/>
      <c r="E35" s="6"/>
      <c r="F35" s="6"/>
      <c r="G35" s="6"/>
      <c r="H35" s="7"/>
    </row>
    <row r="36" spans="1:8">
      <c r="A36" s="5"/>
      <c r="B36" s="6"/>
      <c r="C36" s="6"/>
      <c r="D36" s="6"/>
      <c r="E36" s="6"/>
      <c r="F36" s="6"/>
      <c r="G36" s="6"/>
      <c r="H36" s="7"/>
    </row>
    <row r="37" spans="1:8">
      <c r="A37" s="5"/>
      <c r="B37" s="6"/>
      <c r="C37" s="6"/>
      <c r="D37" s="6"/>
      <c r="E37" s="6"/>
      <c r="F37" s="6"/>
      <c r="G37" s="6"/>
      <c r="H37" s="7"/>
    </row>
    <row r="38" spans="1:8">
      <c r="A38" s="5"/>
      <c r="B38" s="6"/>
      <c r="C38" s="6"/>
      <c r="D38" s="6"/>
      <c r="E38" s="6"/>
      <c r="F38" s="6"/>
      <c r="G38" s="6"/>
      <c r="H38" s="7"/>
    </row>
    <row r="39" spans="1:8">
      <c r="A39" s="5"/>
      <c r="B39" s="6"/>
      <c r="C39" s="6"/>
      <c r="D39" s="6"/>
      <c r="E39" s="6"/>
      <c r="F39" s="6"/>
      <c r="G39" s="6"/>
      <c r="H39" s="7"/>
    </row>
    <row r="40" spans="1:8">
      <c r="A40" s="5"/>
      <c r="B40" s="6"/>
      <c r="C40" s="6"/>
      <c r="D40" s="6"/>
      <c r="E40" s="6"/>
      <c r="F40" s="6"/>
      <c r="G40" s="6"/>
      <c r="H40" s="7"/>
    </row>
    <row r="41" spans="1:8">
      <c r="A41" s="5"/>
      <c r="B41" s="6"/>
      <c r="C41" s="6"/>
      <c r="D41" s="6"/>
      <c r="E41" s="6"/>
      <c r="F41" s="6"/>
      <c r="G41" s="6"/>
      <c r="H41" s="7"/>
    </row>
    <row r="42" spans="1:8">
      <c r="A42" s="5"/>
      <c r="B42" s="6"/>
      <c r="C42" s="6"/>
      <c r="D42" s="6"/>
      <c r="E42" s="6"/>
      <c r="F42" s="6"/>
      <c r="G42" s="6"/>
      <c r="H42" s="7"/>
    </row>
    <row r="43" spans="1:8">
      <c r="A43" s="5"/>
      <c r="B43" s="6"/>
      <c r="C43" s="6"/>
      <c r="D43" s="6"/>
      <c r="E43" s="6"/>
      <c r="F43" s="6"/>
      <c r="G43" s="6"/>
      <c r="H43" s="7"/>
    </row>
    <row r="44" spans="1:8">
      <c r="A44" s="5"/>
      <c r="B44" s="6"/>
      <c r="C44" s="6"/>
      <c r="D44" s="6"/>
      <c r="E44" s="6"/>
      <c r="F44" s="6"/>
      <c r="G44" s="6"/>
      <c r="H44" s="7"/>
    </row>
    <row r="45" spans="1:8">
      <c r="A45" s="5"/>
      <c r="B45" s="6"/>
      <c r="C45" s="6"/>
      <c r="D45" s="6"/>
      <c r="E45" s="6"/>
      <c r="F45" s="6"/>
      <c r="G45" s="6"/>
      <c r="H45" s="7"/>
    </row>
    <row r="46" spans="1:8">
      <c r="A46" s="5"/>
      <c r="B46" s="6"/>
      <c r="C46" s="6"/>
      <c r="D46" s="6"/>
      <c r="E46" s="6"/>
      <c r="F46" s="6"/>
      <c r="G46" s="6"/>
      <c r="H46" s="7"/>
    </row>
    <row r="47" spans="1:8">
      <c r="A47" s="5"/>
      <c r="B47" s="6"/>
      <c r="C47" s="6"/>
      <c r="D47" s="6"/>
      <c r="E47" s="6"/>
      <c r="F47" s="6"/>
      <c r="G47" s="6"/>
      <c r="H47" s="7"/>
    </row>
    <row r="48" spans="1:8">
      <c r="A48" s="5"/>
      <c r="B48" s="6"/>
      <c r="C48" s="6"/>
      <c r="D48" s="6"/>
      <c r="E48" s="6"/>
      <c r="F48" s="6"/>
      <c r="G48" s="6"/>
      <c r="H48" s="7"/>
    </row>
    <row r="49" spans="1:8">
      <c r="A49" s="5"/>
      <c r="B49" s="6"/>
      <c r="C49" s="6"/>
      <c r="D49" s="6"/>
      <c r="E49" s="6"/>
      <c r="F49" s="6"/>
      <c r="G49" s="6"/>
      <c r="H49" s="7"/>
    </row>
    <row r="50" spans="1:8">
      <c r="A50" s="5"/>
      <c r="B50" s="6"/>
      <c r="C50" s="6"/>
      <c r="D50" s="6"/>
      <c r="E50" s="6"/>
      <c r="F50" s="6"/>
      <c r="G50" s="6"/>
      <c r="H50" s="7"/>
    </row>
    <row r="51" spans="1:8">
      <c r="A51" s="5"/>
      <c r="B51" s="6"/>
      <c r="C51" s="6"/>
      <c r="D51" s="6"/>
      <c r="E51" s="6"/>
      <c r="F51" s="6"/>
      <c r="G51" s="6"/>
      <c r="H51" s="7"/>
    </row>
    <row r="52" spans="1:8">
      <c r="A52" s="5"/>
      <c r="B52" s="6"/>
      <c r="C52" s="6"/>
      <c r="D52" s="6"/>
      <c r="E52" s="6"/>
      <c r="F52" s="6"/>
      <c r="G52" s="6"/>
      <c r="H52" s="7"/>
    </row>
    <row r="53" spans="1:8">
      <c r="A53" s="5"/>
      <c r="B53" s="6"/>
      <c r="C53" s="6"/>
      <c r="D53" s="6"/>
      <c r="E53" s="6"/>
      <c r="F53" s="6"/>
      <c r="G53" s="6"/>
      <c r="H53" s="7"/>
    </row>
    <row r="54" spans="1:8">
      <c r="A54" s="5"/>
      <c r="B54" s="6"/>
      <c r="C54" s="6"/>
      <c r="D54" s="6"/>
      <c r="E54" s="6"/>
      <c r="F54" s="6"/>
      <c r="G54" s="6"/>
      <c r="H54" s="7"/>
    </row>
    <row r="55" spans="1:8">
      <c r="A55" s="5"/>
      <c r="B55" s="6"/>
      <c r="C55" s="6"/>
      <c r="D55" s="6"/>
      <c r="E55" s="6"/>
      <c r="F55" s="6"/>
      <c r="G55" s="6"/>
      <c r="H55" s="7"/>
    </row>
    <row r="56" spans="1:8">
      <c r="A56" s="5"/>
      <c r="B56" s="6"/>
      <c r="C56" s="6"/>
      <c r="D56" s="6"/>
      <c r="E56" s="6"/>
      <c r="F56" s="6"/>
      <c r="G56" s="6"/>
      <c r="H56" s="7"/>
    </row>
    <row r="57" spans="1:8">
      <c r="A57" s="5"/>
      <c r="B57" s="6"/>
      <c r="C57" s="6"/>
      <c r="D57" s="6"/>
      <c r="E57" s="6"/>
      <c r="F57" s="6"/>
      <c r="G57" s="6"/>
      <c r="H57" s="7"/>
    </row>
    <row r="58" spans="1:8">
      <c r="A58" s="5"/>
      <c r="B58" s="6"/>
      <c r="C58" s="6"/>
      <c r="D58" s="6"/>
      <c r="E58" s="6"/>
      <c r="F58" s="6"/>
      <c r="G58" s="6"/>
      <c r="H58" s="7"/>
    </row>
    <row r="59" spans="1:8">
      <c r="A59" s="5"/>
      <c r="B59" s="6"/>
      <c r="C59" s="6"/>
      <c r="D59" s="6"/>
      <c r="E59" s="6"/>
      <c r="F59" s="6"/>
      <c r="G59" s="6"/>
      <c r="H59" s="7"/>
    </row>
    <row r="60" spans="1:8">
      <c r="A60" s="5"/>
      <c r="B60" s="6"/>
      <c r="C60" s="6"/>
      <c r="D60" s="6"/>
      <c r="E60" s="6"/>
      <c r="F60" s="6"/>
      <c r="G60" s="6"/>
      <c r="H60" s="7"/>
    </row>
    <row r="61" spans="1:8">
      <c r="A61" s="5"/>
      <c r="B61" s="6"/>
      <c r="C61" s="6"/>
      <c r="D61" s="6"/>
      <c r="E61" s="6"/>
      <c r="F61" s="6"/>
      <c r="G61" s="6"/>
      <c r="H61" s="7"/>
    </row>
    <row r="62" spans="1:8">
      <c r="A62" s="5"/>
      <c r="B62" s="6"/>
      <c r="C62" s="6"/>
      <c r="D62" s="6"/>
      <c r="E62" s="6"/>
      <c r="F62" s="6"/>
      <c r="G62" s="6"/>
      <c r="H62" s="7"/>
    </row>
    <row r="63" spans="1:8">
      <c r="A63" s="5"/>
      <c r="B63" s="6"/>
      <c r="C63" s="6"/>
      <c r="D63" s="6"/>
      <c r="E63" s="6"/>
      <c r="F63" s="6"/>
      <c r="G63" s="6"/>
      <c r="H63" s="7"/>
    </row>
    <row r="64" spans="1:8">
      <c r="A64" s="5"/>
      <c r="B64" s="6"/>
      <c r="C64" s="6"/>
      <c r="D64" s="6"/>
      <c r="E64" s="6"/>
      <c r="F64" s="6"/>
      <c r="G64" s="6"/>
      <c r="H64" s="7"/>
    </row>
    <row r="65" spans="1:8">
      <c r="A65" s="5"/>
      <c r="B65" s="6"/>
      <c r="C65" s="6"/>
      <c r="D65" s="6"/>
      <c r="E65" s="6"/>
      <c r="F65" s="6"/>
      <c r="G65" s="6"/>
      <c r="H65" s="7"/>
    </row>
    <row r="66" spans="1:8">
      <c r="A66" s="5"/>
      <c r="B66" s="6"/>
      <c r="C66" s="6"/>
      <c r="D66" s="6"/>
      <c r="E66" s="6"/>
      <c r="F66" s="6"/>
      <c r="G66" s="6"/>
      <c r="H66" s="7"/>
    </row>
    <row r="67" spans="1:8">
      <c r="A67" s="5"/>
      <c r="B67" s="6"/>
      <c r="C67" s="6"/>
      <c r="D67" s="6"/>
      <c r="E67" s="6"/>
      <c r="F67" s="6"/>
      <c r="G67" s="6"/>
      <c r="H67" s="7"/>
    </row>
    <row r="68" spans="1:8">
      <c r="A68" s="5"/>
      <c r="B68" s="6"/>
      <c r="C68" s="6"/>
      <c r="D68" s="6"/>
      <c r="E68" s="6"/>
      <c r="F68" s="6"/>
      <c r="G68" s="6"/>
      <c r="H68" s="7"/>
    </row>
    <row r="69" spans="1:8">
      <c r="A69" s="5"/>
      <c r="B69" s="6"/>
      <c r="C69" s="6"/>
      <c r="D69" s="6"/>
      <c r="E69" s="6"/>
      <c r="F69" s="6"/>
      <c r="G69" s="6"/>
      <c r="H69" s="7"/>
    </row>
    <row r="70" spans="1:8">
      <c r="A70" s="5"/>
      <c r="B70" s="6"/>
      <c r="C70" s="6"/>
      <c r="D70" s="6"/>
      <c r="E70" s="6"/>
      <c r="F70" s="6"/>
      <c r="G70" s="6"/>
      <c r="H70" s="7"/>
    </row>
    <row r="71" spans="1:8">
      <c r="A71" s="5"/>
      <c r="B71" s="6"/>
      <c r="C71" s="6"/>
      <c r="D71" s="6"/>
      <c r="E71" s="6"/>
      <c r="F71" s="6"/>
      <c r="G71" s="6"/>
      <c r="H71" s="7"/>
    </row>
    <row r="72" spans="1:8">
      <c r="A72" s="5"/>
      <c r="B72" s="6"/>
      <c r="C72" s="6"/>
      <c r="D72" s="6"/>
      <c r="E72" s="6"/>
      <c r="F72" s="6"/>
      <c r="G72" s="6"/>
      <c r="H72" s="7"/>
    </row>
    <row r="73" spans="1:8">
      <c r="A73" s="5"/>
      <c r="B73" s="6"/>
      <c r="C73" s="6"/>
      <c r="D73" s="6"/>
      <c r="E73" s="6"/>
      <c r="F73" s="6"/>
      <c r="G73" s="6"/>
      <c r="H73" s="7"/>
    </row>
    <row r="74" spans="1:8">
      <c r="A74" s="5"/>
      <c r="B74" s="6"/>
      <c r="C74" s="6"/>
      <c r="D74" s="6"/>
      <c r="E74" s="6"/>
      <c r="F74" s="6"/>
      <c r="G74" s="6"/>
      <c r="H74" s="7"/>
    </row>
    <row r="75" spans="1:8">
      <c r="A75" s="5"/>
      <c r="B75" s="6"/>
      <c r="C75" s="6"/>
      <c r="D75" s="6"/>
      <c r="E75" s="6"/>
      <c r="F75" s="6"/>
      <c r="G75" s="6"/>
      <c r="H75" s="7"/>
    </row>
    <row r="76" spans="1:8">
      <c r="A76" s="5"/>
      <c r="B76" s="6"/>
      <c r="C76" s="6"/>
      <c r="D76" s="6"/>
      <c r="E76" s="6"/>
      <c r="F76" s="6"/>
      <c r="G76" s="6"/>
      <c r="H76" s="7"/>
    </row>
    <row r="77" spans="1:8">
      <c r="A77" s="5"/>
      <c r="B77" s="6"/>
      <c r="C77" s="6"/>
      <c r="D77" s="6"/>
      <c r="E77" s="6"/>
      <c r="F77" s="6"/>
      <c r="G77" s="6"/>
      <c r="H77" s="7"/>
    </row>
    <row r="78" spans="1:8">
      <c r="A78" s="5"/>
      <c r="B78" s="6"/>
      <c r="C78" s="6"/>
      <c r="D78" s="6"/>
      <c r="E78" s="6"/>
      <c r="F78" s="6"/>
      <c r="G78" s="6"/>
      <c r="H78" s="7"/>
    </row>
    <row r="79" spans="1:8">
      <c r="A79" s="5"/>
      <c r="B79" s="6"/>
      <c r="C79" s="6"/>
      <c r="D79" s="6"/>
      <c r="E79" s="6"/>
      <c r="F79" s="6"/>
      <c r="G79" s="6"/>
      <c r="H79" s="7"/>
    </row>
    <row r="80" spans="1:8">
      <c r="A80" s="5"/>
      <c r="B80" s="6"/>
      <c r="C80" s="6"/>
      <c r="D80" s="6"/>
      <c r="E80" s="6"/>
      <c r="F80" s="6"/>
      <c r="G80" s="6"/>
      <c r="H80" s="7"/>
    </row>
    <row r="81" spans="1:8">
      <c r="A81" s="5"/>
      <c r="B81" s="6"/>
      <c r="C81" s="6"/>
      <c r="D81" s="6"/>
      <c r="E81" s="6"/>
      <c r="F81" s="6"/>
      <c r="G81" s="6"/>
      <c r="H81" s="7"/>
    </row>
    <row r="82" spans="1:8">
      <c r="A82" s="5"/>
      <c r="B82" s="6"/>
      <c r="C82" s="6"/>
      <c r="D82" s="6"/>
      <c r="E82" s="6"/>
      <c r="F82" s="6"/>
      <c r="G82" s="6"/>
      <c r="H82" s="7"/>
    </row>
    <row r="83" spans="1:8">
      <c r="A83" s="5"/>
      <c r="B83" s="6"/>
      <c r="C83" s="6"/>
      <c r="D83" s="6"/>
      <c r="E83" s="6"/>
      <c r="F83" s="6"/>
      <c r="G83" s="6"/>
      <c r="H83" s="7"/>
    </row>
    <row r="84" spans="1:8">
      <c r="A84" s="5"/>
      <c r="B84" s="6"/>
      <c r="C84" s="6"/>
      <c r="D84" s="6"/>
      <c r="E84" s="6"/>
      <c r="F84" s="6"/>
      <c r="G84" s="6"/>
      <c r="H84" s="7"/>
    </row>
    <row r="85" spans="1:8">
      <c r="A85" s="5"/>
      <c r="B85" s="6"/>
      <c r="C85" s="6"/>
      <c r="D85" s="6"/>
      <c r="E85" s="6"/>
      <c r="F85" s="6"/>
      <c r="G85" s="6"/>
      <c r="H85" s="7"/>
    </row>
    <row r="86" spans="1:8">
      <c r="A86" s="5"/>
      <c r="B86" s="6"/>
      <c r="C86" s="6"/>
      <c r="D86" s="6"/>
      <c r="E86" s="6"/>
      <c r="F86" s="6"/>
      <c r="G86" s="6"/>
      <c r="H86" s="7"/>
    </row>
    <row r="87" spans="1:8">
      <c r="A87" s="5"/>
      <c r="B87" s="6"/>
      <c r="C87" s="6"/>
      <c r="D87" s="6"/>
      <c r="E87" s="6"/>
      <c r="F87" s="6"/>
      <c r="G87" s="6"/>
      <c r="H87" s="7"/>
    </row>
    <row r="88" spans="1:8">
      <c r="A88" s="5"/>
      <c r="B88" s="6"/>
      <c r="C88" s="6"/>
      <c r="D88" s="6"/>
      <c r="E88" s="6"/>
      <c r="F88" s="6"/>
      <c r="G88" s="6"/>
      <c r="H88" s="7"/>
    </row>
    <row r="89" spans="1:8">
      <c r="A89" s="5"/>
      <c r="B89" s="6"/>
      <c r="C89" s="6"/>
      <c r="D89" s="6"/>
      <c r="E89" s="6"/>
      <c r="F89" s="6"/>
      <c r="G89" s="6"/>
      <c r="H89" s="7"/>
    </row>
    <row r="90" spans="1:8">
      <c r="A90" s="5"/>
      <c r="B90" s="6"/>
      <c r="C90" s="6"/>
      <c r="D90" s="6"/>
      <c r="E90" s="6"/>
      <c r="F90" s="6"/>
      <c r="G90" s="6"/>
      <c r="H90" s="7"/>
    </row>
    <row r="91" spans="1:8">
      <c r="A91" s="5"/>
      <c r="B91" s="6"/>
      <c r="C91" s="6"/>
      <c r="D91" s="6"/>
      <c r="E91" s="6"/>
      <c r="F91" s="6"/>
      <c r="G91" s="6"/>
      <c r="H91" s="7"/>
    </row>
    <row r="92" spans="1:8">
      <c r="A92" s="5"/>
      <c r="B92" s="6"/>
      <c r="C92" s="6"/>
      <c r="D92" s="6"/>
      <c r="E92" s="6"/>
      <c r="F92" s="6"/>
      <c r="G92" s="6"/>
      <c r="H92" s="7"/>
    </row>
    <row r="93" spans="1:8">
      <c r="A93" s="5"/>
      <c r="B93" s="6"/>
      <c r="C93" s="6"/>
      <c r="D93" s="6"/>
      <c r="E93" s="6"/>
      <c r="F93" s="6"/>
      <c r="G93" s="6"/>
      <c r="H93" s="7"/>
    </row>
    <row r="94" spans="1:8">
      <c r="A94" s="5"/>
      <c r="B94" s="6"/>
      <c r="C94" s="6"/>
      <c r="D94" s="6"/>
      <c r="E94" s="6"/>
      <c r="F94" s="6"/>
      <c r="G94" s="6"/>
      <c r="H94" s="7"/>
    </row>
    <row r="95" spans="1:8">
      <c r="A95" s="5"/>
      <c r="B95" s="6"/>
      <c r="C95" s="6"/>
      <c r="D95" s="6"/>
      <c r="E95" s="6"/>
      <c r="F95" s="6"/>
      <c r="G95" s="6"/>
      <c r="H95" s="7"/>
    </row>
    <row r="96" spans="1:8">
      <c r="A96" s="5"/>
      <c r="B96" s="6"/>
      <c r="C96" s="6"/>
      <c r="D96" s="6"/>
      <c r="E96" s="6"/>
      <c r="F96" s="6"/>
      <c r="G96" s="6"/>
      <c r="H96" s="7"/>
    </row>
    <row r="97" spans="1:8">
      <c r="A97" s="5"/>
      <c r="B97" s="6"/>
      <c r="C97" s="6"/>
      <c r="D97" s="6"/>
      <c r="E97" s="6"/>
      <c r="F97" s="6"/>
      <c r="G97" s="6"/>
      <c r="H97" s="7"/>
    </row>
    <row r="98" spans="1:8">
      <c r="A98" s="5"/>
      <c r="B98" s="6"/>
      <c r="C98" s="6"/>
      <c r="D98" s="6"/>
      <c r="E98" s="6"/>
      <c r="F98" s="6"/>
      <c r="G98" s="6"/>
      <c r="H98" s="7"/>
    </row>
    <row r="99" spans="1:8">
      <c r="A99" s="5"/>
      <c r="B99" s="6"/>
      <c r="C99" s="6"/>
      <c r="D99" s="6"/>
      <c r="E99" s="6"/>
      <c r="F99" s="6"/>
      <c r="G99" s="6"/>
      <c r="H99" s="7"/>
    </row>
    <row r="100" spans="1:8">
      <c r="A100" s="5"/>
      <c r="B100" s="6"/>
      <c r="C100" s="6"/>
      <c r="D100" s="6"/>
      <c r="E100" s="6"/>
      <c r="F100" s="6"/>
      <c r="G100" s="6"/>
      <c r="H100" s="7"/>
    </row>
    <row r="101" spans="1:8">
      <c r="A101" s="5"/>
      <c r="B101" s="6"/>
      <c r="C101" s="6"/>
      <c r="D101" s="6"/>
      <c r="E101" s="6"/>
      <c r="F101" s="6"/>
      <c r="G101" s="6"/>
      <c r="H101" s="7"/>
    </row>
    <row r="102" spans="1:8">
      <c r="A102" s="5"/>
      <c r="B102" s="6"/>
      <c r="C102" s="6"/>
      <c r="D102" s="6"/>
      <c r="E102" s="6"/>
      <c r="F102" s="6"/>
      <c r="G102" s="6"/>
      <c r="H102" s="7"/>
    </row>
    <row r="103" spans="1:8">
      <c r="A103" s="5"/>
      <c r="B103" s="6"/>
      <c r="C103" s="6"/>
      <c r="D103" s="6"/>
      <c r="E103" s="6"/>
      <c r="F103" s="6"/>
      <c r="G103" s="6"/>
      <c r="H103" s="7"/>
    </row>
    <row r="104" spans="1:8">
      <c r="A104" s="5"/>
      <c r="B104" s="6"/>
      <c r="C104" s="6"/>
      <c r="D104" s="6"/>
      <c r="E104" s="6"/>
      <c r="F104" s="6"/>
      <c r="G104" s="6"/>
      <c r="H104" s="7"/>
    </row>
    <row r="105" spans="1:8">
      <c r="A105" s="5"/>
      <c r="B105" s="6"/>
      <c r="C105" s="6"/>
      <c r="D105" s="6"/>
      <c r="E105" s="6"/>
      <c r="F105" s="6"/>
      <c r="G105" s="6"/>
      <c r="H105" s="7"/>
    </row>
    <row r="106" spans="1:8">
      <c r="A106" s="5"/>
      <c r="B106" s="6"/>
      <c r="C106" s="6"/>
      <c r="D106" s="6"/>
      <c r="E106" s="6"/>
      <c r="F106" s="6"/>
      <c r="G106" s="6"/>
      <c r="H106" s="7"/>
    </row>
    <row r="107" spans="1:8">
      <c r="A107" s="5"/>
      <c r="B107" s="6"/>
      <c r="C107" s="6"/>
      <c r="D107" s="6"/>
      <c r="E107" s="6"/>
      <c r="F107" s="6"/>
      <c r="G107" s="6"/>
      <c r="H107" s="7"/>
    </row>
    <row r="108" spans="1:8">
      <c r="A108" s="5"/>
      <c r="B108" s="6"/>
      <c r="C108" s="6"/>
      <c r="D108" s="6"/>
      <c r="E108" s="6"/>
      <c r="F108" s="6"/>
      <c r="G108" s="6"/>
      <c r="H108" s="7"/>
    </row>
    <row r="109" spans="1:8">
      <c r="A109" s="5"/>
      <c r="B109" s="6"/>
      <c r="C109" s="6"/>
      <c r="D109" s="6"/>
      <c r="E109" s="6"/>
      <c r="F109" s="6"/>
      <c r="G109" s="6"/>
      <c r="H109" s="7"/>
    </row>
    <row r="110" spans="1:8">
      <c r="A110" s="5"/>
      <c r="B110" s="6"/>
      <c r="C110" s="6"/>
      <c r="D110" s="6"/>
      <c r="E110" s="6"/>
      <c r="F110" s="6"/>
      <c r="G110" s="6"/>
      <c r="H110" s="7"/>
    </row>
    <row r="111" spans="1:8">
      <c r="A111" s="5"/>
      <c r="B111" s="6"/>
      <c r="C111" s="6"/>
      <c r="D111" s="6"/>
      <c r="E111" s="6"/>
      <c r="F111" s="6"/>
      <c r="G111" s="6"/>
      <c r="H111" s="7"/>
    </row>
    <row r="112" spans="1:8">
      <c r="A112" s="5"/>
      <c r="B112" s="6"/>
      <c r="C112" s="6"/>
      <c r="D112" s="6"/>
      <c r="E112" s="6"/>
      <c r="F112" s="6"/>
      <c r="G112" s="6"/>
      <c r="H112" s="7"/>
    </row>
    <row r="113" spans="1:8">
      <c r="A113" s="5"/>
      <c r="B113" s="6"/>
      <c r="C113" s="6"/>
      <c r="D113" s="6"/>
      <c r="E113" s="6"/>
      <c r="F113" s="6"/>
      <c r="G113" s="6"/>
      <c r="H113" s="7"/>
    </row>
    <row r="114" spans="1:8">
      <c r="A114" s="5"/>
      <c r="B114" s="6"/>
      <c r="C114" s="6"/>
      <c r="D114" s="6"/>
      <c r="E114" s="6"/>
      <c r="F114" s="6"/>
      <c r="G114" s="6"/>
      <c r="H114" s="7"/>
    </row>
    <row r="115" spans="1:8">
      <c r="A115" s="5"/>
      <c r="B115" s="6"/>
      <c r="C115" s="6"/>
      <c r="D115" s="6"/>
      <c r="E115" s="6"/>
      <c r="F115" s="6"/>
      <c r="G115" s="6"/>
      <c r="H115" s="7"/>
    </row>
    <row r="116" spans="1:8">
      <c r="A116" s="5"/>
      <c r="B116" s="6"/>
      <c r="C116" s="6"/>
      <c r="D116" s="6"/>
      <c r="E116" s="6"/>
      <c r="F116" s="6"/>
      <c r="G116" s="6"/>
      <c r="H116" s="7"/>
    </row>
    <row r="117" spans="1:8">
      <c r="A117" s="5"/>
      <c r="B117" s="6"/>
      <c r="C117" s="6"/>
      <c r="D117" s="6"/>
      <c r="E117" s="6"/>
      <c r="F117" s="6"/>
      <c r="G117" s="6"/>
      <c r="H117" s="7"/>
    </row>
    <row r="118" spans="1:8">
      <c r="A118" s="5"/>
      <c r="B118" s="6"/>
      <c r="C118" s="6"/>
      <c r="D118" s="6"/>
      <c r="E118" s="6"/>
      <c r="F118" s="6"/>
      <c r="G118" s="6"/>
      <c r="H118" s="7"/>
    </row>
    <row r="119" spans="1:8">
      <c r="A119" s="5"/>
      <c r="B119" s="6"/>
      <c r="C119" s="6"/>
      <c r="D119" s="6"/>
      <c r="E119" s="6"/>
      <c r="F119" s="6"/>
      <c r="G119" s="6"/>
      <c r="H119" s="7"/>
    </row>
    <row r="120" spans="1:8">
      <c r="A120" s="5"/>
      <c r="B120" s="6"/>
      <c r="C120" s="6"/>
      <c r="D120" s="6"/>
      <c r="E120" s="6"/>
      <c r="F120" s="6"/>
      <c r="G120" s="6"/>
      <c r="H120" s="7"/>
    </row>
    <row r="121" spans="1:8">
      <c r="A121" s="5"/>
      <c r="B121" s="6"/>
      <c r="C121" s="6"/>
      <c r="D121" s="6"/>
      <c r="E121" s="6"/>
      <c r="F121" s="6"/>
      <c r="G121" s="6"/>
      <c r="H121" s="7"/>
    </row>
    <row r="122" spans="1:8">
      <c r="A122" s="5"/>
      <c r="B122" s="6"/>
      <c r="C122" s="6"/>
      <c r="D122" s="6"/>
      <c r="E122" s="6"/>
      <c r="F122" s="6"/>
      <c r="G122" s="6"/>
      <c r="H122" s="7"/>
    </row>
    <row r="123" spans="1:8">
      <c r="A123" s="5"/>
      <c r="B123" s="6"/>
      <c r="C123" s="6"/>
      <c r="D123" s="6"/>
      <c r="E123" s="6"/>
      <c r="F123" s="6"/>
      <c r="G123" s="6"/>
      <c r="H123" s="7"/>
    </row>
    <row r="124" spans="1:8">
      <c r="A124" s="5"/>
      <c r="B124" s="6"/>
      <c r="C124" s="6"/>
      <c r="D124" s="6"/>
      <c r="E124" s="6"/>
      <c r="F124" s="6"/>
      <c r="G124" s="6"/>
      <c r="H124" s="7"/>
    </row>
    <row r="125" spans="1:8">
      <c r="A125" s="5"/>
      <c r="B125" s="6"/>
      <c r="C125" s="6"/>
      <c r="D125" s="6"/>
      <c r="E125" s="6"/>
      <c r="F125" s="6"/>
      <c r="G125" s="6"/>
      <c r="H125" s="7"/>
    </row>
    <row r="126" spans="1:8">
      <c r="A126" s="5"/>
      <c r="B126" s="6"/>
      <c r="C126" s="6"/>
      <c r="D126" s="6"/>
      <c r="E126" s="6"/>
      <c r="F126" s="6"/>
      <c r="G126" s="6"/>
      <c r="H126" s="7"/>
    </row>
    <row r="127" spans="1:8">
      <c r="A127" s="5"/>
      <c r="B127" s="6"/>
      <c r="C127" s="6"/>
      <c r="D127" s="6"/>
      <c r="E127" s="6"/>
      <c r="F127" s="6"/>
      <c r="G127" s="6"/>
      <c r="H127" s="7"/>
    </row>
    <row r="128" spans="1:8">
      <c r="A128" s="5"/>
      <c r="B128" s="6"/>
      <c r="C128" s="6"/>
      <c r="D128" s="6"/>
      <c r="E128" s="6"/>
      <c r="F128" s="6"/>
      <c r="G128" s="6"/>
      <c r="H128" s="7"/>
    </row>
    <row r="129" spans="1:8">
      <c r="A129" s="5"/>
      <c r="B129" s="6"/>
      <c r="C129" s="6"/>
      <c r="D129" s="6"/>
      <c r="E129" s="6"/>
      <c r="F129" s="6"/>
      <c r="G129" s="6"/>
      <c r="H129" s="7"/>
    </row>
    <row r="130" spans="1:8">
      <c r="A130" s="5"/>
      <c r="B130" s="6"/>
      <c r="C130" s="6"/>
      <c r="D130" s="6"/>
      <c r="E130" s="6"/>
      <c r="F130" s="6"/>
      <c r="G130" s="6"/>
      <c r="H130" s="7"/>
    </row>
    <row r="131" spans="1:8">
      <c r="A131" s="5"/>
      <c r="B131" s="6"/>
      <c r="C131" s="6"/>
      <c r="D131" s="6"/>
      <c r="E131" s="6"/>
      <c r="F131" s="6"/>
      <c r="G131" s="6"/>
      <c r="H131" s="7"/>
    </row>
    <row r="132" spans="1:8">
      <c r="A132" s="5"/>
      <c r="B132" s="6"/>
      <c r="C132" s="6"/>
      <c r="D132" s="6"/>
      <c r="E132" s="6"/>
      <c r="F132" s="6"/>
      <c r="G132" s="6"/>
      <c r="H132" s="7"/>
    </row>
    <row r="133" spans="1:8">
      <c r="A133" s="5"/>
      <c r="B133" s="6"/>
      <c r="C133" s="6"/>
      <c r="D133" s="6"/>
      <c r="E133" s="6"/>
      <c r="F133" s="6"/>
      <c r="G133" s="6"/>
      <c r="H133" s="7"/>
    </row>
    <row r="134" spans="1:8">
      <c r="A134" s="5"/>
      <c r="B134" s="6"/>
      <c r="C134" s="6"/>
      <c r="D134" s="6"/>
      <c r="E134" s="6"/>
      <c r="F134" s="6"/>
      <c r="G134" s="6"/>
      <c r="H134" s="7"/>
    </row>
    <row r="135" spans="1:8">
      <c r="A135" s="5"/>
      <c r="B135" s="6"/>
      <c r="C135" s="6"/>
      <c r="D135" s="6"/>
      <c r="E135" s="6"/>
      <c r="F135" s="6"/>
      <c r="G135" s="6"/>
      <c r="H135" s="7"/>
    </row>
    <row r="136" spans="1:8">
      <c r="A136" s="5"/>
      <c r="B136" s="6"/>
      <c r="C136" s="6"/>
      <c r="D136" s="6"/>
      <c r="E136" s="6"/>
      <c r="F136" s="6"/>
      <c r="G136" s="6"/>
      <c r="H136" s="7"/>
    </row>
    <row r="137" spans="1:8">
      <c r="A137" s="5"/>
      <c r="B137" s="6"/>
      <c r="C137" s="6"/>
      <c r="D137" s="6"/>
      <c r="E137" s="6"/>
      <c r="F137" s="6"/>
      <c r="G137" s="6"/>
      <c r="H137" s="7"/>
    </row>
    <row r="138" spans="1:8">
      <c r="A138" s="5"/>
      <c r="B138" s="6"/>
      <c r="C138" s="6"/>
      <c r="D138" s="6"/>
      <c r="E138" s="6"/>
      <c r="F138" s="6"/>
      <c r="G138" s="6"/>
      <c r="H138" s="7"/>
    </row>
    <row r="139" spans="1:8">
      <c r="A139" s="5"/>
      <c r="B139" s="6"/>
      <c r="C139" s="6"/>
      <c r="D139" s="6"/>
      <c r="E139" s="6"/>
      <c r="F139" s="6"/>
      <c r="G139" s="6"/>
      <c r="H139" s="7"/>
    </row>
    <row r="140" spans="1:8">
      <c r="A140" s="5"/>
      <c r="B140" s="6"/>
      <c r="C140" s="6"/>
      <c r="D140" s="6"/>
      <c r="E140" s="6"/>
      <c r="F140" s="6"/>
      <c r="G140" s="6"/>
      <c r="H140" s="7"/>
    </row>
    <row r="141" spans="1:8">
      <c r="A141" s="5"/>
      <c r="B141" s="6"/>
      <c r="C141" s="6"/>
      <c r="D141" s="6"/>
      <c r="E141" s="6"/>
      <c r="F141" s="6"/>
      <c r="G141" s="6"/>
      <c r="H141" s="7"/>
    </row>
    <row r="142" spans="1:8">
      <c r="A142" s="5"/>
      <c r="B142" s="6"/>
      <c r="C142" s="6"/>
      <c r="D142" s="6"/>
      <c r="E142" s="6"/>
      <c r="F142" s="6"/>
      <c r="G142" s="6"/>
      <c r="H142" s="7"/>
    </row>
    <row r="143" spans="1:8">
      <c r="A143" s="5"/>
      <c r="B143" s="6"/>
      <c r="C143" s="6"/>
      <c r="D143" s="6"/>
      <c r="E143" s="6"/>
      <c r="F143" s="6"/>
      <c r="G143" s="6"/>
      <c r="H143" s="7"/>
    </row>
    <row r="144" spans="1:8">
      <c r="A144" s="5"/>
      <c r="B144" s="6"/>
      <c r="C144" s="6"/>
      <c r="D144" s="6"/>
      <c r="E144" s="6"/>
      <c r="F144" s="6"/>
      <c r="G144" s="6"/>
      <c r="H144" s="7"/>
    </row>
    <row r="145" spans="1:8">
      <c r="A145" s="5"/>
      <c r="B145" s="6"/>
      <c r="C145" s="6"/>
      <c r="D145" s="6"/>
      <c r="E145" s="6"/>
      <c r="F145" s="6"/>
      <c r="G145" s="6"/>
      <c r="H145" s="7"/>
    </row>
    <row r="146" spans="1:8">
      <c r="A146" s="5"/>
      <c r="B146" s="6"/>
      <c r="C146" s="6"/>
      <c r="D146" s="6"/>
      <c r="E146" s="6"/>
      <c r="F146" s="6"/>
      <c r="G146" s="6"/>
      <c r="H146" s="7"/>
    </row>
    <row r="147" spans="1:8">
      <c r="A147" s="5"/>
      <c r="B147" s="6"/>
      <c r="C147" s="6"/>
      <c r="D147" s="6"/>
      <c r="E147" s="6"/>
      <c r="F147" s="6"/>
      <c r="G147" s="6"/>
      <c r="H147" s="7"/>
    </row>
    <row r="148" spans="1:8">
      <c r="A148" s="5"/>
      <c r="B148" s="6"/>
      <c r="C148" s="6"/>
      <c r="D148" s="6"/>
      <c r="E148" s="6"/>
      <c r="F148" s="6"/>
      <c r="G148" s="6"/>
      <c r="H148" s="7"/>
    </row>
    <row r="149" spans="1:8">
      <c r="A149" s="5"/>
      <c r="B149" s="6"/>
      <c r="C149" s="6"/>
      <c r="D149" s="6"/>
      <c r="E149" s="6"/>
      <c r="F149" s="6"/>
      <c r="G149" s="6"/>
      <c r="H149" s="7"/>
    </row>
    <row r="150" spans="1:8">
      <c r="A150" s="5"/>
      <c r="B150" s="6"/>
      <c r="C150" s="6"/>
      <c r="D150" s="6"/>
      <c r="E150" s="6"/>
      <c r="F150" s="6"/>
      <c r="G150" s="6"/>
      <c r="H150" s="7"/>
    </row>
    <row r="151" spans="1:8">
      <c r="A151" s="5"/>
      <c r="B151" s="6"/>
      <c r="C151" s="6"/>
      <c r="D151" s="6"/>
      <c r="E151" s="6"/>
      <c r="F151" s="6"/>
      <c r="G151" s="6"/>
      <c r="H151" s="7"/>
    </row>
    <row r="152" spans="1:8">
      <c r="A152" s="5"/>
      <c r="B152" s="6"/>
      <c r="C152" s="6"/>
      <c r="D152" s="6"/>
      <c r="E152" s="6"/>
      <c r="F152" s="6"/>
      <c r="G152" s="6"/>
      <c r="H152" s="7"/>
    </row>
    <row r="153" spans="1:8">
      <c r="A153" s="5"/>
      <c r="B153" s="6"/>
      <c r="C153" s="6"/>
      <c r="D153" s="6"/>
      <c r="E153" s="6"/>
      <c r="F153" s="6"/>
      <c r="G153" s="6"/>
      <c r="H153" s="7"/>
    </row>
    <row r="154" spans="1:8">
      <c r="A154" s="5"/>
      <c r="B154" s="6"/>
      <c r="C154" s="6"/>
      <c r="D154" s="6"/>
      <c r="E154" s="6"/>
      <c r="F154" s="6"/>
      <c r="G154" s="6"/>
      <c r="H154" s="7"/>
    </row>
    <row r="155" spans="1:8">
      <c r="A155" s="5"/>
      <c r="B155" s="6"/>
      <c r="C155" s="6"/>
      <c r="D155" s="6"/>
      <c r="E155" s="6"/>
      <c r="F155" s="6"/>
      <c r="G155" s="6"/>
      <c r="H155" s="7"/>
    </row>
    <row r="156" spans="1:8">
      <c r="A156" s="5"/>
      <c r="B156" s="6"/>
      <c r="C156" s="6"/>
      <c r="D156" s="6"/>
      <c r="E156" s="6"/>
      <c r="F156" s="6"/>
      <c r="G156" s="6"/>
      <c r="H156" s="7"/>
    </row>
    <row r="157" spans="1:8">
      <c r="A157" s="5"/>
      <c r="B157" s="6"/>
      <c r="C157" s="6"/>
      <c r="D157" s="6"/>
      <c r="E157" s="6"/>
      <c r="F157" s="6"/>
      <c r="G157" s="6"/>
      <c r="H157" s="7"/>
    </row>
    <row r="158" spans="1:8">
      <c r="A158" s="5"/>
      <c r="B158" s="6"/>
      <c r="C158" s="6"/>
      <c r="D158" s="6"/>
      <c r="E158" s="6"/>
      <c r="F158" s="6"/>
      <c r="G158" s="6"/>
      <c r="H158" s="7"/>
    </row>
    <row r="159" spans="1:8">
      <c r="A159" s="5"/>
      <c r="B159" s="6"/>
      <c r="C159" s="6"/>
      <c r="D159" s="6"/>
      <c r="E159" s="6"/>
      <c r="F159" s="6"/>
      <c r="G159" s="6"/>
      <c r="H159" s="7"/>
    </row>
    <row r="160" spans="1:8">
      <c r="A160" s="5"/>
      <c r="B160" s="6"/>
      <c r="C160" s="6"/>
      <c r="D160" s="6"/>
      <c r="E160" s="6"/>
      <c r="F160" s="6"/>
      <c r="G160" s="6"/>
      <c r="H160" s="7"/>
    </row>
    <row r="161" spans="1:8">
      <c r="A161" s="5"/>
      <c r="B161" s="6"/>
      <c r="C161" s="6"/>
      <c r="D161" s="6"/>
      <c r="E161" s="6"/>
      <c r="F161" s="6"/>
      <c r="G161" s="6"/>
      <c r="H161" s="7"/>
    </row>
    <row r="162" spans="1:8">
      <c r="A162" s="5"/>
      <c r="B162" s="6"/>
      <c r="C162" s="6"/>
      <c r="D162" s="6"/>
      <c r="E162" s="6"/>
      <c r="F162" s="6"/>
      <c r="G162" s="6"/>
      <c r="H162" s="7"/>
    </row>
    <row r="163" spans="1:8">
      <c r="A163" s="5"/>
      <c r="B163" s="6"/>
      <c r="C163" s="6"/>
      <c r="D163" s="6"/>
      <c r="E163" s="6"/>
      <c r="F163" s="6"/>
      <c r="G163" s="6"/>
      <c r="H163" s="7"/>
    </row>
    <row r="164" spans="1:8">
      <c r="A164" s="5"/>
      <c r="B164" s="6"/>
      <c r="C164" s="6"/>
      <c r="D164" s="6"/>
      <c r="E164" s="6"/>
      <c r="F164" s="6"/>
      <c r="G164" s="6"/>
      <c r="H164" s="7"/>
    </row>
    <row r="165" spans="1:8">
      <c r="A165" s="5"/>
      <c r="B165" s="6"/>
      <c r="C165" s="6"/>
      <c r="D165" s="6"/>
      <c r="E165" s="6"/>
      <c r="F165" s="6"/>
      <c r="G165" s="6"/>
      <c r="H165" s="7"/>
    </row>
    <row r="166" spans="1:8">
      <c r="A166" s="5"/>
      <c r="B166" s="6"/>
      <c r="C166" s="6"/>
      <c r="D166" s="6"/>
      <c r="E166" s="6"/>
      <c r="F166" s="6"/>
      <c r="G166" s="6"/>
      <c r="H166" s="7"/>
    </row>
    <row r="167" spans="1:8">
      <c r="A167" s="5"/>
      <c r="B167" s="6"/>
      <c r="C167" s="6"/>
      <c r="D167" s="6"/>
      <c r="E167" s="6"/>
      <c r="F167" s="6"/>
      <c r="G167" s="6"/>
      <c r="H167" s="7"/>
    </row>
    <row r="168" spans="1:8">
      <c r="A168" s="5"/>
      <c r="B168" s="6"/>
      <c r="C168" s="6"/>
      <c r="D168" s="6"/>
      <c r="E168" s="6"/>
      <c r="F168" s="6"/>
      <c r="G168" s="6"/>
      <c r="H168" s="7"/>
    </row>
    <row r="169" spans="1:8">
      <c r="A169" s="5"/>
      <c r="B169" s="6"/>
      <c r="C169" s="6"/>
      <c r="D169" s="6"/>
      <c r="E169" s="6"/>
      <c r="F169" s="6"/>
      <c r="G169" s="6"/>
      <c r="H169" s="7"/>
    </row>
    <row r="170" spans="1:8">
      <c r="A170" s="5"/>
      <c r="B170" s="6"/>
      <c r="C170" s="6"/>
      <c r="D170" s="6"/>
      <c r="E170" s="6"/>
      <c r="F170" s="6"/>
      <c r="G170" s="6"/>
      <c r="H170" s="7"/>
    </row>
    <row r="171" spans="1:8">
      <c r="A171" s="5"/>
      <c r="B171" s="6"/>
      <c r="C171" s="6"/>
      <c r="D171" s="6"/>
      <c r="E171" s="6"/>
      <c r="F171" s="6"/>
      <c r="G171" s="6"/>
      <c r="H171" s="7"/>
    </row>
    <row r="172" spans="1:8">
      <c r="A172" s="5"/>
      <c r="B172" s="6"/>
      <c r="C172" s="6"/>
      <c r="D172" s="6"/>
      <c r="E172" s="6"/>
      <c r="F172" s="6"/>
      <c r="G172" s="6"/>
      <c r="H172" s="7"/>
    </row>
    <row r="173" spans="1:8">
      <c r="A173" s="5"/>
      <c r="B173" s="6"/>
      <c r="C173" s="6"/>
      <c r="D173" s="6"/>
      <c r="E173" s="6"/>
      <c r="F173" s="6"/>
      <c r="G173" s="6"/>
      <c r="H173" s="7"/>
    </row>
    <row r="174" spans="1:8">
      <c r="A174" s="5"/>
      <c r="B174" s="6"/>
      <c r="C174" s="6"/>
      <c r="D174" s="6"/>
      <c r="E174" s="6"/>
      <c r="F174" s="6"/>
      <c r="G174" s="6"/>
      <c r="H174" s="7"/>
    </row>
    <row r="175" spans="1:8">
      <c r="A175" s="5"/>
      <c r="B175" s="6"/>
      <c r="C175" s="6"/>
      <c r="D175" s="6"/>
      <c r="E175" s="6"/>
      <c r="F175" s="6"/>
      <c r="G175" s="6"/>
      <c r="H175" s="7"/>
    </row>
    <row r="176" spans="1:8">
      <c r="A176" s="5"/>
      <c r="B176" s="6"/>
      <c r="C176" s="6"/>
      <c r="D176" s="6"/>
      <c r="E176" s="6"/>
      <c r="F176" s="6"/>
      <c r="G176" s="6"/>
      <c r="H176" s="7"/>
    </row>
    <row r="177" spans="1:8">
      <c r="A177" s="5"/>
      <c r="B177" s="6"/>
      <c r="C177" s="6"/>
      <c r="D177" s="6"/>
      <c r="E177" s="6"/>
      <c r="F177" s="6"/>
      <c r="G177" s="6"/>
      <c r="H177" s="7"/>
    </row>
    <row r="178" spans="1:8">
      <c r="A178" s="5"/>
      <c r="B178" s="6"/>
      <c r="C178" s="6"/>
      <c r="D178" s="6"/>
      <c r="E178" s="6"/>
      <c r="F178" s="6"/>
      <c r="G178" s="6"/>
      <c r="H178" s="7"/>
    </row>
    <row r="179" spans="1:8">
      <c r="A179" s="5"/>
      <c r="B179" s="6"/>
      <c r="C179" s="6"/>
      <c r="D179" s="6"/>
      <c r="E179" s="6"/>
      <c r="F179" s="6"/>
      <c r="G179" s="6"/>
      <c r="H179" s="7"/>
    </row>
    <row r="180" spans="1:8">
      <c r="A180" s="5"/>
      <c r="B180" s="6"/>
      <c r="C180" s="6"/>
      <c r="D180" s="6"/>
      <c r="E180" s="6"/>
      <c r="F180" s="6"/>
      <c r="G180" s="6"/>
      <c r="H180" s="7"/>
    </row>
    <row r="181" spans="1:8">
      <c r="A181" s="5"/>
      <c r="B181" s="6"/>
      <c r="C181" s="6"/>
      <c r="D181" s="6"/>
      <c r="E181" s="6"/>
      <c r="F181" s="6"/>
      <c r="G181" s="6"/>
      <c r="H181" s="7"/>
    </row>
    <row r="182" spans="1:8">
      <c r="A182" s="5"/>
      <c r="B182" s="6"/>
      <c r="C182" s="6"/>
      <c r="D182" s="6"/>
      <c r="E182" s="6"/>
      <c r="F182" s="6"/>
      <c r="G182" s="6"/>
      <c r="H182" s="7"/>
    </row>
    <row r="183" spans="1:8">
      <c r="A183" s="5"/>
      <c r="B183" s="6"/>
      <c r="C183" s="6"/>
      <c r="D183" s="6"/>
      <c r="E183" s="6"/>
      <c r="F183" s="6"/>
      <c r="G183" s="6"/>
      <c r="H183" s="7"/>
    </row>
    <row r="184" spans="1:8">
      <c r="A184" s="5"/>
      <c r="B184" s="6"/>
      <c r="C184" s="6"/>
      <c r="D184" s="6"/>
      <c r="E184" s="6"/>
      <c r="F184" s="6"/>
      <c r="G184" s="6"/>
      <c r="H184" s="7"/>
    </row>
    <row r="185" spans="1:8">
      <c r="A185" s="5"/>
      <c r="B185" s="6"/>
      <c r="C185" s="6"/>
      <c r="D185" s="6"/>
      <c r="E185" s="6"/>
      <c r="F185" s="6"/>
      <c r="G185" s="6"/>
      <c r="H185" s="7"/>
    </row>
    <row r="186" spans="1:8">
      <c r="A186" s="5"/>
      <c r="B186" s="6"/>
      <c r="C186" s="6"/>
      <c r="D186" s="6"/>
      <c r="E186" s="6"/>
      <c r="F186" s="6"/>
      <c r="G186" s="6"/>
      <c r="H186" s="7"/>
    </row>
    <row r="187" spans="1:8">
      <c r="A187" s="5"/>
      <c r="B187" s="6"/>
      <c r="C187" s="6"/>
      <c r="D187" s="6"/>
      <c r="E187" s="6"/>
      <c r="F187" s="6"/>
      <c r="G187" s="6"/>
      <c r="H187" s="7"/>
    </row>
    <row r="188" spans="1:8">
      <c r="A188" s="5"/>
      <c r="B188" s="6"/>
      <c r="C188" s="6"/>
      <c r="D188" s="6"/>
      <c r="E188" s="6"/>
      <c r="F188" s="6"/>
      <c r="G188" s="6"/>
      <c r="H188" s="7"/>
    </row>
    <row r="189" spans="1:8">
      <c r="A189" s="5"/>
      <c r="B189" s="6"/>
      <c r="C189" s="6"/>
      <c r="D189" s="6"/>
      <c r="E189" s="6"/>
      <c r="F189" s="6"/>
      <c r="G189" s="6"/>
      <c r="H189" s="7"/>
    </row>
    <row r="190" spans="1:8">
      <c r="A190" s="5"/>
      <c r="B190" s="6"/>
      <c r="C190" s="6"/>
      <c r="D190" s="6"/>
      <c r="E190" s="6"/>
      <c r="F190" s="6"/>
      <c r="G190" s="6"/>
      <c r="H190" s="7"/>
    </row>
    <row r="191" spans="1:8">
      <c r="A191" s="5"/>
      <c r="B191" s="6"/>
      <c r="C191" s="6"/>
      <c r="D191" s="6"/>
      <c r="E191" s="6"/>
      <c r="F191" s="6"/>
      <c r="G191" s="6"/>
      <c r="H191" s="7"/>
    </row>
    <row r="192" spans="1:8">
      <c r="A192" s="5"/>
      <c r="B192" s="6"/>
      <c r="C192" s="6"/>
      <c r="D192" s="6"/>
      <c r="E192" s="6"/>
      <c r="F192" s="6"/>
      <c r="G192" s="6"/>
      <c r="H192" s="7"/>
    </row>
    <row r="193" spans="1:8">
      <c r="A193" s="5"/>
      <c r="B193" s="6"/>
      <c r="C193" s="6"/>
      <c r="D193" s="6"/>
      <c r="E193" s="6"/>
      <c r="F193" s="6"/>
      <c r="G193" s="6"/>
      <c r="H193" s="7"/>
    </row>
    <row r="194" spans="1:8">
      <c r="A194" s="5"/>
      <c r="B194" s="6"/>
      <c r="C194" s="6"/>
      <c r="D194" s="6"/>
      <c r="E194" s="6"/>
      <c r="F194" s="6"/>
      <c r="G194" s="6"/>
      <c r="H194" s="7"/>
    </row>
    <row r="195" spans="1:8">
      <c r="A195" s="5"/>
      <c r="B195" s="6"/>
      <c r="C195" s="6"/>
      <c r="D195" s="6"/>
      <c r="E195" s="6"/>
      <c r="F195" s="6"/>
      <c r="G195" s="6"/>
      <c r="H195" s="7"/>
    </row>
    <row r="196" spans="1:8">
      <c r="A196" s="5"/>
      <c r="B196" s="6"/>
      <c r="C196" s="6"/>
      <c r="D196" s="6"/>
      <c r="E196" s="6"/>
      <c r="F196" s="6"/>
      <c r="G196" s="6"/>
      <c r="H196" s="7"/>
    </row>
    <row r="197" spans="1:8">
      <c r="A197" s="5"/>
      <c r="B197" s="6"/>
      <c r="C197" s="6"/>
      <c r="D197" s="6"/>
      <c r="E197" s="6"/>
      <c r="F197" s="6"/>
      <c r="G197" s="6"/>
      <c r="H197" s="7"/>
    </row>
    <row r="198" spans="1:8">
      <c r="A198" s="5"/>
      <c r="B198" s="6"/>
      <c r="C198" s="6"/>
      <c r="D198" s="6"/>
      <c r="E198" s="6"/>
      <c r="F198" s="6"/>
      <c r="G198" s="6"/>
      <c r="H198" s="7"/>
    </row>
    <row r="199" spans="1:8">
      <c r="A199" s="5"/>
      <c r="B199" s="6"/>
      <c r="C199" s="6"/>
      <c r="D199" s="6"/>
      <c r="E199" s="6"/>
      <c r="F199" s="6"/>
      <c r="G199" s="6"/>
      <c r="H199" s="7"/>
    </row>
    <row r="200" spans="1:8">
      <c r="A200" s="5"/>
      <c r="B200" s="6"/>
      <c r="C200" s="6"/>
      <c r="D200" s="6"/>
      <c r="E200" s="6"/>
      <c r="F200" s="6"/>
      <c r="G200" s="6"/>
      <c r="H200" s="7"/>
    </row>
    <row r="201" spans="1:8">
      <c r="A201" s="5"/>
      <c r="B201" s="6"/>
      <c r="C201" s="6"/>
      <c r="D201" s="6"/>
      <c r="E201" s="6"/>
      <c r="F201" s="6"/>
      <c r="G201" s="6"/>
      <c r="H201" s="7"/>
    </row>
    <row r="202" spans="1:8">
      <c r="A202" s="5"/>
      <c r="B202" s="6"/>
      <c r="C202" s="6"/>
      <c r="D202" s="6"/>
      <c r="E202" s="6"/>
      <c r="F202" s="6"/>
      <c r="G202" s="6"/>
      <c r="H202" s="7"/>
    </row>
    <row r="203" spans="1:8">
      <c r="A203" s="5"/>
      <c r="B203" s="6"/>
      <c r="C203" s="6"/>
      <c r="D203" s="6"/>
      <c r="E203" s="6"/>
      <c r="F203" s="6"/>
      <c r="G203" s="6"/>
      <c r="H203" s="7"/>
    </row>
    <row r="204" spans="1:8">
      <c r="A204" s="5"/>
      <c r="B204" s="6"/>
      <c r="C204" s="6"/>
      <c r="D204" s="6"/>
      <c r="E204" s="6"/>
      <c r="F204" s="6"/>
      <c r="G204" s="6"/>
      <c r="H204" s="7"/>
    </row>
    <row r="205" spans="1:8">
      <c r="A205" s="5"/>
      <c r="B205" s="6"/>
      <c r="C205" s="6"/>
      <c r="D205" s="6"/>
      <c r="E205" s="6"/>
      <c r="F205" s="6"/>
      <c r="G205" s="6"/>
      <c r="H205" s="7"/>
    </row>
    <row r="206" spans="1:8">
      <c r="A206" s="5"/>
      <c r="B206" s="6"/>
      <c r="C206" s="6"/>
      <c r="D206" s="6"/>
      <c r="E206" s="6"/>
      <c r="F206" s="6"/>
      <c r="G206" s="6"/>
      <c r="H206" s="7"/>
    </row>
    <row r="207" spans="1:8">
      <c r="A207" s="5"/>
      <c r="B207" s="6"/>
      <c r="C207" s="6"/>
      <c r="D207" s="6"/>
      <c r="E207" s="6"/>
      <c r="F207" s="6"/>
      <c r="G207" s="6"/>
      <c r="H207" s="7"/>
    </row>
    <row r="208" spans="1:8">
      <c r="A208" s="5"/>
      <c r="B208" s="6"/>
      <c r="C208" s="6"/>
      <c r="D208" s="6"/>
      <c r="E208" s="6"/>
      <c r="F208" s="6"/>
      <c r="G208" s="6"/>
      <c r="H208" s="7"/>
    </row>
    <row r="209" spans="1:8">
      <c r="A209" s="5"/>
      <c r="B209" s="6"/>
      <c r="C209" s="6"/>
      <c r="D209" s="6"/>
      <c r="E209" s="6"/>
      <c r="F209" s="6"/>
      <c r="G209" s="6"/>
      <c r="H209" s="7"/>
    </row>
    <row r="210" spans="1:8">
      <c r="A210" s="5"/>
      <c r="B210" s="6"/>
      <c r="C210" s="6"/>
      <c r="D210" s="6"/>
      <c r="E210" s="6"/>
      <c r="F210" s="6"/>
      <c r="G210" s="6"/>
      <c r="H210" s="7"/>
    </row>
    <row r="211" spans="1:8">
      <c r="A211" s="5"/>
      <c r="B211" s="6"/>
      <c r="C211" s="6"/>
      <c r="D211" s="6"/>
      <c r="E211" s="6"/>
      <c r="F211" s="6"/>
      <c r="G211" s="6"/>
      <c r="H211" s="7"/>
    </row>
    <row r="212" spans="1:8">
      <c r="A212" s="5"/>
      <c r="B212" s="6"/>
      <c r="C212" s="6"/>
      <c r="D212" s="6"/>
      <c r="E212" s="6"/>
      <c r="F212" s="6"/>
      <c r="G212" s="6"/>
      <c r="H212" s="7"/>
    </row>
    <row r="213" spans="1:8">
      <c r="A213" s="5"/>
      <c r="B213" s="6"/>
      <c r="C213" s="6"/>
      <c r="D213" s="6"/>
      <c r="E213" s="6"/>
      <c r="F213" s="6"/>
      <c r="G213" s="6"/>
      <c r="H213" s="7"/>
    </row>
    <row r="214" spans="1:8">
      <c r="A214" s="5"/>
      <c r="B214" s="6"/>
      <c r="C214" s="6"/>
      <c r="D214" s="6"/>
      <c r="E214" s="6"/>
      <c r="F214" s="6"/>
      <c r="G214" s="6"/>
      <c r="H214" s="7"/>
    </row>
    <row r="215" spans="1:8">
      <c r="A215" s="5"/>
      <c r="B215" s="6"/>
      <c r="C215" s="6"/>
      <c r="D215" s="6"/>
      <c r="E215" s="6"/>
      <c r="F215" s="6"/>
      <c r="G215" s="6"/>
      <c r="H215" s="7"/>
    </row>
    <row r="216" spans="1:8">
      <c r="A216" s="5"/>
      <c r="B216" s="6"/>
      <c r="C216" s="6"/>
      <c r="D216" s="6"/>
      <c r="E216" s="6"/>
      <c r="F216" s="6"/>
      <c r="G216" s="6"/>
      <c r="H216" s="7"/>
    </row>
    <row r="217" spans="1:8">
      <c r="A217" s="5"/>
      <c r="B217" s="6"/>
      <c r="C217" s="6"/>
      <c r="D217" s="6"/>
      <c r="E217" s="6"/>
      <c r="F217" s="6"/>
      <c r="G217" s="6"/>
      <c r="H217" s="7"/>
    </row>
    <row r="218" spans="1:8">
      <c r="A218" s="5"/>
      <c r="B218" s="6"/>
      <c r="C218" s="6"/>
      <c r="D218" s="6"/>
      <c r="E218" s="6"/>
      <c r="F218" s="6"/>
      <c r="G218" s="6"/>
      <c r="H218" s="7"/>
    </row>
    <row r="219" spans="1:8">
      <c r="A219" s="5"/>
      <c r="B219" s="6"/>
      <c r="C219" s="6"/>
      <c r="D219" s="6"/>
      <c r="E219" s="6"/>
      <c r="F219" s="6"/>
      <c r="G219" s="6"/>
      <c r="H219" s="7"/>
    </row>
    <row r="220" spans="1:8">
      <c r="A220" s="5"/>
      <c r="B220" s="6"/>
      <c r="C220" s="6"/>
      <c r="D220" s="6"/>
      <c r="E220" s="6"/>
      <c r="F220" s="6"/>
      <c r="G220" s="6"/>
      <c r="H220" s="7"/>
    </row>
    <row r="221" spans="1:8">
      <c r="A221" s="5"/>
      <c r="B221" s="6"/>
      <c r="C221" s="6"/>
      <c r="D221" s="6"/>
      <c r="E221" s="6"/>
      <c r="F221" s="6"/>
      <c r="G221" s="6"/>
      <c r="H221" s="7"/>
    </row>
    <row r="222" spans="1:8">
      <c r="A222" s="5"/>
      <c r="B222" s="6"/>
      <c r="C222" s="6"/>
      <c r="D222" s="6"/>
      <c r="E222" s="6"/>
      <c r="F222" s="6"/>
      <c r="G222" s="6"/>
      <c r="H222" s="7"/>
    </row>
    <row r="223" spans="1:8">
      <c r="A223" s="5"/>
      <c r="B223" s="6"/>
      <c r="C223" s="6"/>
      <c r="D223" s="6"/>
      <c r="E223" s="6"/>
      <c r="F223" s="6"/>
      <c r="G223" s="6"/>
      <c r="H223" s="7"/>
    </row>
    <row r="224" spans="1:8">
      <c r="A224" s="5"/>
      <c r="B224" s="6"/>
      <c r="C224" s="6"/>
      <c r="D224" s="6"/>
      <c r="E224" s="6"/>
      <c r="F224" s="6"/>
      <c r="G224" s="6"/>
      <c r="H224" s="7"/>
    </row>
    <row r="225" spans="1:8">
      <c r="A225" s="5"/>
      <c r="B225" s="6"/>
      <c r="C225" s="6"/>
      <c r="D225" s="6"/>
      <c r="E225" s="6"/>
      <c r="F225" s="6"/>
      <c r="G225" s="6"/>
      <c r="H225" s="7"/>
    </row>
    <row r="226" spans="1:8">
      <c r="A226" s="5"/>
      <c r="B226" s="6"/>
      <c r="C226" s="6"/>
      <c r="D226" s="6"/>
      <c r="E226" s="6"/>
      <c r="F226" s="6"/>
      <c r="G226" s="6"/>
      <c r="H226" s="7"/>
    </row>
    <row r="227" spans="1:8">
      <c r="A227" s="5"/>
      <c r="B227" s="6"/>
      <c r="C227" s="6"/>
      <c r="D227" s="6"/>
      <c r="E227" s="6"/>
      <c r="F227" s="6"/>
      <c r="G227" s="6"/>
      <c r="H227" s="7"/>
    </row>
    <row r="228" spans="1:8">
      <c r="A228" s="5"/>
      <c r="B228" s="6"/>
      <c r="C228" s="6"/>
      <c r="D228" s="6"/>
      <c r="E228" s="6"/>
      <c r="F228" s="6"/>
      <c r="G228" s="6"/>
      <c r="H228" s="7"/>
    </row>
    <row r="229" spans="1:8">
      <c r="A229" s="5"/>
      <c r="B229" s="6"/>
      <c r="C229" s="6"/>
      <c r="D229" s="6"/>
      <c r="E229" s="6"/>
      <c r="F229" s="6"/>
      <c r="G229" s="6"/>
      <c r="H229" s="7"/>
    </row>
    <row r="230" spans="1:8">
      <c r="A230" s="5"/>
      <c r="B230" s="6"/>
      <c r="C230" s="6"/>
      <c r="D230" s="6"/>
      <c r="E230" s="6"/>
      <c r="F230" s="6"/>
      <c r="G230" s="6"/>
      <c r="H230" s="7"/>
    </row>
    <row r="231" spans="1:8">
      <c r="A231" s="5"/>
      <c r="B231" s="6"/>
      <c r="C231" s="6"/>
      <c r="D231" s="6"/>
      <c r="E231" s="6"/>
      <c r="F231" s="6"/>
      <c r="G231" s="6"/>
      <c r="H231" s="7"/>
    </row>
    <row r="232" spans="1:8">
      <c r="A232" s="5"/>
      <c r="B232" s="6"/>
      <c r="C232" s="6"/>
      <c r="D232" s="6"/>
      <c r="E232" s="6"/>
      <c r="F232" s="6"/>
      <c r="G232" s="6"/>
      <c r="H232" s="7"/>
    </row>
    <row r="233" spans="1:8">
      <c r="A233" s="5"/>
      <c r="B233" s="6"/>
      <c r="C233" s="6"/>
      <c r="D233" s="6"/>
      <c r="E233" s="6"/>
      <c r="F233" s="6"/>
      <c r="G233" s="6"/>
      <c r="H233" s="7"/>
    </row>
    <row r="234" spans="1:8">
      <c r="A234" s="5"/>
      <c r="B234" s="6"/>
      <c r="C234" s="6"/>
      <c r="D234" s="6"/>
      <c r="E234" s="6"/>
      <c r="F234" s="6"/>
      <c r="G234" s="6"/>
      <c r="H234" s="7"/>
    </row>
    <row r="235" spans="1:8">
      <c r="A235" s="5"/>
      <c r="B235" s="6"/>
      <c r="C235" s="6"/>
      <c r="D235" s="6"/>
      <c r="E235" s="6"/>
      <c r="F235" s="6"/>
      <c r="G235" s="6"/>
      <c r="H235" s="7"/>
    </row>
    <row r="236" spans="1:8">
      <c r="A236" s="5"/>
      <c r="B236" s="6"/>
      <c r="C236" s="6"/>
      <c r="D236" s="6"/>
      <c r="E236" s="6"/>
      <c r="F236" s="6"/>
      <c r="G236" s="6"/>
      <c r="H236" s="7"/>
    </row>
    <row r="237" spans="1:8">
      <c r="A237" s="5"/>
      <c r="B237" s="6"/>
      <c r="C237" s="6"/>
      <c r="D237" s="6"/>
      <c r="E237" s="6"/>
      <c r="F237" s="6"/>
      <c r="G237" s="6"/>
      <c r="H237" s="7"/>
    </row>
    <row r="238" spans="1:8">
      <c r="A238" s="5"/>
      <c r="B238" s="6"/>
      <c r="C238" s="6"/>
      <c r="D238" s="6"/>
      <c r="E238" s="6"/>
      <c r="F238" s="6"/>
      <c r="G238" s="6"/>
      <c r="H238" s="7"/>
    </row>
    <row r="239" spans="1:8">
      <c r="A239" s="5"/>
      <c r="B239" s="6"/>
      <c r="C239" s="6"/>
      <c r="D239" s="6"/>
      <c r="E239" s="6"/>
      <c r="F239" s="6"/>
      <c r="G239" s="6"/>
      <c r="H239" s="7"/>
    </row>
    <row r="240" spans="1:8">
      <c r="A240" s="5"/>
      <c r="B240" s="6"/>
      <c r="C240" s="6"/>
      <c r="D240" s="6"/>
      <c r="E240" s="6"/>
      <c r="F240" s="6"/>
      <c r="G240" s="6"/>
      <c r="H240" s="7"/>
    </row>
    <row r="241" spans="1:8">
      <c r="A241" s="5"/>
      <c r="B241" s="6"/>
      <c r="C241" s="6"/>
      <c r="D241" s="6"/>
      <c r="E241" s="6"/>
      <c r="F241" s="6"/>
      <c r="G241" s="6"/>
      <c r="H241" s="7"/>
    </row>
    <row r="242" spans="1:8">
      <c r="A242" s="5"/>
      <c r="B242" s="6"/>
      <c r="C242" s="6"/>
      <c r="D242" s="6"/>
      <c r="E242" s="6"/>
      <c r="F242" s="6"/>
      <c r="G242" s="6"/>
      <c r="H242" s="7"/>
    </row>
    <row r="243" spans="1:8">
      <c r="A243" s="5"/>
      <c r="B243" s="6"/>
      <c r="C243" s="6"/>
      <c r="D243" s="6"/>
      <c r="E243" s="6"/>
      <c r="F243" s="6"/>
      <c r="G243" s="6"/>
      <c r="H243" s="7"/>
    </row>
    <row r="244" spans="1:8">
      <c r="A244" s="5"/>
      <c r="B244" s="6"/>
      <c r="C244" s="6"/>
      <c r="D244" s="6"/>
      <c r="E244" s="6"/>
      <c r="F244" s="6"/>
      <c r="G244" s="6"/>
      <c r="H244" s="7"/>
    </row>
    <row r="245" spans="1:8">
      <c r="A245" s="5"/>
      <c r="B245" s="6"/>
      <c r="C245" s="6"/>
      <c r="D245" s="6"/>
      <c r="E245" s="6"/>
      <c r="F245" s="6"/>
      <c r="G245" s="6"/>
      <c r="H245" s="7"/>
    </row>
    <row r="246" spans="1:8">
      <c r="A246" s="5"/>
      <c r="B246" s="6"/>
      <c r="C246" s="6"/>
      <c r="D246" s="6"/>
      <c r="E246" s="6"/>
      <c r="F246" s="6"/>
      <c r="G246" s="6"/>
      <c r="H246" s="7"/>
    </row>
    <row r="247" spans="1:8">
      <c r="A247" s="5"/>
      <c r="B247" s="6"/>
      <c r="C247" s="6"/>
      <c r="D247" s="6"/>
      <c r="E247" s="6"/>
      <c r="F247" s="6"/>
      <c r="G247" s="6"/>
      <c r="H247" s="7"/>
    </row>
    <row r="248" spans="1:8">
      <c r="A248" s="5"/>
      <c r="B248" s="6"/>
      <c r="C248" s="6"/>
      <c r="D248" s="6"/>
      <c r="E248" s="6"/>
      <c r="F248" s="6"/>
      <c r="G248" s="6"/>
      <c r="H248" s="7"/>
    </row>
    <row r="249" spans="1:8">
      <c r="A249" s="5"/>
      <c r="B249" s="6"/>
      <c r="C249" s="6"/>
      <c r="D249" s="6"/>
      <c r="E249" s="6"/>
      <c r="F249" s="6"/>
      <c r="G249" s="6"/>
      <c r="H249" s="7"/>
    </row>
    <row r="250" spans="1:8">
      <c r="A250" s="5"/>
      <c r="B250" s="6"/>
      <c r="C250" s="6"/>
      <c r="D250" s="6"/>
      <c r="E250" s="6"/>
      <c r="F250" s="6"/>
      <c r="G250" s="6"/>
      <c r="H250" s="7"/>
    </row>
    <row r="251" spans="1:8">
      <c r="A251" s="5"/>
      <c r="B251" s="6"/>
      <c r="C251" s="6"/>
      <c r="D251" s="6"/>
      <c r="E251" s="6"/>
      <c r="F251" s="6"/>
      <c r="G251" s="6"/>
      <c r="H251" s="7"/>
    </row>
    <row r="252" spans="1:8">
      <c r="A252" s="5"/>
      <c r="B252" s="6"/>
      <c r="C252" s="6"/>
      <c r="D252" s="6"/>
      <c r="E252" s="6"/>
      <c r="F252" s="6"/>
      <c r="G252" s="6"/>
      <c r="H252" s="7"/>
    </row>
    <row r="253" spans="1:8">
      <c r="A253" s="5"/>
      <c r="B253" s="6"/>
      <c r="C253" s="6"/>
      <c r="D253" s="6"/>
      <c r="E253" s="6"/>
      <c r="F253" s="6"/>
      <c r="G253" s="6"/>
      <c r="H253" s="7"/>
    </row>
    <row r="254" spans="1:8">
      <c r="A254" s="5"/>
      <c r="B254" s="6"/>
      <c r="C254" s="6"/>
      <c r="D254" s="6"/>
      <c r="E254" s="6"/>
      <c r="F254" s="6"/>
      <c r="G254" s="6"/>
      <c r="H254" s="7"/>
    </row>
    <row r="255" spans="1:8">
      <c r="A255" s="5"/>
      <c r="B255" s="6"/>
      <c r="C255" s="6"/>
      <c r="D255" s="6"/>
      <c r="E255" s="6"/>
      <c r="F255" s="6"/>
      <c r="G255" s="6"/>
      <c r="H255" s="7"/>
    </row>
    <row r="256" spans="1:8">
      <c r="A256" s="5"/>
      <c r="B256" s="6"/>
      <c r="C256" s="6"/>
      <c r="D256" s="6"/>
      <c r="E256" s="6"/>
      <c r="F256" s="6"/>
      <c r="G256" s="6"/>
      <c r="H256" s="7"/>
    </row>
    <row r="257" spans="1:8">
      <c r="A257" s="5"/>
      <c r="B257" s="6"/>
      <c r="C257" s="6"/>
      <c r="D257" s="6"/>
      <c r="E257" s="6"/>
      <c r="F257" s="6"/>
      <c r="G257" s="6"/>
      <c r="H257" s="7"/>
    </row>
    <row r="258" spans="1:8">
      <c r="A258" s="5"/>
      <c r="B258" s="6"/>
      <c r="C258" s="6"/>
      <c r="D258" s="6"/>
      <c r="E258" s="6"/>
      <c r="F258" s="6"/>
      <c r="G258" s="6"/>
      <c r="H258" s="7"/>
    </row>
    <row r="259" spans="1:8">
      <c r="A259" s="5"/>
      <c r="B259" s="6"/>
      <c r="C259" s="6"/>
      <c r="D259" s="6"/>
      <c r="E259" s="6"/>
      <c r="F259" s="6"/>
      <c r="G259" s="6"/>
      <c r="H259" s="7"/>
    </row>
    <row r="260" spans="1:8">
      <c r="A260" s="5"/>
      <c r="B260" s="6"/>
      <c r="C260" s="6"/>
      <c r="D260" s="6"/>
      <c r="E260" s="6"/>
      <c r="F260" s="6"/>
      <c r="G260" s="6"/>
      <c r="H260" s="7"/>
    </row>
    <row r="261" spans="1:8">
      <c r="A261" s="5"/>
      <c r="B261" s="6"/>
      <c r="C261" s="6"/>
      <c r="D261" s="6"/>
      <c r="E261" s="6"/>
      <c r="F261" s="6"/>
      <c r="G261" s="6"/>
      <c r="H261" s="7"/>
    </row>
    <row r="262" spans="1:8">
      <c r="A262" s="5"/>
      <c r="B262" s="6"/>
      <c r="C262" s="6"/>
      <c r="D262" s="6"/>
      <c r="E262" s="6"/>
      <c r="F262" s="6"/>
      <c r="G262" s="6"/>
      <c r="H262" s="7"/>
    </row>
    <row r="263" spans="1:8">
      <c r="A263" s="5"/>
      <c r="B263" s="6"/>
      <c r="C263" s="6"/>
      <c r="D263" s="6"/>
      <c r="E263" s="6"/>
      <c r="F263" s="6"/>
      <c r="G263" s="6"/>
      <c r="H263" s="7"/>
    </row>
    <row r="264" spans="1:8">
      <c r="A264" s="5"/>
      <c r="B264" s="6"/>
      <c r="C264" s="6"/>
      <c r="D264" s="6"/>
      <c r="E264" s="6"/>
      <c r="F264" s="6"/>
      <c r="G264" s="6"/>
      <c r="H264" s="7"/>
    </row>
    <row r="265" spans="1:8">
      <c r="A265" s="5"/>
      <c r="B265" s="6"/>
      <c r="C265" s="6"/>
      <c r="D265" s="6"/>
      <c r="E265" s="6"/>
      <c r="F265" s="6"/>
      <c r="G265" s="6"/>
      <c r="H265" s="7"/>
    </row>
    <row r="266" spans="1:8">
      <c r="A266" s="5"/>
      <c r="B266" s="6"/>
      <c r="C266" s="6"/>
      <c r="D266" s="6"/>
      <c r="E266" s="6"/>
      <c r="F266" s="6"/>
      <c r="G266" s="6"/>
      <c r="H266" s="7"/>
    </row>
    <row r="267" spans="1:8">
      <c r="A267" s="5"/>
      <c r="B267" s="6"/>
      <c r="C267" s="6"/>
      <c r="D267" s="6"/>
      <c r="E267" s="6"/>
      <c r="F267" s="6"/>
      <c r="G267" s="6"/>
      <c r="H267" s="7"/>
    </row>
    <row r="268" spans="1:8">
      <c r="A268" s="5"/>
      <c r="B268" s="6"/>
      <c r="C268" s="6"/>
      <c r="D268" s="6"/>
      <c r="E268" s="6"/>
      <c r="F268" s="6"/>
      <c r="G268" s="6"/>
      <c r="H268" s="7"/>
    </row>
    <row r="269" spans="1:8">
      <c r="A269" s="5"/>
      <c r="B269" s="6"/>
      <c r="C269" s="6"/>
      <c r="D269" s="6"/>
      <c r="E269" s="6"/>
      <c r="F269" s="6"/>
      <c r="G269" s="6"/>
      <c r="H269" s="7"/>
    </row>
    <row r="270" spans="1:8">
      <c r="A270" s="5"/>
      <c r="B270" s="6"/>
      <c r="C270" s="6"/>
      <c r="D270" s="6"/>
      <c r="E270" s="6"/>
      <c r="F270" s="6"/>
      <c r="G270" s="6"/>
      <c r="H270" s="7"/>
    </row>
    <row r="271" spans="1:8">
      <c r="A271" s="5"/>
      <c r="B271" s="6"/>
      <c r="C271" s="6"/>
      <c r="D271" s="6"/>
      <c r="E271" s="6"/>
      <c r="F271" s="6"/>
      <c r="G271" s="6"/>
      <c r="H271" s="7"/>
    </row>
    <row r="272" spans="1:8">
      <c r="A272" s="5"/>
      <c r="B272" s="6"/>
      <c r="C272" s="6"/>
      <c r="D272" s="6"/>
      <c r="E272" s="6"/>
      <c r="F272" s="6"/>
      <c r="G272" s="6"/>
      <c r="H272" s="7"/>
    </row>
    <row r="273" spans="1:8">
      <c r="A273" s="5"/>
      <c r="B273" s="6"/>
      <c r="C273" s="6"/>
      <c r="D273" s="6"/>
      <c r="E273" s="6"/>
      <c r="F273" s="6"/>
      <c r="G273" s="6"/>
      <c r="H273" s="7"/>
    </row>
    <row r="274" spans="1:8">
      <c r="A274" s="5"/>
      <c r="B274" s="6"/>
      <c r="C274" s="6"/>
      <c r="D274" s="6"/>
      <c r="E274" s="6"/>
      <c r="F274" s="6"/>
      <c r="G274" s="6"/>
      <c r="H274" s="7"/>
    </row>
    <row r="275" spans="1:8">
      <c r="A275" s="5"/>
      <c r="B275" s="6"/>
      <c r="C275" s="6"/>
      <c r="D275" s="6"/>
      <c r="E275" s="6"/>
      <c r="F275" s="6"/>
      <c r="G275" s="6"/>
      <c r="H275" s="7"/>
    </row>
    <row r="276" spans="1:8">
      <c r="A276" s="5"/>
      <c r="B276" s="6"/>
      <c r="C276" s="6"/>
      <c r="D276" s="6"/>
      <c r="E276" s="6"/>
      <c r="F276" s="6"/>
      <c r="G276" s="6"/>
      <c r="H276" s="7"/>
    </row>
    <row r="277" spans="1:8">
      <c r="A277" s="5"/>
      <c r="B277" s="6"/>
      <c r="C277" s="6"/>
      <c r="D277" s="6"/>
      <c r="E277" s="6"/>
      <c r="F277" s="6"/>
      <c r="G277" s="6"/>
      <c r="H277" s="7"/>
    </row>
    <row r="278" spans="1:8">
      <c r="A278" s="5"/>
      <c r="B278" s="6"/>
      <c r="C278" s="6"/>
      <c r="D278" s="6"/>
      <c r="E278" s="6"/>
      <c r="F278" s="6"/>
      <c r="G278" s="6"/>
      <c r="H278" s="7"/>
    </row>
    <row r="279" spans="1:8">
      <c r="A279" s="5"/>
      <c r="B279" s="6"/>
      <c r="C279" s="6"/>
      <c r="D279" s="6"/>
      <c r="E279" s="6"/>
      <c r="F279" s="6"/>
      <c r="G279" s="6"/>
      <c r="H279" s="7"/>
    </row>
    <row r="280" spans="1:8">
      <c r="A280" s="5"/>
      <c r="B280" s="6"/>
      <c r="C280" s="6"/>
      <c r="D280" s="6"/>
      <c r="E280" s="6"/>
      <c r="F280" s="6"/>
      <c r="G280" s="6"/>
      <c r="H280" s="7"/>
    </row>
    <row r="281" spans="1:8">
      <c r="A281" s="5"/>
      <c r="B281" s="6"/>
      <c r="C281" s="6"/>
      <c r="D281" s="6"/>
      <c r="E281" s="6"/>
      <c r="F281" s="6"/>
      <c r="G281" s="6"/>
      <c r="H281" s="7"/>
    </row>
    <row r="282" spans="1:8">
      <c r="A282" s="5"/>
      <c r="B282" s="6"/>
      <c r="C282" s="6"/>
      <c r="D282" s="6"/>
      <c r="E282" s="6"/>
      <c r="F282" s="6"/>
      <c r="G282" s="6"/>
      <c r="H282" s="7"/>
    </row>
    <row r="283" spans="1:8">
      <c r="A283" s="5"/>
      <c r="B283" s="6"/>
      <c r="C283" s="6"/>
      <c r="D283" s="6"/>
      <c r="E283" s="6"/>
      <c r="F283" s="6"/>
      <c r="G283" s="6"/>
      <c r="H283" s="7"/>
    </row>
    <row r="284" spans="1:8">
      <c r="A284" s="5"/>
      <c r="B284" s="6"/>
      <c r="C284" s="6"/>
      <c r="D284" s="6"/>
      <c r="E284" s="6"/>
      <c r="F284" s="6"/>
      <c r="G284" s="6"/>
      <c r="H284" s="7"/>
    </row>
    <row r="285" spans="1:8">
      <c r="A285" s="5"/>
      <c r="B285" s="6"/>
      <c r="C285" s="6"/>
      <c r="D285" s="6"/>
      <c r="E285" s="6"/>
      <c r="F285" s="6"/>
      <c r="G285" s="6"/>
      <c r="H285" s="7"/>
    </row>
    <row r="286" spans="1:8">
      <c r="A286" s="5"/>
      <c r="B286" s="6"/>
      <c r="C286" s="6"/>
      <c r="D286" s="6"/>
      <c r="E286" s="6"/>
      <c r="F286" s="6"/>
      <c r="G286" s="6"/>
      <c r="H286" s="7"/>
    </row>
    <row r="287" spans="1:8">
      <c r="A287" s="5"/>
      <c r="B287" s="6"/>
      <c r="C287" s="6"/>
      <c r="D287" s="6"/>
      <c r="E287" s="6"/>
      <c r="F287" s="6"/>
      <c r="G287" s="6"/>
      <c r="H287" s="7"/>
    </row>
    <row r="288" spans="1:8">
      <c r="A288" s="5"/>
      <c r="B288" s="6"/>
      <c r="C288" s="6"/>
      <c r="D288" s="6"/>
      <c r="E288" s="6"/>
      <c r="F288" s="6"/>
      <c r="G288" s="6"/>
      <c r="H288" s="7"/>
    </row>
    <row r="289" spans="1:8">
      <c r="A289" s="5"/>
      <c r="B289" s="6"/>
      <c r="C289" s="6"/>
      <c r="D289" s="6"/>
      <c r="E289" s="6"/>
      <c r="F289" s="6"/>
      <c r="G289" s="6"/>
      <c r="H289" s="7"/>
    </row>
    <row r="290" spans="1:8">
      <c r="A290" s="5"/>
      <c r="B290" s="6"/>
      <c r="C290" s="6"/>
      <c r="D290" s="6"/>
      <c r="E290" s="6"/>
      <c r="F290" s="6"/>
      <c r="G290" s="6"/>
      <c r="H290" s="7"/>
    </row>
    <row r="291" spans="1:8">
      <c r="A291" s="5"/>
      <c r="B291" s="6"/>
      <c r="C291" s="6"/>
      <c r="D291" s="6"/>
      <c r="E291" s="6"/>
      <c r="F291" s="6"/>
      <c r="G291" s="6"/>
      <c r="H291" s="7"/>
    </row>
    <row r="292" spans="1:8">
      <c r="A292" s="5"/>
      <c r="B292" s="6"/>
      <c r="C292" s="6"/>
      <c r="D292" s="6"/>
      <c r="E292" s="6"/>
      <c r="F292" s="6"/>
      <c r="G292" s="6"/>
      <c r="H292" s="7"/>
    </row>
    <row r="293" spans="1:8">
      <c r="A293" s="5"/>
      <c r="B293" s="6"/>
      <c r="C293" s="6"/>
      <c r="D293" s="6"/>
      <c r="E293" s="6"/>
      <c r="F293" s="6"/>
      <c r="G293" s="6"/>
      <c r="H293" s="7"/>
    </row>
    <row r="294" spans="1:8">
      <c r="A294" s="5"/>
      <c r="B294" s="6"/>
      <c r="C294" s="6"/>
      <c r="D294" s="6"/>
      <c r="E294" s="6"/>
      <c r="F294" s="6"/>
      <c r="G294" s="6"/>
      <c r="H294" s="7"/>
    </row>
    <row r="295" spans="1:8">
      <c r="A295" s="5"/>
      <c r="B295" s="6"/>
      <c r="C295" s="6"/>
      <c r="D295" s="6"/>
      <c r="E295" s="6"/>
      <c r="F295" s="6"/>
      <c r="G295" s="6"/>
      <c r="H295" s="7"/>
    </row>
    <row r="296" spans="1:8">
      <c r="A296" s="5"/>
      <c r="B296" s="6"/>
      <c r="C296" s="6"/>
      <c r="D296" s="6"/>
      <c r="E296" s="6"/>
      <c r="F296" s="6"/>
      <c r="G296" s="6"/>
      <c r="H296" s="7"/>
    </row>
    <row r="297" spans="1:8">
      <c r="A297" s="5"/>
      <c r="B297" s="6"/>
      <c r="C297" s="6"/>
      <c r="D297" s="6"/>
      <c r="E297" s="6"/>
      <c r="F297" s="6"/>
      <c r="G297" s="6"/>
      <c r="H297" s="7"/>
    </row>
    <row r="298" spans="1:8">
      <c r="A298" s="5"/>
      <c r="B298" s="6"/>
      <c r="C298" s="6"/>
      <c r="D298" s="6"/>
      <c r="E298" s="6"/>
      <c r="F298" s="6"/>
      <c r="G298" s="6"/>
      <c r="H298" s="7"/>
    </row>
    <row r="299" spans="1:8">
      <c r="A299" s="5"/>
      <c r="B299" s="6"/>
      <c r="C299" s="6"/>
      <c r="D299" s="6"/>
      <c r="E299" s="6"/>
      <c r="F299" s="6"/>
      <c r="G299" s="6"/>
      <c r="H299" s="7"/>
    </row>
    <row r="300" spans="1:8">
      <c r="A300" s="5"/>
      <c r="B300" s="6"/>
      <c r="C300" s="6"/>
      <c r="D300" s="6"/>
      <c r="E300" s="6"/>
      <c r="F300" s="6"/>
      <c r="G300" s="6"/>
      <c r="H300" s="7"/>
    </row>
    <row r="301" spans="1:8">
      <c r="A301" s="5"/>
      <c r="B301" s="6"/>
      <c r="C301" s="6"/>
      <c r="D301" s="6"/>
      <c r="E301" s="6"/>
      <c r="F301" s="6"/>
      <c r="G301" s="6"/>
      <c r="H301" s="7"/>
    </row>
    <row r="302" spans="1:8">
      <c r="A302" s="5"/>
      <c r="B302" s="6"/>
      <c r="C302" s="6"/>
      <c r="D302" s="6"/>
      <c r="E302" s="6"/>
      <c r="F302" s="6"/>
      <c r="G302" s="6"/>
      <c r="H302" s="7"/>
    </row>
    <row r="303" spans="1:8">
      <c r="A303" s="5"/>
      <c r="B303" s="6"/>
      <c r="C303" s="6"/>
      <c r="D303" s="6"/>
      <c r="E303" s="6"/>
      <c r="F303" s="6"/>
      <c r="G303" s="6"/>
      <c r="H303" s="7"/>
    </row>
    <row r="304" spans="1:8">
      <c r="A304" s="5"/>
      <c r="B304" s="6"/>
      <c r="C304" s="6"/>
      <c r="D304" s="6"/>
      <c r="E304" s="6"/>
      <c r="F304" s="6"/>
      <c r="G304" s="6"/>
      <c r="H304" s="7"/>
    </row>
    <row r="305" spans="1:8">
      <c r="A305" s="5"/>
      <c r="B305" s="6"/>
      <c r="C305" s="6"/>
      <c r="D305" s="6"/>
      <c r="E305" s="6"/>
      <c r="F305" s="6"/>
      <c r="G305" s="6"/>
      <c r="H305" s="7"/>
    </row>
    <row r="306" spans="1:8">
      <c r="A306" s="5"/>
      <c r="B306" s="6"/>
      <c r="C306" s="6"/>
      <c r="D306" s="6"/>
      <c r="E306" s="6"/>
      <c r="F306" s="6"/>
      <c r="G306" s="6"/>
      <c r="H306" s="7"/>
    </row>
    <row r="307" spans="1:8">
      <c r="A307" s="5"/>
      <c r="B307" s="6"/>
      <c r="C307" s="6"/>
      <c r="D307" s="6"/>
      <c r="E307" s="6"/>
      <c r="F307" s="6"/>
      <c r="G307" s="6"/>
      <c r="H307" s="7"/>
    </row>
    <row r="308" spans="1:8">
      <c r="A308" s="5"/>
      <c r="B308" s="6"/>
      <c r="C308" s="6"/>
      <c r="D308" s="6"/>
      <c r="E308" s="6"/>
      <c r="F308" s="6"/>
      <c r="G308" s="6"/>
      <c r="H308" s="7"/>
    </row>
    <row r="309" spans="1:8">
      <c r="A309" s="5"/>
      <c r="B309" s="6"/>
      <c r="C309" s="6"/>
      <c r="D309" s="6"/>
      <c r="E309" s="6"/>
      <c r="F309" s="6"/>
      <c r="G309" s="6"/>
      <c r="H309" s="7"/>
    </row>
    <row r="310" spans="1:8">
      <c r="A310" s="5"/>
      <c r="B310" s="6"/>
      <c r="C310" s="6"/>
      <c r="D310" s="6"/>
      <c r="E310" s="6"/>
      <c r="F310" s="6"/>
      <c r="G310" s="6"/>
      <c r="H310" s="7"/>
    </row>
    <row r="311" spans="1:8">
      <c r="A311" s="5"/>
      <c r="B311" s="6"/>
      <c r="C311" s="6"/>
      <c r="D311" s="6"/>
      <c r="E311" s="6"/>
      <c r="F311" s="6"/>
      <c r="G311" s="6"/>
      <c r="H311" s="7"/>
    </row>
    <row r="312" spans="1:8">
      <c r="A312" s="5"/>
      <c r="B312" s="6"/>
      <c r="C312" s="6"/>
      <c r="D312" s="6"/>
      <c r="E312" s="6"/>
      <c r="F312" s="6"/>
      <c r="G312" s="6"/>
      <c r="H312" s="7"/>
    </row>
    <row r="313" spans="1:8">
      <c r="A313" s="5"/>
      <c r="B313" s="6"/>
      <c r="C313" s="6"/>
      <c r="D313" s="6"/>
      <c r="E313" s="6"/>
      <c r="F313" s="6"/>
      <c r="G313" s="6"/>
      <c r="H313" s="7"/>
    </row>
    <row r="314" spans="1:8">
      <c r="A314" s="5"/>
      <c r="B314" s="6"/>
      <c r="C314" s="6"/>
      <c r="D314" s="6"/>
      <c r="E314" s="6"/>
      <c r="F314" s="6"/>
      <c r="G314" s="6"/>
      <c r="H314" s="7"/>
    </row>
    <row r="315" spans="1:8">
      <c r="A315" s="5"/>
      <c r="B315" s="6"/>
      <c r="C315" s="6"/>
      <c r="D315" s="6"/>
      <c r="E315" s="6"/>
      <c r="F315" s="6"/>
      <c r="G315" s="6"/>
      <c r="H315" s="7"/>
    </row>
    <row r="316" spans="1:8">
      <c r="A316" s="5"/>
      <c r="B316" s="6"/>
      <c r="C316" s="6"/>
      <c r="D316" s="6"/>
      <c r="E316" s="6"/>
      <c r="F316" s="6"/>
      <c r="G316" s="6"/>
      <c r="H316" s="7"/>
    </row>
    <row r="317" spans="1:8">
      <c r="A317" s="5"/>
      <c r="B317" s="6"/>
      <c r="C317" s="6"/>
      <c r="D317" s="6"/>
      <c r="E317" s="6"/>
      <c r="F317" s="6"/>
      <c r="G317" s="6"/>
      <c r="H317" s="7"/>
    </row>
    <row r="318" spans="1:8">
      <c r="A318" s="5"/>
      <c r="B318" s="6"/>
      <c r="C318" s="6"/>
      <c r="D318" s="6"/>
      <c r="E318" s="6"/>
      <c r="F318" s="6"/>
      <c r="G318" s="6"/>
      <c r="H318" s="7"/>
    </row>
    <row r="319" spans="1:8">
      <c r="A319" s="5"/>
      <c r="B319" s="6"/>
      <c r="C319" s="6"/>
      <c r="D319" s="6"/>
      <c r="E319" s="6"/>
      <c r="F319" s="6"/>
      <c r="G319" s="6"/>
      <c r="H319" s="7"/>
    </row>
    <row r="320" spans="1:8">
      <c r="A320" s="5"/>
      <c r="B320" s="6"/>
      <c r="C320" s="6"/>
      <c r="D320" s="6"/>
      <c r="E320" s="6"/>
      <c r="F320" s="6"/>
      <c r="G320" s="6"/>
      <c r="H320" s="7"/>
    </row>
    <row r="321" spans="1:8">
      <c r="A321" s="5"/>
      <c r="B321" s="6"/>
      <c r="C321" s="6"/>
      <c r="D321" s="6"/>
      <c r="E321" s="6"/>
      <c r="F321" s="6"/>
      <c r="G321" s="6"/>
      <c r="H321" s="7"/>
    </row>
    <row r="322" spans="1:8">
      <c r="A322" s="5"/>
      <c r="B322" s="6"/>
      <c r="C322" s="6"/>
      <c r="D322" s="6"/>
      <c r="E322" s="6"/>
      <c r="F322" s="6"/>
      <c r="G322" s="6"/>
      <c r="H322" s="7"/>
    </row>
    <row r="323" spans="1:8">
      <c r="A323" s="5"/>
      <c r="B323" s="6"/>
      <c r="C323" s="6"/>
      <c r="D323" s="6"/>
      <c r="E323" s="6"/>
      <c r="F323" s="6"/>
      <c r="G323" s="6"/>
      <c r="H323" s="7"/>
    </row>
    <row r="324" spans="1:8">
      <c r="A324" s="5"/>
      <c r="B324" s="6"/>
      <c r="C324" s="6"/>
      <c r="D324" s="6"/>
      <c r="E324" s="6"/>
      <c r="F324" s="6"/>
      <c r="G324" s="6"/>
      <c r="H324" s="7"/>
    </row>
    <row r="325" spans="1:8">
      <c r="A325" s="5"/>
      <c r="B325" s="6"/>
      <c r="C325" s="6"/>
      <c r="D325" s="6"/>
      <c r="E325" s="6"/>
      <c r="F325" s="6"/>
      <c r="G325" s="6"/>
      <c r="H325" s="7"/>
    </row>
    <row r="326" spans="1:8">
      <c r="A326" s="5"/>
      <c r="B326" s="6"/>
      <c r="C326" s="6"/>
      <c r="D326" s="6"/>
      <c r="E326" s="6"/>
      <c r="F326" s="6"/>
      <c r="G326" s="6"/>
      <c r="H326" s="7"/>
    </row>
    <row r="327" spans="1:8">
      <c r="A327" s="5"/>
      <c r="B327" s="6"/>
      <c r="C327" s="6"/>
      <c r="D327" s="6"/>
      <c r="E327" s="6"/>
      <c r="F327" s="6"/>
      <c r="G327" s="6"/>
      <c r="H327" s="7"/>
    </row>
    <row r="328" spans="1:8">
      <c r="A328" s="5"/>
      <c r="B328" s="6"/>
      <c r="C328" s="6"/>
      <c r="D328" s="6"/>
      <c r="E328" s="6"/>
      <c r="F328" s="6"/>
      <c r="G328" s="6"/>
      <c r="H328" s="7"/>
    </row>
    <row r="329" spans="1:8">
      <c r="A329" s="5"/>
      <c r="B329" s="6"/>
      <c r="C329" s="6"/>
      <c r="D329" s="6"/>
      <c r="E329" s="6"/>
      <c r="F329" s="6"/>
      <c r="G329" s="6"/>
      <c r="H329" s="7"/>
    </row>
    <row r="330" spans="1:8">
      <c r="A330" s="5"/>
      <c r="B330" s="6"/>
      <c r="C330" s="6"/>
      <c r="D330" s="6"/>
      <c r="E330" s="6"/>
      <c r="F330" s="6"/>
      <c r="G330" s="6"/>
      <c r="H330" s="7"/>
    </row>
    <row r="331" spans="1:8">
      <c r="A331" s="5"/>
      <c r="B331" s="6"/>
      <c r="C331" s="6"/>
      <c r="D331" s="6"/>
      <c r="E331" s="6"/>
      <c r="F331" s="6"/>
      <c r="G331" s="6"/>
      <c r="H331" s="7"/>
    </row>
    <row r="332" spans="1:8">
      <c r="A332" s="5"/>
      <c r="B332" s="6"/>
      <c r="C332" s="6"/>
      <c r="D332" s="6"/>
      <c r="E332" s="6"/>
      <c r="F332" s="6"/>
      <c r="G332" s="6"/>
      <c r="H332" s="7"/>
    </row>
    <row r="333" spans="1:8">
      <c r="A333" s="5"/>
      <c r="B333" s="6"/>
      <c r="C333" s="6"/>
      <c r="D333" s="6"/>
      <c r="E333" s="6"/>
      <c r="F333" s="6"/>
      <c r="G333" s="6"/>
      <c r="H333" s="7"/>
    </row>
    <row r="334" spans="1:8">
      <c r="A334" s="5"/>
      <c r="B334" s="6"/>
      <c r="C334" s="6"/>
      <c r="D334" s="6"/>
      <c r="E334" s="6"/>
      <c r="F334" s="6"/>
      <c r="G334" s="6"/>
      <c r="H334" s="7"/>
    </row>
    <row r="335" spans="1:8">
      <c r="A335" s="5"/>
      <c r="B335" s="6"/>
      <c r="C335" s="6"/>
      <c r="D335" s="6"/>
      <c r="E335" s="6"/>
      <c r="F335" s="6"/>
      <c r="G335" s="6"/>
      <c r="H335" s="7"/>
    </row>
    <row r="336" spans="1:8">
      <c r="A336" s="5"/>
      <c r="B336" s="6"/>
      <c r="C336" s="6"/>
      <c r="D336" s="6"/>
      <c r="E336" s="6"/>
      <c r="F336" s="6"/>
      <c r="G336" s="6"/>
      <c r="H336" s="7"/>
    </row>
    <row r="337" spans="1:8">
      <c r="A337" s="5"/>
      <c r="B337" s="6"/>
      <c r="C337" s="6"/>
      <c r="D337" s="6"/>
      <c r="E337" s="6"/>
      <c r="F337" s="6"/>
      <c r="G337" s="6"/>
      <c r="H337" s="7"/>
    </row>
    <row r="338" spans="1:8">
      <c r="A338" s="5"/>
      <c r="B338" s="6"/>
      <c r="C338" s="6"/>
      <c r="D338" s="6"/>
      <c r="E338" s="6"/>
      <c r="F338" s="6"/>
      <c r="G338" s="6"/>
      <c r="H338" s="7"/>
    </row>
    <row r="339" spans="1:8">
      <c r="A339" s="5"/>
      <c r="B339" s="6"/>
      <c r="C339" s="6"/>
      <c r="D339" s="6"/>
      <c r="E339" s="6"/>
      <c r="F339" s="6"/>
      <c r="G339" s="6"/>
      <c r="H339" s="7"/>
    </row>
    <row r="340" spans="1:8">
      <c r="A340" s="5"/>
      <c r="B340" s="6"/>
      <c r="C340" s="6"/>
      <c r="D340" s="6"/>
      <c r="E340" s="6"/>
      <c r="F340" s="6"/>
      <c r="G340" s="6"/>
      <c r="H340" s="7"/>
    </row>
    <row r="341" spans="1:8">
      <c r="A341" s="5"/>
      <c r="B341" s="6"/>
      <c r="C341" s="6"/>
      <c r="D341" s="6"/>
      <c r="E341" s="6"/>
      <c r="F341" s="6"/>
      <c r="G341" s="6"/>
      <c r="H341" s="7"/>
    </row>
    <row r="342" spans="1:8">
      <c r="A342" s="5"/>
      <c r="B342" s="6"/>
      <c r="C342" s="6"/>
      <c r="D342" s="6"/>
      <c r="E342" s="6"/>
      <c r="F342" s="6"/>
      <c r="G342" s="6"/>
      <c r="H342" s="7"/>
    </row>
    <row r="343" spans="1:8">
      <c r="A343" s="5"/>
      <c r="B343" s="6"/>
      <c r="C343" s="6"/>
      <c r="D343" s="6"/>
      <c r="E343" s="6"/>
      <c r="F343" s="6"/>
      <c r="G343" s="6"/>
      <c r="H343" s="7"/>
    </row>
    <row r="344" spans="1:8">
      <c r="A344" s="5"/>
      <c r="B344" s="6"/>
      <c r="C344" s="6"/>
      <c r="D344" s="6"/>
      <c r="E344" s="6"/>
      <c r="F344" s="6"/>
      <c r="G344" s="6"/>
      <c r="H344" s="7"/>
    </row>
    <row r="345" spans="1:8">
      <c r="A345" s="5"/>
      <c r="B345" s="6"/>
      <c r="C345" s="6"/>
      <c r="D345" s="6"/>
      <c r="E345" s="6"/>
      <c r="F345" s="6"/>
      <c r="G345" s="6"/>
      <c r="H345" s="7"/>
    </row>
    <row r="346" spans="1:8">
      <c r="A346" s="5"/>
      <c r="B346" s="6"/>
      <c r="C346" s="6"/>
      <c r="D346" s="6"/>
      <c r="E346" s="6"/>
      <c r="F346" s="6"/>
      <c r="G346" s="6"/>
      <c r="H346" s="7"/>
    </row>
    <row r="347" spans="1:8">
      <c r="A347" s="5"/>
      <c r="B347" s="6"/>
      <c r="C347" s="6"/>
      <c r="D347" s="6"/>
      <c r="E347" s="6"/>
      <c r="F347" s="6"/>
      <c r="G347" s="6"/>
      <c r="H347" s="7"/>
    </row>
    <row r="348" spans="1:8">
      <c r="A348" s="5"/>
      <c r="B348" s="6"/>
      <c r="C348" s="6"/>
      <c r="D348" s="6"/>
      <c r="E348" s="6"/>
      <c r="F348" s="6"/>
      <c r="G348" s="6"/>
      <c r="H348" s="7"/>
    </row>
    <row r="349" spans="1:8">
      <c r="A349" s="5"/>
      <c r="B349" s="6"/>
      <c r="C349" s="6"/>
      <c r="D349" s="6"/>
      <c r="E349" s="6"/>
      <c r="F349" s="6"/>
      <c r="G349" s="6"/>
      <c r="H349" s="7"/>
    </row>
    <row r="350" spans="1:8">
      <c r="A350" s="5"/>
      <c r="B350" s="6"/>
      <c r="C350" s="6"/>
      <c r="D350" s="6"/>
      <c r="E350" s="6"/>
      <c r="F350" s="6"/>
      <c r="G350" s="6"/>
      <c r="H350" s="7"/>
    </row>
    <row r="351" spans="1:8">
      <c r="A351" s="5"/>
      <c r="B351" s="6"/>
      <c r="C351" s="6"/>
      <c r="D351" s="6"/>
      <c r="E351" s="6"/>
      <c r="F351" s="6"/>
      <c r="G351" s="6"/>
      <c r="H351" s="7"/>
    </row>
    <row r="352" spans="1:8">
      <c r="A352" s="5"/>
      <c r="B352" s="6"/>
      <c r="C352" s="6"/>
      <c r="D352" s="6"/>
      <c r="E352" s="6"/>
      <c r="F352" s="6"/>
      <c r="G352" s="6"/>
      <c r="H352" s="7"/>
    </row>
    <row r="353" spans="1:8">
      <c r="A353" s="5"/>
      <c r="B353" s="6"/>
      <c r="C353" s="6"/>
      <c r="D353" s="6"/>
      <c r="E353" s="6"/>
      <c r="F353" s="6"/>
      <c r="G353" s="6"/>
      <c r="H353" s="7"/>
    </row>
    <row r="354" spans="1:8">
      <c r="A354" s="5"/>
      <c r="B354" s="6"/>
      <c r="C354" s="6"/>
      <c r="D354" s="6"/>
      <c r="E354" s="6"/>
      <c r="F354" s="6"/>
      <c r="G354" s="6"/>
      <c r="H354" s="7"/>
    </row>
    <row r="355" spans="1:8">
      <c r="A355" s="5"/>
      <c r="B355" s="6"/>
      <c r="C355" s="6"/>
      <c r="D355" s="6"/>
      <c r="E355" s="6"/>
      <c r="F355" s="6"/>
      <c r="G355" s="6"/>
      <c r="H355" s="7"/>
    </row>
    <row r="356" spans="1:8">
      <c r="A356" s="5"/>
      <c r="B356" s="6"/>
      <c r="C356" s="6"/>
      <c r="D356" s="6"/>
      <c r="E356" s="6"/>
      <c r="F356" s="6"/>
      <c r="G356" s="6"/>
      <c r="H356" s="7"/>
    </row>
    <row r="357" spans="1:8">
      <c r="A357" s="5"/>
      <c r="B357" s="6"/>
      <c r="C357" s="6"/>
      <c r="D357" s="6"/>
      <c r="E357" s="6"/>
      <c r="F357" s="6"/>
      <c r="G357" s="6"/>
      <c r="H357" s="7"/>
    </row>
    <row r="358" spans="1:8">
      <c r="A358" s="5"/>
      <c r="B358" s="6"/>
      <c r="C358" s="6"/>
      <c r="D358" s="6"/>
      <c r="E358" s="6"/>
      <c r="F358" s="6"/>
      <c r="G358" s="6"/>
      <c r="H358" s="7"/>
    </row>
    <row r="359" spans="1:8">
      <c r="A359" s="5"/>
      <c r="B359" s="6"/>
      <c r="C359" s="6"/>
      <c r="D359" s="6"/>
      <c r="E359" s="6"/>
      <c r="F359" s="6"/>
      <c r="G359" s="6"/>
      <c r="H359" s="7"/>
    </row>
    <row r="360" spans="1:8">
      <c r="A360" s="5"/>
      <c r="B360" s="6"/>
      <c r="C360" s="6"/>
      <c r="D360" s="6"/>
      <c r="E360" s="6"/>
      <c r="F360" s="6"/>
      <c r="G360" s="6"/>
      <c r="H360" s="7"/>
    </row>
    <row r="361" spans="1:8">
      <c r="A361" s="5"/>
      <c r="B361" s="6"/>
      <c r="C361" s="6"/>
      <c r="D361" s="6"/>
      <c r="E361" s="6"/>
      <c r="F361" s="6"/>
      <c r="G361" s="6"/>
      <c r="H361" s="7"/>
    </row>
    <row r="362" spans="1:8">
      <c r="A362" s="5"/>
      <c r="B362" s="6"/>
      <c r="C362" s="6"/>
      <c r="D362" s="6"/>
      <c r="E362" s="6"/>
      <c r="F362" s="6"/>
      <c r="G362" s="6"/>
      <c r="H362" s="7"/>
    </row>
    <row r="363" spans="1:8">
      <c r="A363" s="5"/>
      <c r="B363" s="6"/>
      <c r="C363" s="6"/>
      <c r="D363" s="6"/>
      <c r="E363" s="6"/>
      <c r="F363" s="6"/>
      <c r="G363" s="6"/>
      <c r="H363" s="7"/>
    </row>
    <row r="364" spans="1:8">
      <c r="A364" s="5"/>
      <c r="B364" s="6"/>
      <c r="C364" s="6"/>
      <c r="D364" s="6"/>
      <c r="E364" s="6"/>
      <c r="F364" s="6"/>
      <c r="G364" s="6"/>
      <c r="H364" s="7"/>
    </row>
    <row r="365" spans="1:8">
      <c r="A365" s="5"/>
      <c r="B365" s="6"/>
      <c r="C365" s="6"/>
      <c r="D365" s="6"/>
      <c r="E365" s="6"/>
      <c r="F365" s="6"/>
      <c r="G365" s="6"/>
      <c r="H365" s="7"/>
    </row>
    <row r="366" spans="1:8">
      <c r="A366" s="5"/>
      <c r="B366" s="6"/>
      <c r="C366" s="6"/>
      <c r="D366" s="6"/>
      <c r="E366" s="6"/>
      <c r="F366" s="6"/>
      <c r="G366" s="6"/>
      <c r="H366" s="7"/>
    </row>
    <row r="367" spans="1:8">
      <c r="A367" s="5"/>
      <c r="B367" s="6"/>
      <c r="C367" s="6"/>
      <c r="D367" s="6"/>
      <c r="E367" s="6"/>
      <c r="F367" s="6"/>
      <c r="G367" s="6"/>
      <c r="H367" s="7"/>
    </row>
    <row r="368" spans="1:8">
      <c r="A368" s="5"/>
      <c r="B368" s="6"/>
      <c r="C368" s="6"/>
      <c r="D368" s="6"/>
      <c r="E368" s="6"/>
      <c r="F368" s="6"/>
      <c r="G368" s="6"/>
      <c r="H368" s="7"/>
    </row>
    <row r="369" spans="1:8">
      <c r="A369" s="5"/>
      <c r="B369" s="6"/>
      <c r="C369" s="6"/>
      <c r="D369" s="6"/>
      <c r="E369" s="6"/>
      <c r="F369" s="6"/>
      <c r="G369" s="6"/>
      <c r="H369" s="7"/>
    </row>
    <row r="370" spans="1:8">
      <c r="A370" s="5"/>
      <c r="B370" s="6"/>
      <c r="C370" s="6"/>
      <c r="D370" s="6"/>
      <c r="E370" s="6"/>
      <c r="F370" s="6"/>
      <c r="G370" s="6"/>
      <c r="H370" s="7"/>
    </row>
    <row r="371" spans="1:8">
      <c r="A371" s="5"/>
      <c r="B371" s="6"/>
      <c r="C371" s="6"/>
      <c r="D371" s="6"/>
      <c r="E371" s="6"/>
      <c r="F371" s="6"/>
      <c r="G371" s="6"/>
      <c r="H371" s="7"/>
    </row>
    <row r="372" spans="1:8">
      <c r="A372" s="5"/>
      <c r="B372" s="6"/>
      <c r="C372" s="6"/>
      <c r="D372" s="6"/>
      <c r="E372" s="6"/>
      <c r="F372" s="6"/>
      <c r="G372" s="6"/>
      <c r="H372" s="7"/>
    </row>
    <row r="373" spans="1:8">
      <c r="A373" s="5"/>
      <c r="B373" s="6"/>
      <c r="C373" s="6"/>
      <c r="D373" s="6"/>
      <c r="E373" s="6"/>
      <c r="F373" s="6"/>
      <c r="G373" s="6"/>
      <c r="H373" s="7"/>
    </row>
    <row r="374" spans="1:8">
      <c r="A374" s="5"/>
      <c r="B374" s="6"/>
      <c r="C374" s="6"/>
      <c r="D374" s="6"/>
      <c r="E374" s="6"/>
      <c r="F374" s="6"/>
      <c r="G374" s="6"/>
      <c r="H374" s="7"/>
    </row>
    <row r="375" spans="1:8">
      <c r="A375" s="5"/>
      <c r="B375" s="6"/>
      <c r="C375" s="6"/>
      <c r="D375" s="6"/>
      <c r="E375" s="6"/>
      <c r="F375" s="6"/>
      <c r="G375" s="6"/>
      <c r="H375" s="7"/>
    </row>
    <row r="376" spans="1:8">
      <c r="A376" s="5"/>
      <c r="B376" s="6"/>
      <c r="C376" s="6"/>
      <c r="D376" s="6"/>
      <c r="E376" s="6"/>
      <c r="F376" s="6"/>
      <c r="G376" s="6"/>
      <c r="H376" s="7"/>
    </row>
    <row r="377" spans="1:8">
      <c r="A377" s="5"/>
      <c r="B377" s="6"/>
      <c r="C377" s="6"/>
      <c r="D377" s="6"/>
      <c r="E377" s="6"/>
      <c r="F377" s="6"/>
      <c r="G377" s="6"/>
      <c r="H377" s="7"/>
    </row>
    <row r="378" spans="1:8">
      <c r="A378" s="5"/>
      <c r="B378" s="6"/>
      <c r="C378" s="6"/>
      <c r="D378" s="6"/>
      <c r="E378" s="6"/>
      <c r="F378" s="6"/>
      <c r="G378" s="6"/>
      <c r="H378" s="7"/>
    </row>
    <row r="379" spans="1:8">
      <c r="A379" s="5"/>
      <c r="B379" s="6"/>
      <c r="C379" s="6"/>
      <c r="D379" s="6"/>
      <c r="E379" s="6"/>
      <c r="F379" s="6"/>
      <c r="G379" s="6"/>
      <c r="H379" s="7"/>
    </row>
    <row r="380" spans="1:8">
      <c r="A380" s="5"/>
      <c r="B380" s="6"/>
      <c r="C380" s="6"/>
      <c r="D380" s="6"/>
      <c r="E380" s="6"/>
      <c r="F380" s="6"/>
      <c r="G380" s="6"/>
      <c r="H380" s="7"/>
    </row>
    <row r="381" spans="1:8">
      <c r="A381" s="5"/>
      <c r="B381" s="6"/>
      <c r="C381" s="6"/>
      <c r="D381" s="6"/>
      <c r="E381" s="6"/>
      <c r="F381" s="6"/>
      <c r="G381" s="6"/>
      <c r="H381" s="7"/>
    </row>
    <row r="382" spans="1:8">
      <c r="A382" s="5"/>
      <c r="B382" s="6"/>
      <c r="C382" s="6"/>
      <c r="D382" s="6"/>
      <c r="E382" s="6"/>
      <c r="F382" s="6"/>
      <c r="G382" s="6"/>
      <c r="H382" s="7"/>
    </row>
    <row r="383" spans="1:8">
      <c r="A383" s="5"/>
      <c r="B383" s="6"/>
      <c r="C383" s="6"/>
      <c r="D383" s="6"/>
      <c r="E383" s="6"/>
      <c r="F383" s="6"/>
      <c r="G383" s="6"/>
      <c r="H383" s="7"/>
    </row>
    <row r="384" spans="1:8">
      <c r="A384" s="5"/>
      <c r="B384" s="6"/>
      <c r="C384" s="6"/>
      <c r="D384" s="6"/>
      <c r="E384" s="6"/>
      <c r="F384" s="6"/>
      <c r="G384" s="6"/>
      <c r="H384" s="7"/>
    </row>
    <row r="385" spans="1:8">
      <c r="A385" s="5"/>
      <c r="B385" s="6"/>
      <c r="C385" s="6"/>
      <c r="D385" s="6"/>
      <c r="E385" s="6"/>
      <c r="F385" s="6"/>
      <c r="G385" s="6"/>
      <c r="H385" s="7"/>
    </row>
    <row r="386" spans="1:8">
      <c r="A386" s="5"/>
      <c r="B386" s="6"/>
      <c r="C386" s="6"/>
      <c r="D386" s="6"/>
      <c r="E386" s="6"/>
      <c r="F386" s="6"/>
      <c r="G386" s="6"/>
      <c r="H386" s="7"/>
    </row>
    <row r="387" spans="1:8">
      <c r="A387" s="5"/>
      <c r="B387" s="6"/>
      <c r="C387" s="6"/>
      <c r="D387" s="6"/>
      <c r="E387" s="6"/>
      <c r="F387" s="6"/>
      <c r="G387" s="6"/>
      <c r="H387" s="7"/>
    </row>
    <row r="388" spans="1:8">
      <c r="A388" s="5"/>
      <c r="B388" s="6"/>
      <c r="C388" s="6"/>
      <c r="D388" s="6"/>
      <c r="E388" s="6"/>
      <c r="F388" s="6"/>
      <c r="G388" s="6"/>
      <c r="H388" s="7"/>
    </row>
    <row r="389" spans="1:8">
      <c r="A389" s="5"/>
      <c r="B389" s="6"/>
      <c r="C389" s="6"/>
      <c r="D389" s="6"/>
      <c r="E389" s="6"/>
      <c r="F389" s="6"/>
      <c r="G389" s="6"/>
      <c r="H389" s="7"/>
    </row>
    <row r="390" spans="1:8">
      <c r="A390" s="5"/>
      <c r="B390" s="6"/>
      <c r="C390" s="6"/>
      <c r="D390" s="6"/>
      <c r="E390" s="6"/>
      <c r="F390" s="6"/>
      <c r="G390" s="6"/>
      <c r="H390" s="7"/>
    </row>
    <row r="391" spans="1:8">
      <c r="A391" s="5"/>
      <c r="B391" s="6"/>
      <c r="C391" s="6"/>
      <c r="D391" s="6"/>
      <c r="E391" s="6"/>
      <c r="F391" s="6"/>
      <c r="G391" s="6"/>
      <c r="H391" s="7"/>
    </row>
    <row r="392" spans="1:8">
      <c r="A392" s="5"/>
      <c r="B392" s="6"/>
      <c r="C392" s="6"/>
      <c r="D392" s="6"/>
      <c r="E392" s="6"/>
      <c r="F392" s="6"/>
      <c r="G392" s="6"/>
      <c r="H392" s="7"/>
    </row>
    <row r="393" spans="1:8">
      <c r="A393" s="5"/>
      <c r="B393" s="6"/>
      <c r="C393" s="6"/>
      <c r="D393" s="6"/>
      <c r="E393" s="6"/>
      <c r="F393" s="6"/>
      <c r="G393" s="6"/>
      <c r="H393" s="7"/>
    </row>
    <row r="394" spans="1:8">
      <c r="A394" s="5"/>
      <c r="B394" s="6"/>
      <c r="C394" s="6"/>
      <c r="D394" s="6"/>
      <c r="E394" s="6"/>
      <c r="F394" s="6"/>
      <c r="G394" s="6"/>
      <c r="H394" s="7"/>
    </row>
    <row r="395" spans="1:8">
      <c r="A395" s="5"/>
      <c r="B395" s="6"/>
      <c r="C395" s="6"/>
      <c r="D395" s="6"/>
      <c r="E395" s="6"/>
      <c r="F395" s="6"/>
      <c r="G395" s="6"/>
      <c r="H395" s="7"/>
    </row>
    <row r="396" spans="1:8">
      <c r="A396" s="5"/>
      <c r="B396" s="6"/>
      <c r="C396" s="6"/>
      <c r="D396" s="6"/>
      <c r="E396" s="6"/>
      <c r="F396" s="6"/>
      <c r="G396" s="6"/>
      <c r="H396" s="7"/>
    </row>
    <row r="397" spans="1:8">
      <c r="A397" s="5"/>
      <c r="B397" s="6"/>
      <c r="C397" s="6"/>
      <c r="D397" s="6"/>
      <c r="E397" s="6"/>
      <c r="F397" s="6"/>
      <c r="G397" s="6"/>
      <c r="H397" s="7"/>
    </row>
    <row r="398" spans="1:8">
      <c r="A398" s="5"/>
      <c r="B398" s="6"/>
      <c r="C398" s="6"/>
      <c r="D398" s="6"/>
      <c r="E398" s="6"/>
      <c r="F398" s="6"/>
      <c r="G398" s="6"/>
      <c r="H398" s="7"/>
    </row>
    <row r="399" spans="1:8">
      <c r="A399" s="5"/>
      <c r="B399" s="6"/>
      <c r="C399" s="6"/>
      <c r="D399" s="6"/>
      <c r="E399" s="6"/>
      <c r="F399" s="6"/>
      <c r="G399" s="6"/>
      <c r="H399" s="7"/>
    </row>
    <row r="400" spans="1:8">
      <c r="A400" s="5"/>
      <c r="B400" s="6"/>
      <c r="C400" s="6"/>
      <c r="D400" s="6"/>
      <c r="E400" s="6"/>
      <c r="F400" s="6"/>
      <c r="G400" s="6"/>
      <c r="H400" s="7"/>
    </row>
    <row r="401" spans="1:8">
      <c r="A401" s="5"/>
      <c r="B401" s="6"/>
      <c r="C401" s="6"/>
      <c r="D401" s="6"/>
      <c r="E401" s="6"/>
      <c r="F401" s="6"/>
      <c r="G401" s="6"/>
      <c r="H401" s="7"/>
    </row>
    <row r="402" spans="1:8">
      <c r="A402" s="5"/>
      <c r="B402" s="6"/>
      <c r="C402" s="6"/>
      <c r="D402" s="6"/>
      <c r="E402" s="6"/>
      <c r="F402" s="6"/>
      <c r="G402" s="6"/>
      <c r="H402" s="7"/>
    </row>
    <row r="403" spans="1:8">
      <c r="A403" s="5"/>
      <c r="B403" s="6"/>
      <c r="C403" s="6"/>
      <c r="D403" s="6"/>
      <c r="E403" s="6"/>
      <c r="F403" s="6"/>
      <c r="G403" s="6"/>
      <c r="H403" s="7"/>
    </row>
    <row r="404" spans="1:8">
      <c r="A404" s="5"/>
      <c r="B404" s="6"/>
      <c r="C404" s="6"/>
      <c r="D404" s="6"/>
      <c r="E404" s="6"/>
      <c r="F404" s="6"/>
      <c r="G404" s="6"/>
      <c r="H404" s="7"/>
    </row>
    <row r="405" spans="1:8">
      <c r="A405" s="5"/>
      <c r="B405" s="6"/>
      <c r="C405" s="6"/>
      <c r="D405" s="6"/>
      <c r="E405" s="6"/>
      <c r="F405" s="6"/>
      <c r="G405" s="6"/>
      <c r="H405" s="7"/>
    </row>
    <row r="406" spans="1:8">
      <c r="A406" s="5"/>
      <c r="B406" s="6"/>
      <c r="C406" s="6"/>
      <c r="D406" s="6"/>
      <c r="E406" s="6"/>
      <c r="F406" s="6"/>
      <c r="G406" s="6"/>
      <c r="H406" s="7"/>
    </row>
    <row r="407" spans="1:8">
      <c r="A407" s="5"/>
      <c r="B407" s="6"/>
      <c r="C407" s="6"/>
      <c r="D407" s="6"/>
      <c r="E407" s="6"/>
      <c r="F407" s="6"/>
      <c r="G407" s="6"/>
      <c r="H407" s="7"/>
    </row>
    <row r="408" spans="1:8">
      <c r="A408" s="5"/>
      <c r="B408" s="6"/>
      <c r="C408" s="6"/>
      <c r="D408" s="6"/>
      <c r="E408" s="6"/>
      <c r="F408" s="6"/>
      <c r="G408" s="6"/>
      <c r="H408" s="7"/>
    </row>
    <row r="409" spans="1:8">
      <c r="A409" s="5"/>
      <c r="B409" s="6"/>
      <c r="C409" s="6"/>
      <c r="D409" s="6"/>
      <c r="E409" s="6"/>
      <c r="F409" s="6"/>
      <c r="G409" s="6"/>
      <c r="H409" s="7"/>
    </row>
    <row r="410" spans="1:8">
      <c r="A410" s="5"/>
      <c r="B410" s="6"/>
      <c r="C410" s="6"/>
      <c r="D410" s="6"/>
      <c r="E410" s="6"/>
      <c r="F410" s="6"/>
      <c r="G410" s="6"/>
      <c r="H410" s="7"/>
    </row>
    <row r="411" spans="1:8">
      <c r="A411" s="5"/>
      <c r="B411" s="6"/>
      <c r="C411" s="6"/>
      <c r="D411" s="6"/>
      <c r="E411" s="6"/>
      <c r="F411" s="6"/>
      <c r="G411" s="6"/>
      <c r="H411" s="7"/>
    </row>
    <row r="412" spans="1:8">
      <c r="A412" s="5"/>
      <c r="B412" s="6"/>
      <c r="C412" s="6"/>
      <c r="D412" s="6"/>
      <c r="E412" s="6"/>
      <c r="F412" s="6"/>
      <c r="G412" s="6"/>
      <c r="H412" s="7"/>
    </row>
    <row r="413" spans="1:8">
      <c r="A413" s="5"/>
      <c r="B413" s="6"/>
      <c r="C413" s="6"/>
      <c r="D413" s="6"/>
      <c r="E413" s="6"/>
      <c r="F413" s="6"/>
      <c r="G413" s="6"/>
      <c r="H413" s="7"/>
    </row>
    <row r="414" spans="1:8">
      <c r="A414" s="5"/>
      <c r="B414" s="6"/>
      <c r="C414" s="6"/>
      <c r="D414" s="6"/>
      <c r="E414" s="6"/>
      <c r="F414" s="6"/>
      <c r="G414" s="6"/>
      <c r="H414" s="7"/>
    </row>
    <row r="415" spans="1:8">
      <c r="A415" s="5"/>
      <c r="B415" s="6"/>
      <c r="C415" s="6"/>
      <c r="D415" s="6"/>
      <c r="E415" s="6"/>
      <c r="F415" s="6"/>
      <c r="G415" s="6"/>
      <c r="H415" s="7"/>
    </row>
    <row r="416" spans="1:8">
      <c r="A416" s="5"/>
      <c r="B416" s="6"/>
      <c r="C416" s="6"/>
      <c r="D416" s="6"/>
      <c r="E416" s="6"/>
      <c r="F416" s="6"/>
      <c r="G416" s="6"/>
      <c r="H416" s="7"/>
    </row>
    <row r="417" spans="1:8">
      <c r="A417" s="5"/>
      <c r="B417" s="6"/>
      <c r="C417" s="6"/>
      <c r="D417" s="6"/>
      <c r="E417" s="6"/>
      <c r="F417" s="6"/>
      <c r="G417" s="6"/>
      <c r="H417" s="7"/>
    </row>
    <row r="418" spans="1:8">
      <c r="A418" s="5"/>
      <c r="B418" s="6"/>
      <c r="C418" s="6"/>
      <c r="D418" s="6"/>
      <c r="E418" s="6"/>
      <c r="F418" s="6"/>
      <c r="G418" s="6"/>
      <c r="H418" s="7"/>
    </row>
    <row r="419" spans="1:8">
      <c r="A419" s="5"/>
      <c r="B419" s="6"/>
      <c r="C419" s="6"/>
      <c r="D419" s="6"/>
      <c r="E419" s="6"/>
      <c r="F419" s="6"/>
      <c r="G419" s="6"/>
      <c r="H419" s="7"/>
    </row>
    <row r="420" spans="1:8">
      <c r="A420" s="5"/>
      <c r="B420" s="6"/>
      <c r="C420" s="6"/>
      <c r="D420" s="6"/>
      <c r="E420" s="6"/>
      <c r="F420" s="6"/>
      <c r="G420" s="6"/>
      <c r="H420" s="7"/>
    </row>
    <row r="421" spans="1:8">
      <c r="A421" s="5"/>
      <c r="B421" s="6"/>
      <c r="C421" s="6"/>
      <c r="D421" s="6"/>
      <c r="E421" s="6"/>
      <c r="F421" s="6"/>
      <c r="G421" s="6"/>
      <c r="H421" s="7"/>
    </row>
    <row r="422" spans="1:8">
      <c r="A422" s="5"/>
      <c r="B422" s="6"/>
      <c r="C422" s="6"/>
      <c r="D422" s="6"/>
      <c r="E422" s="6"/>
      <c r="F422" s="6"/>
      <c r="G422" s="6"/>
      <c r="H422" s="7"/>
    </row>
    <row r="423" spans="1:8">
      <c r="A423" s="5"/>
      <c r="B423" s="6"/>
      <c r="C423" s="6"/>
      <c r="D423" s="6"/>
      <c r="E423" s="6"/>
      <c r="F423" s="6"/>
      <c r="G423" s="6"/>
      <c r="H423" s="7"/>
    </row>
    <row r="424" spans="1:8">
      <c r="A424" s="5"/>
      <c r="B424" s="6"/>
      <c r="C424" s="6"/>
      <c r="D424" s="6"/>
      <c r="E424" s="6"/>
      <c r="F424" s="6"/>
      <c r="G424" s="6"/>
      <c r="H424" s="7"/>
    </row>
    <row r="425" spans="1:8">
      <c r="A425" s="5"/>
      <c r="B425" s="6"/>
      <c r="C425" s="6"/>
      <c r="D425" s="6"/>
      <c r="E425" s="6"/>
      <c r="F425" s="6"/>
      <c r="G425" s="6"/>
      <c r="H425" s="7"/>
    </row>
    <row r="426" spans="1:8">
      <c r="A426" s="5"/>
      <c r="B426" s="6"/>
      <c r="C426" s="6"/>
      <c r="D426" s="6"/>
      <c r="E426" s="6"/>
      <c r="F426" s="6"/>
      <c r="G426" s="6"/>
      <c r="H426" s="7"/>
    </row>
    <row r="427" spans="1:8">
      <c r="A427" s="5"/>
      <c r="B427" s="6"/>
      <c r="C427" s="6"/>
      <c r="D427" s="6"/>
      <c r="E427" s="6"/>
      <c r="F427" s="6"/>
      <c r="G427" s="6"/>
      <c r="H427" s="7"/>
    </row>
    <row r="428" spans="1:8">
      <c r="A428" s="5"/>
      <c r="B428" s="6"/>
      <c r="C428" s="6"/>
      <c r="D428" s="6"/>
      <c r="E428" s="6"/>
      <c r="F428" s="6"/>
      <c r="G428" s="6"/>
      <c r="H428" s="7"/>
    </row>
    <row r="429" spans="1:8">
      <c r="A429" s="5"/>
      <c r="B429" s="6"/>
      <c r="C429" s="6"/>
      <c r="D429" s="6"/>
      <c r="E429" s="6"/>
      <c r="F429" s="6"/>
      <c r="G429" s="6"/>
      <c r="H429" s="7"/>
    </row>
    <row r="430" spans="1:8">
      <c r="A430" s="5"/>
      <c r="B430" s="6"/>
      <c r="C430" s="6"/>
      <c r="D430" s="6"/>
      <c r="E430" s="6"/>
      <c r="F430" s="6"/>
      <c r="G430" s="6"/>
      <c r="H430" s="7"/>
    </row>
    <row r="431" spans="1:8">
      <c r="A431" s="5"/>
      <c r="B431" s="6"/>
      <c r="C431" s="6"/>
      <c r="D431" s="6"/>
      <c r="E431" s="6"/>
      <c r="F431" s="6"/>
      <c r="G431" s="6"/>
      <c r="H431" s="7"/>
    </row>
    <row r="432" spans="1:8">
      <c r="A432" s="5"/>
      <c r="B432" s="6"/>
      <c r="C432" s="6"/>
      <c r="D432" s="6"/>
      <c r="E432" s="6"/>
      <c r="F432" s="6"/>
      <c r="G432" s="6"/>
      <c r="H432" s="7"/>
    </row>
    <row r="433" spans="1:8">
      <c r="A433" s="5"/>
      <c r="B433" s="6"/>
      <c r="C433" s="6"/>
      <c r="D433" s="6"/>
      <c r="E433" s="6"/>
      <c r="F433" s="6"/>
      <c r="G433" s="6"/>
      <c r="H433" s="7"/>
    </row>
    <row r="434" spans="1:8">
      <c r="A434" s="5"/>
      <c r="B434" s="6"/>
      <c r="C434" s="6"/>
      <c r="D434" s="6"/>
      <c r="E434" s="6"/>
      <c r="F434" s="6"/>
      <c r="G434" s="6"/>
      <c r="H434" s="7"/>
    </row>
    <row r="435" spans="1:8">
      <c r="A435" s="5"/>
      <c r="B435" s="6"/>
      <c r="C435" s="6"/>
      <c r="D435" s="6"/>
      <c r="E435" s="6"/>
      <c r="F435" s="6"/>
      <c r="G435" s="6"/>
      <c r="H435" s="7"/>
    </row>
    <row r="436" spans="1:8">
      <c r="A436" s="5"/>
      <c r="B436" s="6"/>
      <c r="C436" s="6"/>
      <c r="D436" s="6"/>
      <c r="E436" s="6"/>
      <c r="F436" s="6"/>
      <c r="G436" s="6"/>
      <c r="H436" s="7"/>
    </row>
    <row r="437" spans="1:8">
      <c r="A437" s="5"/>
      <c r="B437" s="6"/>
      <c r="C437" s="6"/>
      <c r="D437" s="6"/>
      <c r="E437" s="6"/>
      <c r="F437" s="6"/>
      <c r="G437" s="6"/>
      <c r="H437" s="7"/>
    </row>
    <row r="438" spans="1:8">
      <c r="A438" s="5"/>
      <c r="B438" s="6"/>
      <c r="C438" s="6"/>
      <c r="D438" s="6"/>
      <c r="E438" s="6"/>
      <c r="F438" s="6"/>
      <c r="G438" s="6"/>
      <c r="H438" s="7"/>
    </row>
    <row r="439" spans="1:8">
      <c r="A439" s="5"/>
      <c r="B439" s="6"/>
      <c r="C439" s="6"/>
      <c r="D439" s="6"/>
      <c r="E439" s="6"/>
      <c r="F439" s="6"/>
      <c r="G439" s="6"/>
      <c r="H439" s="7"/>
    </row>
    <row r="440" spans="1:8">
      <c r="A440" s="5"/>
      <c r="B440" s="6"/>
      <c r="C440" s="6"/>
      <c r="D440" s="6"/>
      <c r="E440" s="6"/>
      <c r="F440" s="6"/>
      <c r="G440" s="6"/>
      <c r="H440" s="7"/>
    </row>
    <row r="441" spans="1:8">
      <c r="A441" s="5"/>
      <c r="B441" s="6"/>
      <c r="C441" s="6"/>
      <c r="D441" s="6"/>
      <c r="E441" s="6"/>
      <c r="F441" s="6"/>
      <c r="G441" s="6"/>
      <c r="H441" s="7"/>
    </row>
    <row r="442" spans="1:8">
      <c r="A442" s="5"/>
      <c r="B442" s="6"/>
      <c r="C442" s="6"/>
      <c r="D442" s="6"/>
      <c r="E442" s="6"/>
      <c r="F442" s="6"/>
      <c r="G442" s="6"/>
      <c r="H442" s="7"/>
    </row>
    <row r="443" spans="1:8">
      <c r="A443" s="5"/>
      <c r="B443" s="6"/>
      <c r="C443" s="6"/>
      <c r="D443" s="6"/>
      <c r="E443" s="6"/>
      <c r="F443" s="6"/>
      <c r="G443" s="6"/>
      <c r="H443" s="7"/>
    </row>
    <row r="444" spans="1:8">
      <c r="A444" s="5"/>
      <c r="B444" s="6"/>
      <c r="C444" s="6"/>
      <c r="D444" s="6"/>
      <c r="E444" s="6"/>
      <c r="F444" s="6"/>
      <c r="G444" s="6"/>
      <c r="H444" s="7"/>
    </row>
    <row r="445" spans="1:8">
      <c r="A445" s="5"/>
      <c r="B445" s="6"/>
      <c r="C445" s="6"/>
      <c r="D445" s="6"/>
      <c r="E445" s="6"/>
      <c r="F445" s="6"/>
      <c r="G445" s="6"/>
      <c r="H445" s="7"/>
    </row>
    <row r="446" spans="1:8">
      <c r="A446" s="5"/>
      <c r="B446" s="6"/>
      <c r="C446" s="6"/>
      <c r="D446" s="6"/>
      <c r="E446" s="6"/>
      <c r="F446" s="6"/>
      <c r="G446" s="6"/>
      <c r="H446" s="7"/>
    </row>
    <row r="447" spans="1:8">
      <c r="A447" s="5"/>
      <c r="B447" s="6"/>
      <c r="C447" s="6"/>
      <c r="D447" s="6"/>
      <c r="E447" s="6"/>
      <c r="F447" s="6"/>
      <c r="G447" s="6"/>
      <c r="H447" s="7"/>
    </row>
    <row r="448" spans="1:8">
      <c r="A448" s="5"/>
      <c r="B448" s="6"/>
      <c r="C448" s="6"/>
      <c r="D448" s="6"/>
      <c r="E448" s="6"/>
      <c r="F448" s="6"/>
      <c r="G448" s="6"/>
      <c r="H448" s="7"/>
    </row>
    <row r="449" spans="1:8">
      <c r="A449" s="5"/>
      <c r="B449" s="6"/>
      <c r="C449" s="6"/>
      <c r="D449" s="6"/>
      <c r="E449" s="6"/>
      <c r="F449" s="6"/>
      <c r="G449" s="6"/>
      <c r="H449" s="7"/>
    </row>
    <row r="450" spans="1:8">
      <c r="A450" s="5"/>
      <c r="B450" s="6"/>
      <c r="C450" s="6"/>
      <c r="D450" s="6"/>
      <c r="E450" s="6"/>
      <c r="F450" s="6"/>
      <c r="G450" s="6"/>
      <c r="H450" s="7"/>
    </row>
    <row r="451" spans="1:8">
      <c r="A451" s="5"/>
      <c r="B451" s="6"/>
      <c r="C451" s="6"/>
      <c r="D451" s="6"/>
      <c r="E451" s="6"/>
      <c r="F451" s="6"/>
      <c r="G451" s="6"/>
      <c r="H451" s="7"/>
    </row>
    <row r="452" spans="1:8">
      <c r="A452" s="5"/>
      <c r="B452" s="6"/>
      <c r="C452" s="6"/>
      <c r="D452" s="6"/>
      <c r="E452" s="6"/>
      <c r="F452" s="6"/>
      <c r="G452" s="6"/>
      <c r="H452" s="7"/>
    </row>
    <row r="453" spans="1:8">
      <c r="A453" s="5"/>
      <c r="B453" s="6"/>
      <c r="C453" s="6"/>
      <c r="D453" s="6"/>
      <c r="E453" s="6"/>
      <c r="F453" s="6"/>
      <c r="G453" s="6"/>
      <c r="H453" s="7"/>
    </row>
    <row r="454" spans="1:8">
      <c r="A454" s="5"/>
      <c r="B454" s="6"/>
      <c r="C454" s="6"/>
      <c r="D454" s="6"/>
      <c r="E454" s="6"/>
      <c r="F454" s="6"/>
      <c r="G454" s="6"/>
      <c r="H454" s="7"/>
    </row>
    <row r="455" spans="1:8">
      <c r="A455" s="5"/>
      <c r="B455" s="6"/>
      <c r="C455" s="6"/>
      <c r="D455" s="6"/>
      <c r="E455" s="6"/>
      <c r="F455" s="6"/>
      <c r="G455" s="6"/>
      <c r="H455" s="7"/>
    </row>
    <row r="456" spans="1:8">
      <c r="A456" s="5"/>
      <c r="B456" s="6"/>
      <c r="C456" s="6"/>
      <c r="D456" s="6"/>
      <c r="E456" s="6"/>
      <c r="F456" s="6"/>
      <c r="G456" s="6"/>
      <c r="H456" s="7"/>
    </row>
    <row r="457" spans="1:8">
      <c r="A457" s="5"/>
      <c r="B457" s="6"/>
      <c r="C457" s="6"/>
      <c r="D457" s="6"/>
      <c r="E457" s="6"/>
      <c r="F457" s="6"/>
      <c r="G457" s="6"/>
      <c r="H457" s="7"/>
    </row>
    <row r="458" spans="1:8">
      <c r="A458" s="5"/>
      <c r="B458" s="6"/>
      <c r="C458" s="6"/>
      <c r="D458" s="6"/>
      <c r="E458" s="6"/>
      <c r="F458" s="6"/>
      <c r="G458" s="6"/>
      <c r="H458" s="7"/>
    </row>
    <row r="459" spans="1:8">
      <c r="A459" s="5"/>
      <c r="B459" s="6"/>
      <c r="C459" s="6"/>
      <c r="D459" s="6"/>
      <c r="E459" s="6"/>
      <c r="F459" s="6"/>
      <c r="G459" s="6"/>
      <c r="H459" s="7"/>
    </row>
    <row r="460" spans="1:8">
      <c r="A460" s="5"/>
      <c r="B460" s="6"/>
      <c r="C460" s="6"/>
      <c r="D460" s="6"/>
      <c r="E460" s="6"/>
      <c r="F460" s="6"/>
      <c r="G460" s="6"/>
      <c r="H460" s="7"/>
    </row>
    <row r="461" spans="1:8">
      <c r="A461" s="5"/>
      <c r="B461" s="6"/>
      <c r="C461" s="6"/>
      <c r="D461" s="6"/>
      <c r="E461" s="6"/>
      <c r="F461" s="6"/>
      <c r="G461" s="6"/>
      <c r="H461" s="7"/>
    </row>
    <row r="462" spans="1:8">
      <c r="A462" s="5"/>
      <c r="B462" s="6"/>
      <c r="C462" s="6"/>
      <c r="D462" s="6"/>
      <c r="E462" s="6"/>
      <c r="F462" s="6"/>
      <c r="G462" s="6"/>
      <c r="H462" s="7"/>
    </row>
    <row r="463" spans="1:8">
      <c r="A463" s="5"/>
      <c r="B463" s="6"/>
      <c r="C463" s="6"/>
      <c r="D463" s="6"/>
      <c r="E463" s="6"/>
      <c r="F463" s="6"/>
      <c r="G463" s="6"/>
      <c r="H463" s="7"/>
    </row>
    <row r="464" spans="1:8">
      <c r="A464" s="5"/>
      <c r="B464" s="6"/>
      <c r="C464" s="6"/>
      <c r="D464" s="6"/>
      <c r="E464" s="6"/>
      <c r="F464" s="6"/>
      <c r="G464" s="6"/>
      <c r="H464" s="7"/>
    </row>
    <row r="465" spans="1:8">
      <c r="A465" s="5"/>
      <c r="B465" s="6"/>
      <c r="C465" s="6"/>
      <c r="D465" s="6"/>
      <c r="E465" s="6"/>
      <c r="F465" s="6"/>
      <c r="G465" s="6"/>
      <c r="H465" s="7"/>
    </row>
    <row r="466" spans="1:8">
      <c r="A466" s="5"/>
      <c r="B466" s="6"/>
      <c r="C466" s="6"/>
      <c r="D466" s="6"/>
      <c r="E466" s="6"/>
      <c r="F466" s="6"/>
      <c r="G466" s="6"/>
      <c r="H466" s="7"/>
    </row>
    <row r="467" spans="1:8">
      <c r="A467" s="5"/>
      <c r="B467" s="6"/>
      <c r="C467" s="6"/>
      <c r="D467" s="6"/>
      <c r="E467" s="6"/>
      <c r="F467" s="6"/>
      <c r="G467" s="6"/>
      <c r="H467" s="7"/>
    </row>
    <row r="468" spans="1:8">
      <c r="A468" s="5"/>
      <c r="B468" s="6"/>
      <c r="C468" s="6"/>
      <c r="D468" s="6"/>
      <c r="E468" s="6"/>
      <c r="F468" s="6"/>
      <c r="G468" s="6"/>
      <c r="H468" s="7"/>
    </row>
    <row r="469" spans="1:8">
      <c r="A469" s="5"/>
      <c r="B469" s="6"/>
      <c r="C469" s="6"/>
      <c r="D469" s="6"/>
      <c r="E469" s="6"/>
      <c r="F469" s="6"/>
      <c r="G469" s="6"/>
      <c r="H469" s="7"/>
    </row>
    <row r="470" spans="1:8">
      <c r="A470" s="5"/>
      <c r="B470" s="6"/>
      <c r="C470" s="6"/>
      <c r="D470" s="6"/>
      <c r="E470" s="6"/>
      <c r="F470" s="6"/>
      <c r="G470" s="6"/>
      <c r="H470" s="7"/>
    </row>
    <row r="471" spans="1:8">
      <c r="A471" s="5"/>
      <c r="B471" s="6"/>
      <c r="C471" s="6"/>
      <c r="D471" s="6"/>
      <c r="E471" s="6"/>
      <c r="F471" s="6"/>
      <c r="G471" s="6"/>
      <c r="H471" s="7"/>
    </row>
    <row r="472" spans="1:8">
      <c r="A472" s="5"/>
      <c r="B472" s="6"/>
      <c r="C472" s="6"/>
      <c r="D472" s="6"/>
      <c r="E472" s="6"/>
      <c r="F472" s="6"/>
      <c r="G472" s="6"/>
      <c r="H472" s="7"/>
    </row>
    <row r="473" spans="1:8">
      <c r="A473" s="5"/>
      <c r="B473" s="6"/>
      <c r="C473" s="6"/>
      <c r="D473" s="6"/>
      <c r="E473" s="6"/>
      <c r="F473" s="6"/>
      <c r="G473" s="6"/>
      <c r="H473" s="7"/>
    </row>
    <row r="474" spans="1:8">
      <c r="A474" s="5"/>
      <c r="B474" s="6"/>
      <c r="C474" s="6"/>
      <c r="D474" s="6"/>
      <c r="E474" s="6"/>
      <c r="F474" s="6"/>
      <c r="G474" s="6"/>
      <c r="H474" s="7"/>
    </row>
    <row r="475" spans="1:8">
      <c r="A475" s="5"/>
      <c r="B475" s="6"/>
      <c r="C475" s="6"/>
      <c r="D475" s="6"/>
      <c r="E475" s="6"/>
      <c r="F475" s="6"/>
      <c r="G475" s="6"/>
      <c r="H475" s="7"/>
    </row>
    <row r="476" spans="1:8">
      <c r="A476" s="5"/>
      <c r="B476" s="6"/>
      <c r="C476" s="6"/>
      <c r="D476" s="6"/>
      <c r="E476" s="6"/>
      <c r="F476" s="6"/>
      <c r="G476" s="6"/>
      <c r="H476" s="7"/>
    </row>
    <row r="477" spans="1:8">
      <c r="A477" s="5"/>
      <c r="B477" s="6"/>
      <c r="C477" s="6"/>
      <c r="D477" s="6"/>
      <c r="E477" s="6"/>
      <c r="F477" s="6"/>
      <c r="G477" s="6"/>
      <c r="H477" s="7"/>
    </row>
    <row r="478" spans="1:8">
      <c r="A478" s="5"/>
      <c r="B478" s="6"/>
      <c r="C478" s="6"/>
      <c r="D478" s="6"/>
      <c r="E478" s="6"/>
      <c r="F478" s="6"/>
      <c r="G478" s="6"/>
      <c r="H478" s="7"/>
    </row>
    <row r="479" spans="1:8">
      <c r="A479" s="5"/>
      <c r="B479" s="6"/>
      <c r="C479" s="6"/>
      <c r="D479" s="6"/>
      <c r="E479" s="6"/>
      <c r="F479" s="6"/>
      <c r="G479" s="6"/>
      <c r="H479" s="7"/>
    </row>
    <row r="480" spans="1:8">
      <c r="A480" s="5"/>
      <c r="B480" s="6"/>
      <c r="C480" s="6"/>
      <c r="D480" s="6"/>
      <c r="E480" s="6"/>
      <c r="F480" s="6"/>
      <c r="G480" s="6"/>
      <c r="H480" s="7"/>
    </row>
    <row r="481" spans="1:8">
      <c r="A481" s="5"/>
      <c r="B481" s="6"/>
      <c r="C481" s="6"/>
      <c r="D481" s="6"/>
      <c r="E481" s="6"/>
      <c r="F481" s="6"/>
      <c r="G481" s="6"/>
      <c r="H481" s="7"/>
    </row>
    <row r="482" spans="1:8">
      <c r="A482" s="5"/>
      <c r="B482" s="6"/>
      <c r="C482" s="6"/>
      <c r="D482" s="6"/>
      <c r="E482" s="6"/>
      <c r="F482" s="6"/>
      <c r="G482" s="6"/>
      <c r="H482" s="7"/>
    </row>
    <row r="483" spans="1:8">
      <c r="A483" s="5"/>
      <c r="B483" s="6"/>
      <c r="C483" s="6"/>
      <c r="D483" s="6"/>
      <c r="E483" s="6"/>
      <c r="F483" s="6"/>
      <c r="G483" s="6"/>
      <c r="H483" s="7"/>
    </row>
    <row r="484" spans="1:8">
      <c r="A484" s="5"/>
      <c r="B484" s="6"/>
      <c r="C484" s="6"/>
      <c r="D484" s="6"/>
      <c r="E484" s="6"/>
      <c r="F484" s="6"/>
      <c r="G484" s="6"/>
      <c r="H484" s="7"/>
    </row>
    <row r="485" spans="1:8">
      <c r="A485" s="5"/>
      <c r="B485" s="6"/>
      <c r="C485" s="6"/>
      <c r="D485" s="6"/>
      <c r="E485" s="6"/>
      <c r="F485" s="6"/>
      <c r="G485" s="6"/>
      <c r="H485" s="7"/>
    </row>
    <row r="486" spans="1:8">
      <c r="A486" s="5"/>
      <c r="B486" s="6"/>
      <c r="C486" s="6"/>
      <c r="D486" s="6"/>
      <c r="E486" s="6"/>
      <c r="F486" s="6"/>
      <c r="G486" s="6"/>
      <c r="H486" s="7"/>
    </row>
    <row r="487" spans="1:8">
      <c r="A487" s="5"/>
      <c r="B487" s="6"/>
      <c r="C487" s="6"/>
      <c r="D487" s="6"/>
      <c r="E487" s="6"/>
      <c r="F487" s="6"/>
      <c r="G487" s="6"/>
      <c r="H487" s="7"/>
    </row>
    <row r="488" spans="1:8">
      <c r="A488" s="5"/>
      <c r="B488" s="6"/>
      <c r="C488" s="6"/>
      <c r="D488" s="6"/>
      <c r="E488" s="6"/>
      <c r="F488" s="6"/>
      <c r="G488" s="6"/>
      <c r="H488" s="7"/>
    </row>
    <row r="489" spans="1:8">
      <c r="A489" s="5"/>
      <c r="B489" s="6"/>
      <c r="C489" s="6"/>
      <c r="D489" s="6"/>
      <c r="E489" s="6"/>
      <c r="F489" s="6"/>
      <c r="G489" s="6"/>
      <c r="H489" s="7"/>
    </row>
    <row r="490" spans="1:8">
      <c r="A490" s="5"/>
      <c r="B490" s="6"/>
      <c r="C490" s="6"/>
      <c r="D490" s="6"/>
      <c r="E490" s="6"/>
      <c r="F490" s="6"/>
      <c r="G490" s="6"/>
      <c r="H490" s="7"/>
    </row>
    <row r="491" spans="1:8">
      <c r="A491" s="5"/>
      <c r="B491" s="6"/>
      <c r="C491" s="6"/>
      <c r="D491" s="6"/>
      <c r="E491" s="6"/>
      <c r="F491" s="6"/>
      <c r="G491" s="6"/>
      <c r="H491" s="7"/>
    </row>
    <row r="492" spans="1:8">
      <c r="A492" s="5"/>
      <c r="B492" s="6"/>
      <c r="C492" s="6"/>
      <c r="D492" s="6"/>
      <c r="E492" s="6"/>
      <c r="F492" s="6"/>
      <c r="G492" s="6"/>
      <c r="H492" s="7"/>
    </row>
    <row r="493" spans="1:8">
      <c r="A493" s="5"/>
      <c r="B493" s="6"/>
      <c r="C493" s="6"/>
      <c r="D493" s="6"/>
      <c r="E493" s="6"/>
      <c r="F493" s="6"/>
      <c r="G493" s="6"/>
      <c r="H493" s="7"/>
    </row>
    <row r="494" spans="1:8">
      <c r="A494" s="5"/>
      <c r="B494" s="6"/>
      <c r="C494" s="6"/>
      <c r="D494" s="6"/>
      <c r="E494" s="6"/>
      <c r="F494" s="6"/>
      <c r="G494" s="6"/>
      <c r="H494" s="7"/>
    </row>
    <row r="495" spans="1:8">
      <c r="A495" s="5"/>
      <c r="B495" s="6"/>
      <c r="C495" s="6"/>
      <c r="D495" s="6"/>
      <c r="E495" s="6"/>
      <c r="F495" s="6"/>
      <c r="G495" s="6"/>
      <c r="H495" s="7"/>
    </row>
    <row r="496" spans="1:8">
      <c r="A496" s="5"/>
      <c r="B496" s="6"/>
      <c r="C496" s="6"/>
      <c r="D496" s="6"/>
      <c r="E496" s="6"/>
      <c r="F496" s="6"/>
      <c r="G496" s="6"/>
      <c r="H496" s="7"/>
    </row>
    <row r="497" spans="1:8">
      <c r="A497" s="5"/>
      <c r="B497" s="6"/>
      <c r="C497" s="6"/>
      <c r="D497" s="6"/>
      <c r="E497" s="6"/>
      <c r="F497" s="6"/>
      <c r="G497" s="6"/>
      <c r="H497" s="7"/>
    </row>
    <row r="498" spans="1:8">
      <c r="A498" s="5"/>
      <c r="B498" s="6"/>
      <c r="C498" s="6"/>
      <c r="D498" s="6"/>
      <c r="E498" s="6"/>
      <c r="F498" s="6"/>
      <c r="G498" s="6"/>
      <c r="H498" s="7"/>
    </row>
    <row r="499" spans="1:8">
      <c r="A499" s="5"/>
      <c r="B499" s="6"/>
      <c r="C499" s="6"/>
      <c r="D499" s="6"/>
      <c r="E499" s="6"/>
      <c r="F499" s="6"/>
      <c r="G499" s="6"/>
      <c r="H499" s="7"/>
    </row>
    <row r="500" spans="1:8">
      <c r="A500" s="5"/>
      <c r="B500" s="6"/>
      <c r="C500" s="6"/>
      <c r="D500" s="6"/>
      <c r="E500" s="6"/>
      <c r="F500" s="6"/>
      <c r="G500" s="6"/>
      <c r="H500" s="7"/>
    </row>
    <row r="501" spans="1:8">
      <c r="A501" s="5"/>
      <c r="B501" s="6"/>
      <c r="C501" s="6"/>
      <c r="D501" s="6"/>
      <c r="E501" s="6"/>
      <c r="F501" s="6"/>
      <c r="G501" s="6"/>
      <c r="H501" s="7"/>
    </row>
    <row r="502" spans="1:8">
      <c r="A502" s="5"/>
      <c r="B502" s="6"/>
      <c r="C502" s="6"/>
      <c r="D502" s="6"/>
      <c r="E502" s="6"/>
      <c r="F502" s="6"/>
      <c r="G502" s="6"/>
      <c r="H502" s="7"/>
    </row>
    <row r="503" spans="1:8">
      <c r="A503" s="5"/>
      <c r="B503" s="6"/>
      <c r="C503" s="6"/>
      <c r="D503" s="6"/>
      <c r="E503" s="6"/>
      <c r="F503" s="6"/>
      <c r="G503" s="6"/>
      <c r="H503" s="7"/>
    </row>
    <row r="504" spans="1:8">
      <c r="A504" s="5"/>
      <c r="B504" s="6"/>
      <c r="C504" s="6"/>
      <c r="D504" s="6"/>
      <c r="E504" s="6"/>
      <c r="F504" s="6"/>
      <c r="G504" s="6"/>
      <c r="H504" s="7"/>
    </row>
    <row r="505" spans="1:8">
      <c r="A505" s="5"/>
      <c r="B505" s="6"/>
      <c r="C505" s="6"/>
      <c r="D505" s="6"/>
      <c r="E505" s="6"/>
      <c r="F505" s="6"/>
      <c r="G505" s="6"/>
      <c r="H505" s="7"/>
    </row>
    <row r="506" spans="1:8">
      <c r="A506" s="5"/>
      <c r="B506" s="6"/>
      <c r="C506" s="6"/>
      <c r="D506" s="6"/>
      <c r="E506" s="6"/>
      <c r="F506" s="6"/>
      <c r="G506" s="6"/>
      <c r="H506" s="7"/>
    </row>
    <row r="507" spans="1:8">
      <c r="A507" s="5"/>
      <c r="B507" s="6"/>
      <c r="C507" s="6"/>
      <c r="D507" s="6"/>
      <c r="E507" s="6"/>
      <c r="F507" s="6"/>
      <c r="G507" s="6"/>
      <c r="H507" s="7"/>
    </row>
    <row r="508" spans="1:8">
      <c r="A508" s="5"/>
      <c r="B508" s="6"/>
      <c r="C508" s="6"/>
      <c r="D508" s="6"/>
      <c r="E508" s="6"/>
      <c r="F508" s="6"/>
      <c r="G508" s="6"/>
      <c r="H508" s="7"/>
    </row>
    <row r="509" spans="1:8">
      <c r="A509" s="5"/>
      <c r="B509" s="6"/>
      <c r="C509" s="6"/>
      <c r="D509" s="6"/>
      <c r="E509" s="6"/>
      <c r="F509" s="6"/>
      <c r="G509" s="6"/>
      <c r="H509" s="7"/>
    </row>
    <row r="510" spans="1:8">
      <c r="A510" s="5"/>
      <c r="B510" s="6"/>
      <c r="C510" s="6"/>
      <c r="D510" s="6"/>
      <c r="E510" s="6"/>
      <c r="F510" s="6"/>
      <c r="G510" s="6"/>
      <c r="H510" s="7"/>
    </row>
    <row r="511" spans="1:8">
      <c r="A511" s="5"/>
      <c r="B511" s="6"/>
      <c r="C511" s="6"/>
      <c r="D511" s="6"/>
      <c r="E511" s="6"/>
      <c r="F511" s="6"/>
      <c r="G511" s="6"/>
      <c r="H511" s="7"/>
    </row>
    <row r="512" spans="1:8">
      <c r="A512" s="5"/>
      <c r="B512" s="6"/>
      <c r="C512" s="6"/>
      <c r="D512" s="6"/>
      <c r="E512" s="6"/>
      <c r="F512" s="6"/>
      <c r="G512" s="6"/>
      <c r="H512" s="7"/>
    </row>
    <row r="513" spans="1:8">
      <c r="A513" s="5"/>
      <c r="B513" s="6"/>
      <c r="C513" s="6"/>
      <c r="D513" s="6"/>
      <c r="E513" s="6"/>
      <c r="F513" s="6"/>
      <c r="G513" s="6"/>
      <c r="H513" s="7"/>
    </row>
    <row r="514" spans="1:8">
      <c r="A514" s="5"/>
      <c r="B514" s="6"/>
      <c r="C514" s="6"/>
      <c r="D514" s="6"/>
      <c r="E514" s="6"/>
      <c r="F514" s="6"/>
      <c r="G514" s="6"/>
      <c r="H514" s="7"/>
    </row>
    <row r="515" spans="1:8">
      <c r="A515" s="5"/>
      <c r="B515" s="6"/>
      <c r="C515" s="6"/>
      <c r="D515" s="6"/>
      <c r="E515" s="6"/>
      <c r="F515" s="6"/>
      <c r="G515" s="6"/>
      <c r="H515" s="7"/>
    </row>
    <row r="516" spans="1:8">
      <c r="A516" s="5"/>
      <c r="B516" s="6"/>
      <c r="C516" s="6"/>
      <c r="D516" s="6"/>
      <c r="E516" s="6"/>
      <c r="F516" s="6"/>
      <c r="G516" s="6"/>
      <c r="H516" s="7"/>
    </row>
    <row r="517" spans="1:8">
      <c r="A517" s="5"/>
      <c r="B517" s="6"/>
      <c r="C517" s="6"/>
      <c r="D517" s="6"/>
      <c r="E517" s="6"/>
      <c r="F517" s="6"/>
      <c r="G517" s="6"/>
      <c r="H517" s="7"/>
    </row>
    <row r="518" spans="1:8">
      <c r="A518" s="5"/>
      <c r="B518" s="6"/>
      <c r="C518" s="6"/>
      <c r="D518" s="6"/>
      <c r="E518" s="6"/>
      <c r="F518" s="6"/>
      <c r="G518" s="6"/>
      <c r="H518" s="7"/>
    </row>
    <row r="519" spans="1:8">
      <c r="A519" s="5"/>
      <c r="B519" s="6"/>
      <c r="C519" s="6"/>
      <c r="D519" s="6"/>
      <c r="E519" s="6"/>
      <c r="F519" s="6"/>
      <c r="G519" s="6"/>
      <c r="H519" s="7"/>
    </row>
    <row r="520" spans="1:8">
      <c r="A520" s="5"/>
      <c r="B520" s="6"/>
      <c r="C520" s="6"/>
      <c r="D520" s="6"/>
      <c r="E520" s="6"/>
      <c r="F520" s="6"/>
      <c r="G520" s="6"/>
      <c r="H520" s="7"/>
    </row>
    <row r="521" spans="1:8">
      <c r="A521" s="5"/>
      <c r="B521" s="6"/>
      <c r="C521" s="6"/>
      <c r="D521" s="6"/>
      <c r="E521" s="6"/>
      <c r="F521" s="6"/>
      <c r="G521" s="6"/>
      <c r="H521" s="7"/>
    </row>
    <row r="522" spans="1:8">
      <c r="A522" s="5"/>
      <c r="B522" s="6"/>
      <c r="C522" s="6"/>
      <c r="D522" s="6"/>
      <c r="E522" s="6"/>
      <c r="F522" s="6"/>
      <c r="G522" s="6"/>
      <c r="H522" s="7"/>
    </row>
    <row r="523" spans="1:8">
      <c r="A523" s="5"/>
      <c r="B523" s="6"/>
      <c r="C523" s="6"/>
      <c r="D523" s="6"/>
      <c r="E523" s="6"/>
      <c r="F523" s="6"/>
      <c r="G523" s="6"/>
      <c r="H523" s="7"/>
    </row>
    <row r="524" spans="1:8">
      <c r="A524" s="5"/>
      <c r="B524" s="6"/>
      <c r="C524" s="6"/>
      <c r="D524" s="6"/>
      <c r="E524" s="6"/>
      <c r="F524" s="6"/>
      <c r="G524" s="6"/>
      <c r="H524" s="7"/>
    </row>
    <row r="525" spans="1:8">
      <c r="A525" s="5"/>
      <c r="B525" s="6"/>
      <c r="C525" s="6"/>
      <c r="D525" s="6"/>
      <c r="E525" s="6"/>
      <c r="F525" s="6"/>
      <c r="G525" s="6"/>
      <c r="H525" s="7"/>
    </row>
    <row r="526" spans="1:8">
      <c r="A526" s="5"/>
      <c r="B526" s="6"/>
      <c r="C526" s="6"/>
      <c r="D526" s="6"/>
      <c r="E526" s="6"/>
      <c r="F526" s="6"/>
      <c r="G526" s="6"/>
      <c r="H526" s="7"/>
    </row>
    <row r="527" spans="1:8">
      <c r="A527" s="5"/>
      <c r="B527" s="6"/>
      <c r="C527" s="6"/>
      <c r="D527" s="6"/>
      <c r="E527" s="6"/>
      <c r="F527" s="6"/>
      <c r="G527" s="6"/>
      <c r="H527" s="7"/>
    </row>
    <row r="528" spans="1:8">
      <c r="A528" s="5"/>
      <c r="B528" s="6"/>
      <c r="C528" s="6"/>
      <c r="D528" s="6"/>
      <c r="E528" s="6"/>
      <c r="F528" s="6"/>
      <c r="G528" s="6"/>
      <c r="H528" s="7"/>
    </row>
    <row r="529" spans="1:8">
      <c r="A529" s="5"/>
      <c r="B529" s="6"/>
      <c r="C529" s="6"/>
      <c r="D529" s="6"/>
      <c r="E529" s="6"/>
      <c r="F529" s="6"/>
      <c r="G529" s="6"/>
      <c r="H529" s="7"/>
    </row>
    <row r="530" spans="1:8">
      <c r="A530" s="5"/>
      <c r="B530" s="6"/>
      <c r="C530" s="6"/>
      <c r="D530" s="6"/>
      <c r="E530" s="6"/>
      <c r="F530" s="6"/>
      <c r="G530" s="6"/>
      <c r="H530" s="7"/>
    </row>
    <row r="531" spans="1:8">
      <c r="A531" s="5"/>
      <c r="B531" s="6"/>
      <c r="C531" s="6"/>
      <c r="D531" s="6"/>
      <c r="E531" s="6"/>
      <c r="F531" s="6"/>
      <c r="G531" s="6"/>
      <c r="H531" s="7"/>
    </row>
    <row r="532" spans="1:8">
      <c r="A532" s="5"/>
      <c r="B532" s="6"/>
      <c r="C532" s="6"/>
      <c r="D532" s="6"/>
      <c r="E532" s="6"/>
      <c r="F532" s="6"/>
      <c r="G532" s="6"/>
      <c r="H532" s="7"/>
    </row>
    <row r="533" spans="1:8">
      <c r="A533" s="5"/>
      <c r="B533" s="6"/>
      <c r="C533" s="6"/>
      <c r="D533" s="6"/>
      <c r="E533" s="6"/>
      <c r="F533" s="6"/>
      <c r="G533" s="6"/>
      <c r="H533" s="7"/>
    </row>
    <row r="534" spans="1:8">
      <c r="A534" s="5"/>
      <c r="B534" s="6"/>
      <c r="C534" s="6"/>
      <c r="D534" s="6"/>
      <c r="E534" s="6"/>
      <c r="F534" s="6"/>
      <c r="G534" s="6"/>
      <c r="H534" s="7"/>
    </row>
    <row r="535" spans="1:8">
      <c r="A535" s="5"/>
      <c r="B535" s="6"/>
      <c r="C535" s="6"/>
      <c r="D535" s="6"/>
      <c r="E535" s="6"/>
      <c r="F535" s="6"/>
      <c r="G535" s="6"/>
      <c r="H535" s="7"/>
    </row>
    <row r="536" spans="1:8">
      <c r="A536" s="5"/>
      <c r="B536" s="6"/>
      <c r="C536" s="6"/>
      <c r="D536" s="6"/>
      <c r="E536" s="6"/>
      <c r="F536" s="6"/>
      <c r="G536" s="6"/>
      <c r="H536" s="7"/>
    </row>
    <row r="537" spans="1:8">
      <c r="A537" s="5"/>
      <c r="B537" s="6"/>
      <c r="C537" s="6"/>
      <c r="D537" s="6"/>
      <c r="E537" s="6"/>
      <c r="F537" s="6"/>
      <c r="G537" s="6"/>
      <c r="H537" s="7"/>
    </row>
    <row r="538" spans="1:8">
      <c r="A538" s="5"/>
      <c r="B538" s="6"/>
      <c r="C538" s="6"/>
      <c r="D538" s="6"/>
      <c r="E538" s="6"/>
      <c r="F538" s="6"/>
      <c r="G538" s="6"/>
      <c r="H538" s="7"/>
    </row>
    <row r="539" spans="1:8">
      <c r="A539" s="5"/>
      <c r="B539" s="6"/>
      <c r="C539" s="6"/>
      <c r="D539" s="6"/>
      <c r="E539" s="6"/>
      <c r="F539" s="6"/>
      <c r="G539" s="6"/>
      <c r="H539" s="7"/>
    </row>
    <row r="540" spans="1:8">
      <c r="A540" s="5"/>
      <c r="B540" s="6"/>
      <c r="C540" s="6"/>
      <c r="D540" s="6"/>
      <c r="E540" s="6"/>
      <c r="F540" s="6"/>
      <c r="G540" s="6"/>
      <c r="H540" s="7"/>
    </row>
    <row r="541" spans="1:8">
      <c r="A541" s="5"/>
      <c r="B541" s="6"/>
      <c r="C541" s="6"/>
      <c r="D541" s="6"/>
      <c r="E541" s="6"/>
      <c r="F541" s="6"/>
      <c r="G541" s="6"/>
      <c r="H541" s="7"/>
    </row>
    <row r="542" spans="1:8">
      <c r="A542" s="5"/>
      <c r="B542" s="6"/>
      <c r="C542" s="6"/>
      <c r="D542" s="6"/>
      <c r="E542" s="6"/>
      <c r="F542" s="6"/>
      <c r="G542" s="6"/>
      <c r="H542" s="7"/>
    </row>
    <row r="543" spans="1:8">
      <c r="A543" s="5"/>
      <c r="B543" s="6"/>
      <c r="C543" s="6"/>
      <c r="D543" s="6"/>
      <c r="E543" s="6"/>
      <c r="F543" s="6"/>
      <c r="G543" s="6"/>
      <c r="H543" s="7"/>
    </row>
    <row r="544" spans="1:8">
      <c r="A544" s="5"/>
      <c r="B544" s="6"/>
      <c r="C544" s="6"/>
      <c r="D544" s="6"/>
      <c r="E544" s="6"/>
      <c r="F544" s="6"/>
      <c r="G544" s="6"/>
      <c r="H544" s="7"/>
    </row>
    <row r="545" spans="1:8">
      <c r="A545" s="5"/>
      <c r="B545" s="6"/>
      <c r="C545" s="6"/>
      <c r="D545" s="6"/>
      <c r="E545" s="6"/>
      <c r="F545" s="6"/>
      <c r="G545" s="6"/>
      <c r="H545" s="7"/>
    </row>
    <row r="546" spans="1:8">
      <c r="A546" s="5"/>
      <c r="B546" s="6"/>
      <c r="C546" s="6"/>
      <c r="D546" s="6"/>
      <c r="E546" s="6"/>
      <c r="F546" s="6"/>
      <c r="G546" s="6"/>
      <c r="H546" s="7"/>
    </row>
    <row r="547" spans="1:8">
      <c r="A547" s="5"/>
      <c r="B547" s="6"/>
      <c r="C547" s="6"/>
      <c r="D547" s="6"/>
      <c r="E547" s="6"/>
      <c r="F547" s="6"/>
      <c r="G547" s="6"/>
      <c r="H547" s="7"/>
    </row>
    <row r="548" spans="1:8">
      <c r="A548" s="5"/>
      <c r="B548" s="6"/>
      <c r="C548" s="6"/>
      <c r="D548" s="6"/>
      <c r="E548" s="6"/>
      <c r="F548" s="6"/>
      <c r="G548" s="6"/>
      <c r="H548" s="7"/>
    </row>
    <row r="549" spans="1:8">
      <c r="A549" s="5"/>
      <c r="B549" s="6"/>
      <c r="C549" s="6"/>
      <c r="D549" s="6"/>
      <c r="E549" s="6"/>
      <c r="F549" s="6"/>
      <c r="G549" s="6"/>
      <c r="H549" s="7"/>
    </row>
    <row r="550" spans="1:8">
      <c r="A550" s="5"/>
      <c r="B550" s="6"/>
      <c r="C550" s="6"/>
      <c r="D550" s="6"/>
      <c r="E550" s="6"/>
      <c r="F550" s="6"/>
      <c r="G550" s="6"/>
      <c r="H550" s="7"/>
    </row>
    <row r="551" spans="1:8">
      <c r="A551" s="5"/>
      <c r="B551" s="6"/>
      <c r="C551" s="6"/>
      <c r="D551" s="6"/>
      <c r="E551" s="6"/>
      <c r="F551" s="6"/>
      <c r="G551" s="6"/>
      <c r="H551" s="7"/>
    </row>
    <row r="552" spans="1:8">
      <c r="A552" s="5"/>
      <c r="B552" s="6"/>
      <c r="C552" s="6"/>
      <c r="D552" s="6"/>
      <c r="E552" s="6"/>
      <c r="F552" s="6"/>
      <c r="G552" s="6"/>
      <c r="H552" s="7"/>
    </row>
    <row r="553" spans="1:8">
      <c r="A553" s="5"/>
      <c r="B553" s="6"/>
      <c r="C553" s="6"/>
      <c r="D553" s="6"/>
      <c r="E553" s="6"/>
      <c r="F553" s="6"/>
      <c r="G553" s="6"/>
      <c r="H553" s="7"/>
    </row>
    <row r="554" spans="1:8">
      <c r="A554" s="5"/>
      <c r="B554" s="6"/>
      <c r="C554" s="6"/>
      <c r="D554" s="6"/>
      <c r="E554" s="6"/>
      <c r="F554" s="6"/>
      <c r="G554" s="6"/>
      <c r="H554" s="7"/>
    </row>
    <row r="555" spans="1:8">
      <c r="A555" s="5"/>
      <c r="B555" s="6"/>
      <c r="C555" s="6"/>
      <c r="D555" s="6"/>
      <c r="E555" s="6"/>
      <c r="F555" s="6"/>
      <c r="G555" s="6"/>
      <c r="H555" s="7"/>
    </row>
    <row r="556" spans="1:8">
      <c r="A556" s="5"/>
      <c r="B556" s="6"/>
      <c r="C556" s="6"/>
      <c r="D556" s="6"/>
      <c r="E556" s="6"/>
      <c r="F556" s="6"/>
      <c r="G556" s="6"/>
      <c r="H556" s="7"/>
    </row>
    <row r="557" spans="1:8">
      <c r="A557" s="5"/>
      <c r="B557" s="6"/>
      <c r="C557" s="6"/>
      <c r="D557" s="6"/>
      <c r="E557" s="6"/>
      <c r="F557" s="6"/>
      <c r="G557" s="6"/>
      <c r="H557" s="7"/>
    </row>
    <row r="558" spans="1:8">
      <c r="A558" s="5"/>
      <c r="B558" s="6"/>
      <c r="C558" s="6"/>
      <c r="D558" s="6"/>
      <c r="E558" s="6"/>
      <c r="F558" s="6"/>
      <c r="G558" s="6"/>
      <c r="H558" s="7"/>
    </row>
    <row r="559" spans="1:8">
      <c r="A559" s="5"/>
      <c r="B559" s="6"/>
      <c r="C559" s="6"/>
      <c r="D559" s="6"/>
      <c r="E559" s="6"/>
      <c r="F559" s="6"/>
      <c r="G559" s="6"/>
      <c r="H559" s="7"/>
    </row>
    <row r="560" spans="1:8">
      <c r="A560" s="5"/>
      <c r="B560" s="6"/>
      <c r="C560" s="6"/>
      <c r="D560" s="6"/>
      <c r="E560" s="6"/>
      <c r="F560" s="6"/>
      <c r="G560" s="6"/>
      <c r="H560" s="7"/>
    </row>
    <row r="561" spans="1:8">
      <c r="A561" s="5"/>
      <c r="B561" s="6"/>
      <c r="C561" s="6"/>
      <c r="D561" s="6"/>
      <c r="E561" s="6"/>
      <c r="F561" s="6"/>
      <c r="G561" s="6"/>
      <c r="H561" s="7"/>
    </row>
    <row r="562" spans="1:8">
      <c r="A562" s="5"/>
      <c r="B562" s="6"/>
      <c r="C562" s="6"/>
      <c r="D562" s="6"/>
      <c r="E562" s="6"/>
      <c r="F562" s="6"/>
      <c r="G562" s="6"/>
      <c r="H562" s="7"/>
    </row>
    <row r="563" spans="1:8">
      <c r="A563" s="5"/>
      <c r="B563" s="6"/>
      <c r="C563" s="6"/>
      <c r="D563" s="6"/>
      <c r="E563" s="6"/>
      <c r="F563" s="6"/>
      <c r="G563" s="6"/>
      <c r="H563" s="7"/>
    </row>
    <row r="564" spans="1:8">
      <c r="A564" s="5"/>
      <c r="B564" s="6"/>
      <c r="C564" s="6"/>
      <c r="D564" s="6"/>
      <c r="E564" s="6"/>
      <c r="F564" s="6"/>
      <c r="G564" s="6"/>
      <c r="H564" s="7"/>
    </row>
    <row r="565" spans="1:8">
      <c r="A565" s="5"/>
      <c r="B565" s="6"/>
      <c r="C565" s="6"/>
      <c r="D565" s="6"/>
      <c r="E565" s="6"/>
      <c r="F565" s="6"/>
      <c r="G565" s="6"/>
      <c r="H565" s="7"/>
    </row>
    <row r="566" spans="1:8">
      <c r="A566" s="5"/>
      <c r="B566" s="6"/>
      <c r="C566" s="6"/>
      <c r="D566" s="6"/>
      <c r="E566" s="6"/>
      <c r="F566" s="6"/>
      <c r="G566" s="6"/>
      <c r="H566" s="7"/>
    </row>
    <row r="567" spans="1:8">
      <c r="A567" s="5"/>
      <c r="B567" s="6"/>
      <c r="C567" s="6"/>
      <c r="D567" s="6"/>
      <c r="E567" s="6"/>
      <c r="F567" s="6"/>
      <c r="G567" s="6"/>
      <c r="H567" s="7"/>
    </row>
    <row r="568" spans="1:8">
      <c r="A568" s="5"/>
      <c r="B568" s="6"/>
      <c r="C568" s="6"/>
      <c r="D568" s="6"/>
      <c r="E568" s="6"/>
      <c r="F568" s="6"/>
      <c r="G568" s="6"/>
      <c r="H568" s="7"/>
    </row>
    <row r="569" spans="1:8">
      <c r="A569" s="5"/>
      <c r="B569" s="6"/>
      <c r="C569" s="6"/>
      <c r="D569" s="6"/>
      <c r="E569" s="6"/>
      <c r="F569" s="6"/>
      <c r="G569" s="6"/>
      <c r="H569" s="7"/>
    </row>
    <row r="570" spans="1:8">
      <c r="A570" s="5"/>
      <c r="B570" s="6"/>
      <c r="C570" s="6"/>
      <c r="D570" s="6"/>
      <c r="E570" s="6"/>
      <c r="F570" s="6"/>
      <c r="G570" s="6"/>
      <c r="H570" s="7"/>
    </row>
    <row r="571" spans="1:8">
      <c r="A571" s="5"/>
      <c r="B571" s="6"/>
      <c r="C571" s="6"/>
      <c r="D571" s="6"/>
      <c r="E571" s="6"/>
      <c r="F571" s="6"/>
      <c r="G571" s="6"/>
      <c r="H571" s="7"/>
    </row>
    <row r="572" spans="1:8">
      <c r="A572" s="5"/>
      <c r="B572" s="6"/>
      <c r="C572" s="6"/>
      <c r="D572" s="6"/>
      <c r="E572" s="6"/>
      <c r="F572" s="6"/>
      <c r="G572" s="6"/>
      <c r="H572" s="7"/>
    </row>
    <row r="573" spans="1:8">
      <c r="A573" s="5"/>
      <c r="B573" s="6"/>
      <c r="C573" s="6"/>
      <c r="D573" s="6"/>
      <c r="E573" s="6"/>
      <c r="F573" s="6"/>
      <c r="G573" s="6"/>
      <c r="H573" s="7"/>
    </row>
    <row r="574" spans="1:8">
      <c r="A574" s="5"/>
      <c r="B574" s="6"/>
      <c r="C574" s="6"/>
      <c r="D574" s="6"/>
      <c r="E574" s="6"/>
      <c r="F574" s="6"/>
      <c r="G574" s="6"/>
      <c r="H574" s="7"/>
    </row>
    <row r="575" spans="1:8">
      <c r="A575" s="5"/>
      <c r="B575" s="6"/>
      <c r="C575" s="6"/>
      <c r="D575" s="6"/>
      <c r="E575" s="6"/>
      <c r="F575" s="6"/>
      <c r="G575" s="6"/>
      <c r="H575" s="7"/>
    </row>
    <row r="576" spans="1:8">
      <c r="A576" s="5"/>
      <c r="B576" s="6"/>
      <c r="C576" s="6"/>
      <c r="D576" s="6"/>
      <c r="E576" s="6"/>
      <c r="F576" s="6"/>
      <c r="G576" s="6"/>
      <c r="H576" s="7"/>
    </row>
    <row r="577" spans="1:8">
      <c r="A577" s="5"/>
      <c r="B577" s="6"/>
      <c r="C577" s="6"/>
      <c r="D577" s="6"/>
      <c r="E577" s="6"/>
      <c r="F577" s="6"/>
      <c r="G577" s="6"/>
      <c r="H577" s="7"/>
    </row>
    <row r="578" spans="1:8">
      <c r="A578" s="5"/>
      <c r="B578" s="6"/>
      <c r="C578" s="6"/>
      <c r="D578" s="6"/>
      <c r="E578" s="6"/>
      <c r="F578" s="6"/>
      <c r="G578" s="6"/>
      <c r="H578" s="7"/>
    </row>
    <row r="579" spans="1:8">
      <c r="A579" s="5"/>
      <c r="B579" s="6"/>
      <c r="C579" s="6"/>
      <c r="D579" s="6"/>
      <c r="E579" s="6"/>
      <c r="F579" s="6"/>
      <c r="G579" s="6"/>
      <c r="H579" s="7"/>
    </row>
    <row r="580" spans="1:8">
      <c r="A580" s="5"/>
      <c r="B580" s="6"/>
      <c r="C580" s="6"/>
      <c r="D580" s="6"/>
      <c r="E580" s="6"/>
      <c r="F580" s="6"/>
      <c r="G580" s="6"/>
      <c r="H580" s="7"/>
    </row>
    <row r="581" spans="1:8">
      <c r="A581" s="5"/>
      <c r="B581" s="6"/>
      <c r="C581" s="6"/>
      <c r="D581" s="6"/>
      <c r="E581" s="6"/>
      <c r="F581" s="6"/>
      <c r="G581" s="6"/>
      <c r="H581" s="7"/>
    </row>
    <row r="582" spans="1:8">
      <c r="A582" s="5"/>
      <c r="B582" s="6"/>
      <c r="C582" s="6"/>
      <c r="D582" s="6"/>
      <c r="E582" s="6"/>
      <c r="F582" s="6"/>
      <c r="G582" s="6"/>
      <c r="H582" s="7"/>
    </row>
    <row r="583" spans="1:8">
      <c r="A583" s="5"/>
      <c r="B583" s="6"/>
      <c r="C583" s="6"/>
      <c r="D583" s="6"/>
      <c r="E583" s="6"/>
      <c r="F583" s="6"/>
      <c r="G583" s="6"/>
      <c r="H583" s="7"/>
    </row>
    <row r="584" spans="1:8">
      <c r="A584" s="5"/>
      <c r="B584" s="6"/>
      <c r="C584" s="6"/>
      <c r="D584" s="6"/>
      <c r="E584" s="6"/>
      <c r="F584" s="6"/>
      <c r="G584" s="6"/>
      <c r="H584" s="7"/>
    </row>
    <row r="585" spans="1:8">
      <c r="A585" s="5"/>
      <c r="B585" s="6"/>
      <c r="C585" s="6"/>
      <c r="D585" s="6"/>
      <c r="E585" s="6"/>
      <c r="F585" s="6"/>
      <c r="G585" s="6"/>
      <c r="H585" s="7"/>
    </row>
    <row r="586" spans="1:8">
      <c r="A586" s="5"/>
      <c r="B586" s="6"/>
      <c r="C586" s="6"/>
      <c r="D586" s="6"/>
      <c r="E586" s="6"/>
      <c r="F586" s="6"/>
      <c r="G586" s="6"/>
      <c r="H586" s="7"/>
    </row>
    <row r="587" spans="1:8">
      <c r="A587" s="5"/>
      <c r="B587" s="6"/>
      <c r="C587" s="6"/>
      <c r="D587" s="6"/>
      <c r="E587" s="6"/>
      <c r="F587" s="6"/>
      <c r="G587" s="6"/>
      <c r="H587" s="7"/>
    </row>
    <row r="588" spans="1:8">
      <c r="A588" s="5"/>
      <c r="B588" s="6"/>
      <c r="C588" s="6"/>
      <c r="D588" s="6"/>
      <c r="E588" s="6"/>
      <c r="F588" s="6"/>
      <c r="G588" s="6"/>
      <c r="H588" s="7"/>
    </row>
    <row r="589" spans="1:8">
      <c r="A589" s="5"/>
      <c r="B589" s="6"/>
      <c r="C589" s="6"/>
      <c r="D589" s="6"/>
      <c r="E589" s="6"/>
      <c r="F589" s="6"/>
      <c r="G589" s="6"/>
      <c r="H589" s="7"/>
    </row>
    <row r="590" spans="1:8">
      <c r="A590" s="5"/>
      <c r="B590" s="6"/>
      <c r="C590" s="6"/>
      <c r="D590" s="6"/>
      <c r="E590" s="6"/>
      <c r="F590" s="6"/>
      <c r="G590" s="6"/>
      <c r="H590" s="7"/>
    </row>
    <row r="591" spans="1:8">
      <c r="A591" s="5"/>
      <c r="B591" s="6"/>
      <c r="C591" s="6"/>
      <c r="D591" s="6"/>
      <c r="E591" s="6"/>
      <c r="F591" s="6"/>
      <c r="G591" s="6"/>
      <c r="H591" s="7"/>
    </row>
    <row r="592" spans="1:8">
      <c r="A592" s="5"/>
      <c r="B592" s="6"/>
      <c r="C592" s="6"/>
      <c r="D592" s="6"/>
      <c r="E592" s="6"/>
      <c r="F592" s="6"/>
      <c r="G592" s="6"/>
      <c r="H592" s="7"/>
    </row>
    <row r="593" spans="1:8">
      <c r="A593" s="5"/>
      <c r="B593" s="6"/>
      <c r="C593" s="6"/>
      <c r="D593" s="6"/>
      <c r="E593" s="6"/>
      <c r="F593" s="6"/>
      <c r="G593" s="6"/>
      <c r="H593" s="7"/>
    </row>
    <row r="594" spans="1:8">
      <c r="A594" s="5"/>
      <c r="B594" s="6"/>
      <c r="C594" s="6"/>
      <c r="D594" s="6"/>
      <c r="E594" s="6"/>
      <c r="F594" s="6"/>
      <c r="G594" s="6"/>
      <c r="H594" s="7"/>
    </row>
    <row r="595" spans="1:8">
      <c r="A595" s="5"/>
      <c r="B595" s="6"/>
      <c r="C595" s="6"/>
      <c r="D595" s="6"/>
      <c r="E595" s="6"/>
      <c r="F595" s="6"/>
      <c r="G595" s="6"/>
      <c r="H595" s="7"/>
    </row>
    <row r="596" spans="1:8">
      <c r="A596" s="5"/>
      <c r="B596" s="6"/>
      <c r="C596" s="6"/>
      <c r="D596" s="6"/>
      <c r="E596" s="6"/>
      <c r="F596" s="6"/>
      <c r="G596" s="6"/>
      <c r="H596" s="7"/>
    </row>
    <row r="597" spans="1:8">
      <c r="A597" s="5"/>
      <c r="B597" s="6"/>
      <c r="C597" s="6"/>
      <c r="D597" s="6"/>
      <c r="E597" s="6"/>
      <c r="F597" s="6"/>
      <c r="G597" s="6"/>
      <c r="H597" s="7"/>
    </row>
    <row r="598" spans="1:8">
      <c r="A598" s="5"/>
      <c r="B598" s="6"/>
      <c r="C598" s="6"/>
      <c r="D598" s="6"/>
      <c r="E598" s="6"/>
      <c r="F598" s="6"/>
      <c r="G598" s="6"/>
      <c r="H598" s="7"/>
    </row>
    <row r="599" spans="1:8">
      <c r="A599" s="5"/>
      <c r="B599" s="6"/>
      <c r="C599" s="6"/>
      <c r="D599" s="6"/>
      <c r="E599" s="6"/>
      <c r="F599" s="6"/>
      <c r="G599" s="6"/>
      <c r="H599" s="7"/>
    </row>
    <row r="600" spans="1:8">
      <c r="A600" s="5"/>
      <c r="B600" s="6"/>
      <c r="C600" s="6"/>
      <c r="D600" s="6"/>
      <c r="E600" s="6"/>
      <c r="F600" s="6"/>
      <c r="G600" s="6"/>
      <c r="H600" s="7"/>
    </row>
    <row r="601" spans="1:8">
      <c r="A601" s="5"/>
      <c r="B601" s="6"/>
      <c r="C601" s="6"/>
      <c r="D601" s="6"/>
      <c r="E601" s="6"/>
      <c r="F601" s="6"/>
      <c r="G601" s="6"/>
      <c r="H601" s="7"/>
    </row>
    <row r="602" spans="1:8">
      <c r="A602" s="5"/>
      <c r="B602" s="6"/>
      <c r="C602" s="6"/>
      <c r="D602" s="6"/>
      <c r="E602" s="6"/>
      <c r="F602" s="6"/>
      <c r="G602" s="6"/>
      <c r="H602" s="7"/>
    </row>
    <row r="603" spans="1:8">
      <c r="A603" s="5"/>
      <c r="B603" s="6"/>
      <c r="C603" s="6"/>
      <c r="D603" s="6"/>
      <c r="E603" s="6"/>
      <c r="F603" s="6"/>
      <c r="G603" s="6"/>
      <c r="H603" s="7"/>
    </row>
    <row r="604" spans="1:8">
      <c r="A604" s="5"/>
      <c r="B604" s="6"/>
      <c r="C604" s="6"/>
      <c r="D604" s="6"/>
      <c r="E604" s="6"/>
      <c r="F604" s="6"/>
      <c r="G604" s="6"/>
      <c r="H604" s="7"/>
    </row>
    <row r="605" spans="1:8">
      <c r="A605" s="5"/>
      <c r="B605" s="6"/>
      <c r="C605" s="6"/>
      <c r="D605" s="6"/>
      <c r="E605" s="6"/>
      <c r="F605" s="6"/>
      <c r="G605" s="6"/>
      <c r="H605" s="7"/>
    </row>
    <row r="606" spans="1:8">
      <c r="A606" s="5"/>
      <c r="B606" s="6"/>
      <c r="C606" s="6"/>
      <c r="D606" s="6"/>
      <c r="E606" s="6"/>
      <c r="F606" s="6"/>
      <c r="G606" s="6"/>
      <c r="H606" s="7"/>
    </row>
    <row r="607" spans="1:8">
      <c r="A607" s="5"/>
      <c r="B607" s="6"/>
      <c r="C607" s="6"/>
      <c r="D607" s="6"/>
      <c r="E607" s="6"/>
      <c r="F607" s="6"/>
      <c r="G607" s="6"/>
      <c r="H607" s="7"/>
    </row>
    <row r="608" spans="1:8">
      <c r="A608" s="5"/>
      <c r="B608" s="6"/>
      <c r="C608" s="6"/>
      <c r="D608" s="6"/>
      <c r="E608" s="6"/>
      <c r="F608" s="6"/>
      <c r="G608" s="6"/>
      <c r="H608" s="7"/>
    </row>
    <row r="609" spans="1:8">
      <c r="A609" s="5"/>
      <c r="B609" s="6"/>
      <c r="C609" s="6"/>
      <c r="D609" s="6"/>
      <c r="E609" s="6"/>
      <c r="F609" s="6"/>
      <c r="G609" s="6"/>
      <c r="H609" s="7"/>
    </row>
    <row r="610" spans="1:8">
      <c r="A610" s="5"/>
      <c r="B610" s="6"/>
      <c r="C610" s="6"/>
      <c r="D610" s="6"/>
      <c r="E610" s="6"/>
      <c r="F610" s="6"/>
      <c r="G610" s="6"/>
      <c r="H610" s="7"/>
    </row>
    <row r="611" spans="1:8">
      <c r="A611" s="5"/>
      <c r="B611" s="6"/>
      <c r="C611" s="6"/>
      <c r="D611" s="6"/>
      <c r="E611" s="6"/>
      <c r="F611" s="6"/>
      <c r="G611" s="6"/>
      <c r="H611" s="7"/>
    </row>
    <row r="612" spans="1:8">
      <c r="A612" s="5"/>
      <c r="B612" s="6"/>
      <c r="C612" s="6"/>
      <c r="D612" s="6"/>
      <c r="E612" s="6"/>
      <c r="F612" s="6"/>
      <c r="G612" s="6"/>
      <c r="H612" s="7"/>
    </row>
    <row r="613" spans="1:8">
      <c r="A613" s="5"/>
      <c r="B613" s="6"/>
      <c r="C613" s="6"/>
      <c r="D613" s="6"/>
      <c r="E613" s="6"/>
      <c r="F613" s="6"/>
      <c r="G613" s="6"/>
      <c r="H613" s="7"/>
    </row>
    <row r="614" spans="1:8">
      <c r="A614" s="5"/>
      <c r="B614" s="6"/>
      <c r="C614" s="6"/>
      <c r="D614" s="6"/>
      <c r="E614" s="6"/>
      <c r="F614" s="6"/>
      <c r="G614" s="6"/>
      <c r="H614" s="7"/>
    </row>
    <row r="615" spans="1:8">
      <c r="A615" s="5"/>
      <c r="B615" s="6"/>
      <c r="C615" s="6"/>
      <c r="D615" s="6"/>
      <c r="E615" s="6"/>
      <c r="F615" s="6"/>
      <c r="G615" s="6"/>
      <c r="H615" s="7"/>
    </row>
    <row r="616" spans="1:8">
      <c r="A616" s="5"/>
      <c r="B616" s="6"/>
      <c r="C616" s="6"/>
      <c r="D616" s="6"/>
      <c r="E616" s="6"/>
      <c r="F616" s="6"/>
      <c r="G616" s="6"/>
      <c r="H616" s="7"/>
    </row>
    <row r="617" spans="1:8">
      <c r="A617" s="5"/>
      <c r="B617" s="6"/>
      <c r="C617" s="6"/>
      <c r="D617" s="6"/>
      <c r="E617" s="6"/>
      <c r="F617" s="6"/>
      <c r="G617" s="6"/>
      <c r="H617" s="7"/>
    </row>
    <row r="618" spans="1:8">
      <c r="A618" s="5"/>
      <c r="B618" s="6"/>
      <c r="C618" s="6"/>
      <c r="D618" s="6"/>
      <c r="E618" s="6"/>
      <c r="F618" s="6"/>
      <c r="G618" s="6"/>
      <c r="H618" s="7"/>
    </row>
    <row r="619" spans="1:8">
      <c r="A619" s="5"/>
      <c r="B619" s="6"/>
      <c r="C619" s="6"/>
      <c r="D619" s="6"/>
      <c r="E619" s="6"/>
      <c r="F619" s="6"/>
      <c r="G619" s="6"/>
      <c r="H619" s="7"/>
    </row>
    <row r="620" spans="1:8">
      <c r="A620" s="5"/>
      <c r="B620" s="6"/>
      <c r="C620" s="6"/>
      <c r="D620" s="6"/>
      <c r="E620" s="6"/>
      <c r="F620" s="6"/>
      <c r="G620" s="6"/>
      <c r="H620" s="7"/>
    </row>
    <row r="621" spans="1:8">
      <c r="A621" s="5"/>
      <c r="B621" s="6"/>
      <c r="C621" s="6"/>
      <c r="D621" s="6"/>
      <c r="E621" s="6"/>
      <c r="F621" s="6"/>
      <c r="G621" s="6"/>
      <c r="H621" s="7"/>
    </row>
    <row r="622" spans="1:8">
      <c r="A622" s="5"/>
      <c r="B622" s="6"/>
      <c r="C622" s="6"/>
      <c r="D622" s="6"/>
      <c r="E622" s="6"/>
      <c r="F622" s="6"/>
      <c r="G622" s="6"/>
      <c r="H622" s="7"/>
    </row>
    <row r="623" spans="1:8">
      <c r="A623" s="5"/>
      <c r="B623" s="6"/>
      <c r="C623" s="6"/>
      <c r="D623" s="6"/>
      <c r="E623" s="6"/>
      <c r="F623" s="6"/>
      <c r="G623" s="6"/>
      <c r="H623" s="7"/>
    </row>
    <row r="624" spans="1:8">
      <c r="A624" s="5"/>
      <c r="B624" s="6"/>
      <c r="C624" s="6"/>
      <c r="D624" s="6"/>
      <c r="E624" s="6"/>
      <c r="F624" s="6"/>
      <c r="G624" s="6"/>
      <c r="H624" s="7"/>
    </row>
    <row r="625" spans="1:8">
      <c r="A625" s="5"/>
      <c r="B625" s="6"/>
      <c r="C625" s="6"/>
      <c r="D625" s="6"/>
      <c r="E625" s="6"/>
      <c r="F625" s="6"/>
      <c r="G625" s="6"/>
      <c r="H625" s="7"/>
    </row>
    <row r="626" spans="1:8">
      <c r="A626" s="5"/>
      <c r="B626" s="6"/>
      <c r="C626" s="6"/>
      <c r="D626" s="6"/>
      <c r="E626" s="6"/>
      <c r="F626" s="6"/>
      <c r="G626" s="6"/>
      <c r="H626" s="7"/>
    </row>
    <row r="627" spans="1:8">
      <c r="A627" s="5"/>
      <c r="B627" s="6"/>
      <c r="C627" s="6"/>
      <c r="D627" s="6"/>
      <c r="E627" s="6"/>
      <c r="F627" s="6"/>
      <c r="G627" s="6"/>
      <c r="H627" s="7"/>
    </row>
    <row r="628" spans="1:8">
      <c r="A628" s="5"/>
      <c r="B628" s="6"/>
      <c r="C628" s="6"/>
      <c r="D628" s="6"/>
      <c r="E628" s="6"/>
      <c r="F628" s="6"/>
      <c r="G628" s="6"/>
      <c r="H628" s="7"/>
    </row>
    <row r="629" spans="1:8">
      <c r="A629" s="5"/>
      <c r="B629" s="6"/>
      <c r="C629" s="6"/>
      <c r="D629" s="6"/>
      <c r="E629" s="6"/>
      <c r="F629" s="6"/>
      <c r="G629" s="6"/>
      <c r="H629" s="7"/>
    </row>
    <row r="630" spans="1:8">
      <c r="A630" s="5"/>
      <c r="B630" s="6"/>
      <c r="C630" s="6"/>
      <c r="D630" s="6"/>
      <c r="E630" s="6"/>
      <c r="F630" s="6"/>
      <c r="G630" s="6"/>
      <c r="H630" s="7"/>
    </row>
    <row r="631" spans="1:8">
      <c r="A631" s="5"/>
      <c r="B631" s="6"/>
      <c r="C631" s="6"/>
      <c r="D631" s="6"/>
      <c r="E631" s="6"/>
      <c r="F631" s="6"/>
      <c r="G631" s="6"/>
      <c r="H631" s="7"/>
    </row>
    <row r="632" spans="1:8">
      <c r="A632" s="5"/>
      <c r="B632" s="6"/>
      <c r="C632" s="6"/>
      <c r="D632" s="6"/>
      <c r="E632" s="6"/>
      <c r="F632" s="6"/>
      <c r="G632" s="6"/>
      <c r="H632" s="7"/>
    </row>
    <row r="633" spans="1:8">
      <c r="A633" s="5"/>
      <c r="B633" s="6"/>
      <c r="C633" s="6"/>
      <c r="D633" s="6"/>
      <c r="E633" s="6"/>
      <c r="F633" s="6"/>
      <c r="G633" s="6"/>
      <c r="H633" s="7"/>
    </row>
    <row r="634" spans="1:8">
      <c r="A634" s="5"/>
      <c r="B634" s="6"/>
      <c r="C634" s="6"/>
      <c r="D634" s="6"/>
      <c r="E634" s="6"/>
      <c r="F634" s="6"/>
      <c r="G634" s="6"/>
      <c r="H634" s="7"/>
    </row>
    <row r="635" spans="1:8">
      <c r="A635" s="5"/>
      <c r="B635" s="6"/>
      <c r="C635" s="6"/>
      <c r="D635" s="6"/>
      <c r="E635" s="6"/>
      <c r="F635" s="6"/>
      <c r="G635" s="6"/>
      <c r="H635" s="7"/>
    </row>
    <row r="636" spans="1:8">
      <c r="A636" s="5"/>
      <c r="B636" s="6"/>
      <c r="C636" s="6"/>
      <c r="D636" s="6"/>
      <c r="E636" s="6"/>
      <c r="F636" s="6"/>
      <c r="G636" s="6"/>
      <c r="H636" s="7"/>
    </row>
    <row r="637" spans="1:8">
      <c r="A637" s="5"/>
      <c r="B637" s="6"/>
      <c r="C637" s="6"/>
      <c r="D637" s="6"/>
      <c r="E637" s="6"/>
      <c r="F637" s="6"/>
      <c r="G637" s="6"/>
      <c r="H637" s="7"/>
    </row>
    <row r="638" spans="1:8">
      <c r="A638" s="5"/>
      <c r="B638" s="6"/>
      <c r="C638" s="6"/>
      <c r="D638" s="6"/>
      <c r="E638" s="6"/>
      <c r="F638" s="6"/>
      <c r="G638" s="6"/>
      <c r="H638" s="7"/>
    </row>
    <row r="639" spans="1:8">
      <c r="A639" s="5"/>
      <c r="B639" s="6"/>
      <c r="C639" s="6"/>
      <c r="D639" s="6"/>
      <c r="E639" s="6"/>
      <c r="F639" s="6"/>
      <c r="G639" s="6"/>
      <c r="H639" s="7"/>
    </row>
    <row r="640" spans="1:8">
      <c r="A640" s="5"/>
      <c r="B640" s="6"/>
      <c r="C640" s="6"/>
      <c r="D640" s="6"/>
      <c r="E640" s="6"/>
      <c r="F640" s="6"/>
      <c r="G640" s="6"/>
      <c r="H640" s="7"/>
    </row>
    <row r="641" spans="1:8">
      <c r="A641" s="5"/>
      <c r="B641" s="6"/>
      <c r="C641" s="6"/>
      <c r="D641" s="6"/>
      <c r="E641" s="6"/>
      <c r="F641" s="6"/>
      <c r="G641" s="6"/>
      <c r="H641" s="7"/>
    </row>
    <row r="642" spans="1:8">
      <c r="A642" s="5"/>
      <c r="B642" s="6"/>
      <c r="C642" s="6"/>
      <c r="D642" s="6"/>
      <c r="E642" s="6"/>
      <c r="F642" s="6"/>
      <c r="G642" s="6"/>
      <c r="H642" s="7"/>
    </row>
    <row r="643" spans="1:8">
      <c r="A643" s="5"/>
      <c r="B643" s="6"/>
      <c r="C643" s="6"/>
      <c r="D643" s="6"/>
      <c r="E643" s="6"/>
      <c r="F643" s="6"/>
      <c r="G643" s="6"/>
      <c r="H643" s="7"/>
    </row>
    <row r="644" spans="1:8">
      <c r="A644" s="5"/>
      <c r="B644" s="6"/>
      <c r="C644" s="6"/>
      <c r="D644" s="6"/>
      <c r="E644" s="6"/>
      <c r="F644" s="6"/>
      <c r="G644" s="6"/>
      <c r="H644" s="7"/>
    </row>
    <row r="645" spans="1:8">
      <c r="A645" s="5"/>
      <c r="B645" s="6"/>
      <c r="C645" s="6"/>
      <c r="D645" s="6"/>
      <c r="E645" s="6"/>
      <c r="F645" s="6"/>
      <c r="G645" s="6"/>
      <c r="H645" s="7"/>
    </row>
    <row r="646" spans="1:8">
      <c r="A646" s="5"/>
      <c r="B646" s="6"/>
      <c r="C646" s="6"/>
      <c r="D646" s="6"/>
      <c r="E646" s="6"/>
      <c r="F646" s="6"/>
      <c r="G646" s="6"/>
      <c r="H646" s="7"/>
    </row>
    <row r="647" spans="1:8">
      <c r="A647" s="5"/>
      <c r="B647" s="6"/>
      <c r="C647" s="6"/>
      <c r="D647" s="6"/>
      <c r="E647" s="6"/>
      <c r="F647" s="6"/>
      <c r="G647" s="6"/>
      <c r="H647" s="7"/>
    </row>
    <row r="648" spans="1:8">
      <c r="A648" s="5"/>
      <c r="B648" s="6"/>
      <c r="C648" s="6"/>
      <c r="D648" s="6"/>
      <c r="E648" s="6"/>
      <c r="F648" s="6"/>
      <c r="G648" s="6"/>
      <c r="H648" s="7"/>
    </row>
    <row r="649" spans="1:8">
      <c r="A649" s="5"/>
      <c r="B649" s="6"/>
      <c r="C649" s="6"/>
      <c r="D649" s="6"/>
      <c r="E649" s="6"/>
      <c r="F649" s="6"/>
      <c r="G649" s="6"/>
      <c r="H649" s="7"/>
    </row>
    <row r="650" spans="1:8">
      <c r="A650" s="5"/>
      <c r="B650" s="6"/>
      <c r="C650" s="6"/>
      <c r="D650" s="6"/>
      <c r="E650" s="6"/>
      <c r="F650" s="6"/>
      <c r="G650" s="6"/>
      <c r="H650" s="7"/>
    </row>
    <row r="651" spans="1:8">
      <c r="A651" s="5"/>
      <c r="B651" s="6"/>
      <c r="C651" s="6"/>
      <c r="D651" s="6"/>
      <c r="E651" s="6"/>
      <c r="F651" s="6"/>
      <c r="G651" s="6"/>
      <c r="H651" s="7"/>
    </row>
    <row r="652" spans="1:8">
      <c r="A652" s="5"/>
      <c r="B652" s="6"/>
      <c r="C652" s="6"/>
      <c r="D652" s="6"/>
      <c r="E652" s="6"/>
      <c r="F652" s="6"/>
      <c r="G652" s="6"/>
      <c r="H652" s="7"/>
    </row>
    <row r="653" spans="1:8">
      <c r="A653" s="5"/>
      <c r="B653" s="6"/>
      <c r="C653" s="6"/>
      <c r="D653" s="6"/>
      <c r="E653" s="6"/>
      <c r="F653" s="6"/>
      <c r="G653" s="6"/>
      <c r="H653" s="7"/>
    </row>
    <row r="654" spans="1:8">
      <c r="A654" s="5"/>
      <c r="B654" s="6"/>
      <c r="C654" s="6"/>
      <c r="D654" s="6"/>
      <c r="E654" s="6"/>
      <c r="F654" s="6"/>
      <c r="G654" s="6"/>
      <c r="H654" s="7"/>
    </row>
    <row r="655" spans="1:8">
      <c r="A655" s="5"/>
      <c r="B655" s="6"/>
      <c r="C655" s="6"/>
      <c r="D655" s="6"/>
      <c r="E655" s="6"/>
      <c r="F655" s="6"/>
      <c r="G655" s="6"/>
      <c r="H655" s="7"/>
    </row>
    <row r="656" spans="1:8">
      <c r="A656" s="5"/>
      <c r="B656" s="6"/>
      <c r="C656" s="6"/>
      <c r="D656" s="6"/>
      <c r="E656" s="6"/>
      <c r="F656" s="6"/>
      <c r="G656" s="6"/>
      <c r="H656" s="7"/>
    </row>
    <row r="657" spans="1:8">
      <c r="A657" s="5"/>
      <c r="B657" s="6"/>
      <c r="C657" s="6"/>
      <c r="D657" s="6"/>
      <c r="E657" s="6"/>
      <c r="F657" s="6"/>
      <c r="G657" s="6"/>
      <c r="H657" s="7"/>
    </row>
    <row r="658" spans="1:8">
      <c r="A658" s="5"/>
      <c r="B658" s="6"/>
      <c r="C658" s="6"/>
      <c r="D658" s="6"/>
      <c r="E658" s="6"/>
      <c r="F658" s="6"/>
      <c r="G658" s="6"/>
      <c r="H658" s="7"/>
    </row>
    <row r="659" spans="1:8">
      <c r="A659" s="5"/>
      <c r="B659" s="6"/>
      <c r="C659" s="6"/>
      <c r="D659" s="6"/>
      <c r="E659" s="6"/>
      <c r="F659" s="6"/>
      <c r="G659" s="6"/>
      <c r="H659" s="7"/>
    </row>
    <row r="660" spans="1:8">
      <c r="A660" s="5"/>
      <c r="B660" s="6"/>
      <c r="C660" s="6"/>
      <c r="D660" s="6"/>
      <c r="E660" s="6"/>
      <c r="F660" s="6"/>
      <c r="G660" s="6"/>
      <c r="H660" s="7"/>
    </row>
    <row r="661" spans="1:8">
      <c r="A661" s="5"/>
      <c r="B661" s="6"/>
      <c r="C661" s="6"/>
      <c r="D661" s="6"/>
      <c r="E661" s="6"/>
      <c r="F661" s="6"/>
      <c r="G661" s="6"/>
      <c r="H661" s="7"/>
    </row>
    <row r="662" spans="1:8">
      <c r="A662" s="5"/>
      <c r="B662" s="6"/>
      <c r="C662" s="6"/>
      <c r="D662" s="6"/>
      <c r="E662" s="6"/>
      <c r="F662" s="6"/>
      <c r="G662" s="6"/>
      <c r="H662" s="7"/>
    </row>
    <row r="663" spans="1:8">
      <c r="A663" s="5"/>
      <c r="B663" s="6"/>
      <c r="C663" s="6"/>
      <c r="D663" s="6"/>
      <c r="E663" s="6"/>
      <c r="F663" s="6"/>
      <c r="G663" s="6"/>
      <c r="H663" s="7"/>
    </row>
    <row r="664" spans="1:8">
      <c r="A664" s="5"/>
      <c r="B664" s="6"/>
      <c r="C664" s="6"/>
      <c r="D664" s="6"/>
      <c r="E664" s="6"/>
      <c r="F664" s="6"/>
      <c r="G664" s="6"/>
      <c r="H664" s="7"/>
    </row>
    <row r="665" spans="1:8">
      <c r="A665" s="5"/>
      <c r="B665" s="6"/>
      <c r="C665" s="6"/>
      <c r="D665" s="6"/>
      <c r="E665" s="6"/>
      <c r="F665" s="6"/>
      <c r="G665" s="6"/>
      <c r="H665" s="7"/>
    </row>
    <row r="666" spans="1:8">
      <c r="A666" s="5"/>
      <c r="B666" s="6"/>
      <c r="C666" s="6"/>
      <c r="D666" s="6"/>
      <c r="E666" s="6"/>
      <c r="F666" s="6"/>
      <c r="G666" s="6"/>
      <c r="H666" s="7"/>
    </row>
    <row r="667" spans="1:8">
      <c r="A667" s="5"/>
      <c r="B667" s="6"/>
      <c r="C667" s="6"/>
      <c r="D667" s="6"/>
      <c r="E667" s="6"/>
      <c r="F667" s="6"/>
      <c r="G667" s="6"/>
      <c r="H667" s="7"/>
    </row>
    <row r="668" spans="1:8">
      <c r="A668" s="5"/>
      <c r="B668" s="6"/>
      <c r="C668" s="6"/>
      <c r="D668" s="6"/>
      <c r="E668" s="6"/>
      <c r="F668" s="6"/>
      <c r="G668" s="6"/>
      <c r="H668" s="7"/>
    </row>
    <row r="669" spans="1:8">
      <c r="A669" s="5"/>
      <c r="B669" s="6"/>
      <c r="C669" s="6"/>
      <c r="D669" s="6"/>
      <c r="E669" s="6"/>
      <c r="F669" s="6"/>
      <c r="G669" s="6"/>
      <c r="H669" s="7"/>
    </row>
    <row r="670" spans="1:8">
      <c r="A670" s="5"/>
      <c r="B670" s="6"/>
      <c r="C670" s="6"/>
      <c r="D670" s="6"/>
      <c r="E670" s="6"/>
      <c r="F670" s="6"/>
      <c r="G670" s="6"/>
      <c r="H670" s="7"/>
    </row>
    <row r="671" spans="1:8">
      <c r="A671" s="5"/>
      <c r="B671" s="6"/>
      <c r="C671" s="6"/>
      <c r="D671" s="6"/>
      <c r="E671" s="6"/>
      <c r="F671" s="6"/>
      <c r="G671" s="6"/>
      <c r="H671" s="7"/>
    </row>
    <row r="672" spans="1:8">
      <c r="A672" s="5"/>
      <c r="B672" s="6"/>
      <c r="C672" s="6"/>
      <c r="D672" s="6"/>
      <c r="E672" s="6"/>
      <c r="F672" s="6"/>
      <c r="G672" s="6"/>
      <c r="H672" s="7"/>
    </row>
    <row r="673" spans="1:8">
      <c r="A673" s="5"/>
      <c r="B673" s="6"/>
      <c r="C673" s="6"/>
      <c r="D673" s="6"/>
      <c r="E673" s="6"/>
      <c r="F673" s="6"/>
      <c r="G673" s="6"/>
      <c r="H673" s="7"/>
    </row>
    <row r="674" spans="1:8">
      <c r="A674" s="5"/>
      <c r="B674" s="6"/>
      <c r="C674" s="6"/>
      <c r="D674" s="6"/>
      <c r="E674" s="6"/>
      <c r="F674" s="6"/>
      <c r="G674" s="6"/>
      <c r="H674" s="7"/>
    </row>
    <row r="675" spans="1:8">
      <c r="A675" s="5"/>
      <c r="B675" s="6"/>
      <c r="C675" s="6"/>
      <c r="D675" s="6"/>
      <c r="E675" s="6"/>
      <c r="F675" s="6"/>
      <c r="G675" s="6"/>
      <c r="H675" s="7"/>
    </row>
    <row r="676" spans="1:8">
      <c r="A676" s="5"/>
      <c r="B676" s="6"/>
      <c r="C676" s="6"/>
      <c r="D676" s="6"/>
      <c r="E676" s="6"/>
      <c r="F676" s="6"/>
      <c r="G676" s="6"/>
      <c r="H676" s="7"/>
    </row>
    <row r="677" spans="1:8">
      <c r="A677" s="5"/>
      <c r="B677" s="6"/>
      <c r="C677" s="6"/>
      <c r="D677" s="6"/>
      <c r="E677" s="6"/>
      <c r="F677" s="6"/>
      <c r="G677" s="6"/>
      <c r="H677" s="7"/>
    </row>
    <row r="678" spans="1:8">
      <c r="A678" s="5"/>
      <c r="B678" s="6"/>
      <c r="C678" s="6"/>
      <c r="D678" s="6"/>
      <c r="E678" s="6"/>
      <c r="F678" s="6"/>
      <c r="G678" s="6"/>
      <c r="H678" s="7"/>
    </row>
    <row r="679" spans="1:8">
      <c r="A679" s="5"/>
      <c r="B679" s="6"/>
      <c r="C679" s="6"/>
      <c r="D679" s="6"/>
      <c r="E679" s="6"/>
      <c r="F679" s="6"/>
      <c r="G679" s="6"/>
      <c r="H679" s="7"/>
    </row>
    <row r="680" spans="1:8">
      <c r="A680" s="5"/>
      <c r="B680" s="6"/>
      <c r="C680" s="6"/>
      <c r="D680" s="6"/>
      <c r="E680" s="6"/>
      <c r="F680" s="6"/>
      <c r="G680" s="6"/>
      <c r="H680" s="7"/>
    </row>
    <row r="681" spans="1:8">
      <c r="A681" s="5"/>
      <c r="B681" s="6"/>
      <c r="C681" s="6"/>
      <c r="D681" s="6"/>
      <c r="E681" s="6"/>
      <c r="F681" s="6"/>
      <c r="G681" s="6"/>
      <c r="H681" s="7"/>
    </row>
    <row r="682" spans="1:8">
      <c r="A682" s="5"/>
      <c r="B682" s="6"/>
      <c r="C682" s="6"/>
      <c r="D682" s="6"/>
      <c r="E682" s="6"/>
      <c r="F682" s="6"/>
      <c r="G682" s="6"/>
      <c r="H682" s="7"/>
    </row>
    <row r="683" spans="1:8">
      <c r="A683" s="5"/>
      <c r="B683" s="6"/>
      <c r="C683" s="6"/>
      <c r="D683" s="6"/>
      <c r="E683" s="6"/>
      <c r="F683" s="6"/>
      <c r="G683" s="6"/>
      <c r="H683" s="7"/>
    </row>
    <row r="684" spans="1:8">
      <c r="A684" s="5"/>
      <c r="B684" s="6"/>
      <c r="C684" s="6"/>
      <c r="D684" s="6"/>
      <c r="E684" s="6"/>
      <c r="F684" s="6"/>
      <c r="G684" s="6"/>
      <c r="H684" s="7"/>
    </row>
    <row r="685" spans="1:8">
      <c r="A685" s="5"/>
      <c r="B685" s="6"/>
      <c r="C685" s="6"/>
      <c r="D685" s="6"/>
      <c r="E685" s="6"/>
      <c r="F685" s="6"/>
      <c r="G685" s="6"/>
      <c r="H685" s="7"/>
    </row>
    <row r="686" spans="1:8">
      <c r="A686" s="5"/>
      <c r="B686" s="6"/>
      <c r="C686" s="6"/>
      <c r="D686" s="6"/>
      <c r="E686" s="6"/>
      <c r="F686" s="6"/>
      <c r="G686" s="6"/>
      <c r="H686" s="7"/>
    </row>
    <row r="687" spans="1:8">
      <c r="A687" s="5"/>
      <c r="B687" s="6"/>
      <c r="C687" s="6"/>
      <c r="D687" s="6"/>
      <c r="E687" s="6"/>
      <c r="F687" s="6"/>
      <c r="G687" s="6"/>
      <c r="H687" s="7"/>
    </row>
    <row r="688" spans="1:8">
      <c r="A688" s="5"/>
      <c r="B688" s="6"/>
      <c r="C688" s="6"/>
      <c r="D688" s="6"/>
      <c r="E688" s="6"/>
      <c r="F688" s="6"/>
      <c r="G688" s="6"/>
      <c r="H688" s="7"/>
    </row>
    <row r="689" spans="1:8">
      <c r="A689" s="5"/>
      <c r="B689" s="6"/>
      <c r="C689" s="6"/>
      <c r="D689" s="6"/>
      <c r="E689" s="6"/>
      <c r="F689" s="6"/>
      <c r="G689" s="6"/>
      <c r="H689" s="7"/>
    </row>
    <row r="690" spans="1:8">
      <c r="A690" s="5"/>
      <c r="B690" s="6"/>
      <c r="C690" s="6"/>
      <c r="D690" s="6"/>
      <c r="E690" s="6"/>
      <c r="F690" s="6"/>
      <c r="G690" s="6"/>
      <c r="H690" s="7"/>
    </row>
    <row r="691" spans="1:8">
      <c r="A691" s="5"/>
      <c r="B691" s="6"/>
      <c r="C691" s="6"/>
      <c r="D691" s="6"/>
      <c r="E691" s="6"/>
      <c r="F691" s="6"/>
      <c r="G691" s="6"/>
      <c r="H691" s="7"/>
    </row>
    <row r="692" spans="1:8">
      <c r="A692" s="5"/>
      <c r="B692" s="6"/>
      <c r="C692" s="6"/>
      <c r="D692" s="6"/>
      <c r="E692" s="6"/>
      <c r="F692" s="6"/>
      <c r="G692" s="6"/>
      <c r="H692" s="7"/>
    </row>
    <row r="693" spans="1:8">
      <c r="A693" s="5"/>
      <c r="B693" s="6"/>
      <c r="C693" s="6"/>
      <c r="D693" s="6"/>
      <c r="E693" s="6"/>
      <c r="F693" s="6"/>
      <c r="G693" s="6"/>
      <c r="H693" s="7"/>
    </row>
    <row r="694" spans="1:8">
      <c r="A694" s="5"/>
      <c r="B694" s="6"/>
      <c r="C694" s="6"/>
      <c r="D694" s="6"/>
      <c r="E694" s="6"/>
      <c r="F694" s="6"/>
      <c r="G694" s="6"/>
      <c r="H694" s="7"/>
    </row>
    <row r="695" spans="1:8">
      <c r="A695" s="5"/>
      <c r="B695" s="6"/>
      <c r="C695" s="6"/>
      <c r="D695" s="6"/>
      <c r="E695" s="6"/>
      <c r="F695" s="6"/>
      <c r="G695" s="6"/>
      <c r="H695" s="7"/>
    </row>
    <row r="696" spans="1:8">
      <c r="A696" s="5"/>
      <c r="B696" s="6"/>
      <c r="C696" s="6"/>
      <c r="D696" s="6"/>
      <c r="E696" s="6"/>
      <c r="F696" s="6"/>
      <c r="G696" s="6"/>
      <c r="H696" s="7"/>
    </row>
    <row r="697" spans="1:8">
      <c r="A697" s="5"/>
      <c r="B697" s="6"/>
      <c r="C697" s="6"/>
      <c r="D697" s="6"/>
      <c r="E697" s="6"/>
      <c r="F697" s="6"/>
      <c r="G697" s="6"/>
      <c r="H697" s="7"/>
    </row>
    <row r="698" spans="1:8">
      <c r="A698" s="5"/>
      <c r="B698" s="6"/>
      <c r="C698" s="6"/>
      <c r="D698" s="6"/>
      <c r="E698" s="6"/>
      <c r="F698" s="6"/>
      <c r="G698" s="6"/>
      <c r="H698" s="7"/>
    </row>
    <row r="699" spans="1:8">
      <c r="A699" s="5"/>
      <c r="B699" s="6"/>
      <c r="C699" s="6"/>
      <c r="D699" s="6"/>
      <c r="E699" s="6"/>
      <c r="F699" s="6"/>
      <c r="G699" s="6"/>
      <c r="H699" s="7"/>
    </row>
    <row r="700" spans="1:8">
      <c r="A700" s="5"/>
      <c r="B700" s="6"/>
      <c r="C700" s="6"/>
      <c r="D700" s="6"/>
      <c r="E700" s="6"/>
      <c r="F700" s="6"/>
      <c r="G700" s="6"/>
      <c r="H700" s="7"/>
    </row>
    <row r="701" spans="1:8">
      <c r="A701" s="5"/>
      <c r="B701" s="6"/>
      <c r="C701" s="6"/>
      <c r="D701" s="6"/>
      <c r="E701" s="6"/>
      <c r="F701" s="6"/>
      <c r="G701" s="6"/>
      <c r="H701" s="7"/>
    </row>
    <row r="702" spans="1:8">
      <c r="A702" s="5"/>
      <c r="B702" s="6"/>
      <c r="C702" s="6"/>
      <c r="D702" s="6"/>
      <c r="E702" s="6"/>
      <c r="F702" s="6"/>
      <c r="G702" s="6"/>
      <c r="H702" s="7"/>
    </row>
    <row r="703" spans="1:8">
      <c r="A703" s="5"/>
      <c r="B703" s="6"/>
      <c r="C703" s="6"/>
      <c r="D703" s="6"/>
      <c r="E703" s="6"/>
      <c r="F703" s="6"/>
      <c r="G703" s="6"/>
      <c r="H703" s="7"/>
    </row>
    <row r="704" spans="1:8">
      <c r="A704" s="5"/>
      <c r="B704" s="6"/>
      <c r="C704" s="6"/>
      <c r="D704" s="6"/>
      <c r="E704" s="6"/>
      <c r="F704" s="6"/>
      <c r="G704" s="6"/>
      <c r="H704" s="7"/>
    </row>
    <row r="705" spans="1:8">
      <c r="A705" s="5"/>
      <c r="B705" s="6"/>
      <c r="C705" s="6"/>
      <c r="D705" s="6"/>
      <c r="E705" s="6"/>
      <c r="F705" s="6"/>
      <c r="G705" s="6"/>
      <c r="H705" s="7"/>
    </row>
    <row r="706" spans="1:8">
      <c r="A706" s="5"/>
      <c r="B706" s="6"/>
      <c r="C706" s="6"/>
      <c r="D706" s="6"/>
      <c r="E706" s="6"/>
      <c r="F706" s="6"/>
      <c r="G706" s="6"/>
      <c r="H706" s="7"/>
    </row>
    <row r="707" spans="1:8">
      <c r="A707" s="5"/>
      <c r="B707" s="6"/>
      <c r="C707" s="6"/>
      <c r="D707" s="6"/>
      <c r="E707" s="6"/>
      <c r="F707" s="6"/>
      <c r="G707" s="6"/>
      <c r="H707" s="7"/>
    </row>
    <row r="708" spans="1:8">
      <c r="A708" s="5"/>
      <c r="B708" s="6"/>
      <c r="C708" s="6"/>
      <c r="D708" s="6"/>
      <c r="E708" s="6"/>
      <c r="F708" s="6"/>
      <c r="G708" s="6"/>
      <c r="H708" s="7"/>
    </row>
    <row r="709" spans="1:8">
      <c r="A709" s="5"/>
      <c r="B709" s="6"/>
      <c r="C709" s="6"/>
      <c r="D709" s="6"/>
      <c r="E709" s="6"/>
      <c r="F709" s="6"/>
      <c r="G709" s="6"/>
      <c r="H709" s="7"/>
    </row>
    <row r="710" spans="1:8">
      <c r="A710" s="5"/>
      <c r="B710" s="6"/>
      <c r="C710" s="6"/>
      <c r="D710" s="6"/>
      <c r="E710" s="6"/>
      <c r="F710" s="6"/>
      <c r="G710" s="6"/>
      <c r="H710" s="7"/>
    </row>
    <row r="711" spans="1:8">
      <c r="A711" s="5"/>
      <c r="B711" s="6"/>
      <c r="C711" s="6"/>
      <c r="D711" s="6"/>
      <c r="E711" s="6"/>
      <c r="F711" s="6"/>
      <c r="G711" s="6"/>
      <c r="H711" s="7"/>
    </row>
    <row r="712" spans="1:8">
      <c r="A712" s="5"/>
      <c r="B712" s="6"/>
      <c r="C712" s="6"/>
      <c r="D712" s="6"/>
      <c r="E712" s="6"/>
      <c r="F712" s="6"/>
      <c r="G712" s="6"/>
      <c r="H712" s="7"/>
    </row>
    <row r="713" spans="1:8">
      <c r="A713" s="5"/>
      <c r="B713" s="6"/>
      <c r="C713" s="6"/>
      <c r="D713" s="6"/>
      <c r="E713" s="6"/>
      <c r="F713" s="6"/>
      <c r="G713" s="6"/>
      <c r="H713" s="7"/>
    </row>
    <row r="714" spans="1:8">
      <c r="A714" s="5"/>
      <c r="B714" s="6"/>
      <c r="C714" s="6"/>
      <c r="D714" s="6"/>
      <c r="E714" s="6"/>
      <c r="F714" s="6"/>
      <c r="G714" s="6"/>
      <c r="H714" s="7"/>
    </row>
    <row r="715" spans="1:8">
      <c r="A715" s="5"/>
      <c r="B715" s="6"/>
      <c r="C715" s="6"/>
      <c r="D715" s="6"/>
      <c r="E715" s="6"/>
      <c r="F715" s="6"/>
      <c r="G715" s="6"/>
      <c r="H715" s="7"/>
    </row>
    <row r="716" spans="1:8">
      <c r="A716" s="5"/>
      <c r="B716" s="6"/>
      <c r="C716" s="6"/>
      <c r="D716" s="6"/>
      <c r="E716" s="6"/>
      <c r="F716" s="6"/>
      <c r="G716" s="6"/>
      <c r="H716" s="7"/>
    </row>
    <row r="717" spans="1:8">
      <c r="A717" s="5"/>
      <c r="B717" s="6"/>
      <c r="C717" s="6"/>
      <c r="D717" s="6"/>
      <c r="E717" s="6"/>
      <c r="F717" s="6"/>
      <c r="G717" s="6"/>
      <c r="H717" s="7"/>
    </row>
    <row r="718" spans="1:8">
      <c r="A718" s="5"/>
      <c r="B718" s="6"/>
      <c r="C718" s="6"/>
      <c r="D718" s="6"/>
      <c r="E718" s="6"/>
      <c r="F718" s="6"/>
      <c r="G718" s="6"/>
      <c r="H718" s="7"/>
    </row>
    <row r="719" spans="1:8">
      <c r="A719" s="5"/>
      <c r="B719" s="6"/>
      <c r="C719" s="6"/>
      <c r="D719" s="6"/>
      <c r="E719" s="6"/>
      <c r="F719" s="6"/>
      <c r="G719" s="6"/>
      <c r="H719" s="7"/>
    </row>
    <row r="720" spans="1:8">
      <c r="A720" s="5"/>
      <c r="B720" s="6"/>
      <c r="C720" s="6"/>
      <c r="D720" s="6"/>
      <c r="E720" s="6"/>
      <c r="F720" s="6"/>
      <c r="G720" s="6"/>
      <c r="H720" s="7"/>
    </row>
    <row r="721" spans="1:8">
      <c r="A721" s="5"/>
      <c r="B721" s="6"/>
      <c r="C721" s="6"/>
      <c r="D721" s="6"/>
      <c r="E721" s="6"/>
      <c r="F721" s="6"/>
      <c r="G721" s="6"/>
      <c r="H721" s="7"/>
    </row>
    <row r="722" spans="1:8">
      <c r="A722" s="5"/>
      <c r="B722" s="6"/>
      <c r="C722" s="6"/>
      <c r="D722" s="6"/>
      <c r="E722" s="6"/>
      <c r="F722" s="6"/>
      <c r="G722" s="6"/>
      <c r="H722" s="7"/>
    </row>
    <row r="723" spans="1:8">
      <c r="A723" s="5"/>
      <c r="B723" s="6"/>
      <c r="C723" s="6"/>
      <c r="D723" s="6"/>
      <c r="E723" s="6"/>
      <c r="F723" s="6"/>
      <c r="G723" s="6"/>
      <c r="H723" s="7"/>
    </row>
    <row r="724" spans="1:8">
      <c r="A724" s="5"/>
      <c r="B724" s="6"/>
      <c r="C724" s="6"/>
      <c r="D724" s="6"/>
      <c r="E724" s="6"/>
      <c r="F724" s="6"/>
      <c r="G724" s="6"/>
      <c r="H724" s="7"/>
    </row>
    <row r="725" spans="1:8">
      <c r="A725" s="5"/>
      <c r="B725" s="6"/>
      <c r="C725" s="6"/>
      <c r="D725" s="6"/>
      <c r="E725" s="6"/>
      <c r="F725" s="6"/>
      <c r="G725" s="6"/>
      <c r="H725" s="7"/>
    </row>
    <row r="726" spans="1:8">
      <c r="A726" s="5"/>
      <c r="B726" s="6"/>
      <c r="C726" s="6"/>
      <c r="D726" s="6"/>
      <c r="E726" s="6"/>
      <c r="F726" s="6"/>
      <c r="G726" s="6"/>
      <c r="H726" s="7"/>
    </row>
    <row r="727" spans="1:8">
      <c r="A727" s="5"/>
      <c r="B727" s="6"/>
      <c r="C727" s="6"/>
      <c r="D727" s="6"/>
      <c r="E727" s="6"/>
      <c r="F727" s="6"/>
      <c r="G727" s="6"/>
      <c r="H727" s="7"/>
    </row>
    <row r="728" spans="1:8">
      <c r="A728" s="5"/>
      <c r="B728" s="6"/>
      <c r="C728" s="6"/>
      <c r="D728" s="6"/>
      <c r="E728" s="6"/>
      <c r="F728" s="6"/>
      <c r="G728" s="6"/>
      <c r="H728" s="7"/>
    </row>
    <row r="729" spans="1:8">
      <c r="A729" s="5"/>
      <c r="B729" s="6"/>
      <c r="C729" s="6"/>
      <c r="D729" s="6"/>
      <c r="E729" s="6"/>
      <c r="F729" s="6"/>
      <c r="G729" s="6"/>
      <c r="H729" s="7"/>
    </row>
    <row r="730" spans="1:8">
      <c r="A730" s="5"/>
      <c r="B730" s="6"/>
      <c r="C730" s="6"/>
      <c r="D730" s="6"/>
      <c r="E730" s="6"/>
      <c r="F730" s="6"/>
      <c r="G730" s="6"/>
      <c r="H730" s="7"/>
    </row>
    <row r="731" spans="1:8">
      <c r="A731" s="5"/>
      <c r="B731" s="6"/>
      <c r="C731" s="6"/>
      <c r="D731" s="6"/>
      <c r="E731" s="6"/>
      <c r="F731" s="6"/>
      <c r="G731" s="6"/>
      <c r="H731" s="7"/>
    </row>
    <row r="732" spans="1:8">
      <c r="A732" s="5"/>
      <c r="B732" s="6"/>
      <c r="C732" s="6"/>
      <c r="D732" s="6"/>
      <c r="E732" s="6"/>
      <c r="F732" s="6"/>
      <c r="G732" s="6"/>
      <c r="H732" s="7"/>
    </row>
    <row r="733" spans="1:8">
      <c r="A733" s="5"/>
      <c r="B733" s="6"/>
      <c r="C733" s="6"/>
      <c r="D733" s="6"/>
      <c r="E733" s="6"/>
      <c r="F733" s="6"/>
      <c r="G733" s="6"/>
      <c r="H733" s="7"/>
    </row>
    <row r="734" spans="1:8">
      <c r="A734" s="5"/>
      <c r="B734" s="6"/>
      <c r="C734" s="6"/>
      <c r="D734" s="6"/>
      <c r="E734" s="6"/>
      <c r="F734" s="6"/>
      <c r="G734" s="6"/>
      <c r="H734" s="7"/>
    </row>
    <row r="735" spans="1:8">
      <c r="A735" s="5"/>
      <c r="B735" s="6"/>
      <c r="C735" s="6"/>
      <c r="D735" s="6"/>
      <c r="E735" s="6"/>
      <c r="F735" s="6"/>
      <c r="G735" s="6"/>
      <c r="H735" s="7"/>
    </row>
    <row r="736" spans="1:8">
      <c r="A736" s="5"/>
      <c r="B736" s="6"/>
      <c r="C736" s="6"/>
      <c r="D736" s="6"/>
      <c r="E736" s="6"/>
      <c r="F736" s="6"/>
      <c r="G736" s="6"/>
      <c r="H736" s="7"/>
    </row>
    <row r="737" spans="1:8">
      <c r="A737" s="5"/>
      <c r="B737" s="6"/>
      <c r="C737" s="6"/>
      <c r="D737" s="6"/>
      <c r="E737" s="6"/>
      <c r="F737" s="6"/>
      <c r="G737" s="6"/>
      <c r="H737" s="7"/>
    </row>
    <row r="738" spans="1:8">
      <c r="A738" s="5"/>
      <c r="B738" s="6"/>
      <c r="C738" s="6"/>
      <c r="D738" s="6"/>
      <c r="E738" s="6"/>
      <c r="F738" s="6"/>
      <c r="G738" s="6"/>
      <c r="H738" s="7"/>
    </row>
    <row r="739" spans="1:8">
      <c r="A739" s="5"/>
      <c r="B739" s="6"/>
      <c r="C739" s="6"/>
      <c r="D739" s="6"/>
      <c r="E739" s="6"/>
      <c r="F739" s="6"/>
      <c r="G739" s="6"/>
      <c r="H739" s="7"/>
    </row>
    <row r="740" spans="1:8">
      <c r="A740" s="5"/>
      <c r="B740" s="6"/>
      <c r="C740" s="6"/>
      <c r="D740" s="6"/>
      <c r="E740" s="6"/>
      <c r="F740" s="6"/>
      <c r="G740" s="6"/>
      <c r="H740" s="7"/>
    </row>
    <row r="741" spans="1:8">
      <c r="A741" s="5"/>
      <c r="B741" s="6"/>
      <c r="C741" s="6"/>
      <c r="D741" s="6"/>
      <c r="E741" s="6"/>
      <c r="F741" s="6"/>
      <c r="G741" s="6"/>
      <c r="H741" s="7"/>
    </row>
    <row r="742" spans="1:8">
      <c r="A742" s="5"/>
      <c r="B742" s="6"/>
      <c r="C742" s="6"/>
      <c r="D742" s="6"/>
      <c r="E742" s="6"/>
      <c r="F742" s="6"/>
      <c r="G742" s="6"/>
      <c r="H742" s="7"/>
    </row>
    <row r="743" spans="1:8">
      <c r="A743" s="5"/>
      <c r="B743" s="6"/>
      <c r="C743" s="6"/>
      <c r="D743" s="6"/>
      <c r="E743" s="6"/>
      <c r="F743" s="6"/>
      <c r="G743" s="6"/>
      <c r="H743" s="7"/>
    </row>
    <row r="744" spans="1:8">
      <c r="A744" s="5"/>
      <c r="B744" s="6"/>
      <c r="C744" s="6"/>
      <c r="D744" s="6"/>
      <c r="E744" s="6"/>
      <c r="F744" s="6"/>
      <c r="G744" s="6"/>
      <c r="H744" s="7"/>
    </row>
    <row r="745" spans="1:8">
      <c r="A745" s="5"/>
      <c r="B745" s="6"/>
      <c r="C745" s="6"/>
      <c r="D745" s="6"/>
      <c r="E745" s="6"/>
      <c r="F745" s="6"/>
      <c r="G745" s="6"/>
      <c r="H745" s="7"/>
    </row>
    <row r="746" spans="1:8">
      <c r="A746" s="5"/>
      <c r="B746" s="6"/>
      <c r="C746" s="6"/>
      <c r="D746" s="6"/>
      <c r="E746" s="6"/>
      <c r="F746" s="6"/>
      <c r="G746" s="6"/>
      <c r="H746" s="7"/>
    </row>
    <row r="747" spans="1:8">
      <c r="A747" s="5"/>
      <c r="B747" s="6"/>
      <c r="C747" s="6"/>
      <c r="D747" s="6"/>
      <c r="E747" s="6"/>
      <c r="F747" s="6"/>
      <c r="G747" s="6"/>
      <c r="H747" s="7"/>
    </row>
    <row r="748" spans="1:8">
      <c r="A748" s="5"/>
      <c r="B748" s="6"/>
      <c r="C748" s="6"/>
      <c r="D748" s="6"/>
      <c r="E748" s="6"/>
      <c r="F748" s="6"/>
      <c r="G748" s="6"/>
      <c r="H748" s="7"/>
    </row>
    <row r="749" spans="1:8">
      <c r="A749" s="5"/>
      <c r="B749" s="6"/>
      <c r="C749" s="6"/>
      <c r="D749" s="6"/>
      <c r="E749" s="6"/>
      <c r="F749" s="6"/>
      <c r="G749" s="6"/>
      <c r="H749" s="7"/>
    </row>
    <row r="750" spans="1:8">
      <c r="A750" s="5"/>
      <c r="B750" s="6"/>
      <c r="C750" s="6"/>
      <c r="D750" s="6"/>
      <c r="E750" s="6"/>
      <c r="F750" s="6"/>
      <c r="G750" s="6"/>
      <c r="H750" s="7"/>
    </row>
    <row r="751" spans="1:8">
      <c r="A751" s="5"/>
      <c r="B751" s="6"/>
      <c r="C751" s="6"/>
      <c r="D751" s="6"/>
      <c r="E751" s="6"/>
      <c r="F751" s="6"/>
      <c r="G751" s="6"/>
      <c r="H751" s="7"/>
    </row>
    <row r="752" spans="1:8">
      <c r="A752" s="5"/>
      <c r="B752" s="6"/>
      <c r="C752" s="6"/>
      <c r="D752" s="6"/>
      <c r="E752" s="6"/>
      <c r="F752" s="6"/>
      <c r="G752" s="6"/>
      <c r="H752" s="7"/>
    </row>
    <row r="753" spans="1:8">
      <c r="A753" s="5"/>
      <c r="B753" s="6"/>
      <c r="C753" s="6"/>
      <c r="D753" s="6"/>
      <c r="E753" s="6"/>
      <c r="F753" s="6"/>
      <c r="G753" s="6"/>
      <c r="H753" s="7"/>
    </row>
    <row r="754" spans="1:8">
      <c r="A754" s="5"/>
      <c r="B754" s="6"/>
      <c r="C754" s="6"/>
      <c r="D754" s="6"/>
      <c r="E754" s="6"/>
      <c r="F754" s="6"/>
      <c r="G754" s="6"/>
      <c r="H754" s="7"/>
    </row>
    <row r="755" spans="1:8">
      <c r="A755" s="5"/>
      <c r="B755" s="6"/>
      <c r="C755" s="6"/>
      <c r="D755" s="6"/>
      <c r="E755" s="6"/>
      <c r="F755" s="6"/>
      <c r="G755" s="6"/>
      <c r="H755" s="7"/>
    </row>
    <row r="756" spans="1:8">
      <c r="A756" s="5"/>
      <c r="B756" s="6"/>
      <c r="C756" s="6"/>
      <c r="D756" s="6"/>
      <c r="E756" s="6"/>
      <c r="F756" s="6"/>
      <c r="G756" s="6"/>
      <c r="H756" s="7"/>
    </row>
    <row r="757" spans="1:8">
      <c r="A757" s="5"/>
      <c r="B757" s="6"/>
      <c r="C757" s="6"/>
      <c r="D757" s="6"/>
      <c r="E757" s="6"/>
      <c r="F757" s="6"/>
      <c r="G757" s="6"/>
      <c r="H757" s="7"/>
    </row>
    <row r="758" spans="1:8">
      <c r="A758" s="5"/>
      <c r="B758" s="6"/>
      <c r="C758" s="6"/>
      <c r="D758" s="6"/>
      <c r="E758" s="6"/>
      <c r="F758" s="6"/>
      <c r="G758" s="6"/>
      <c r="H758" s="7"/>
    </row>
    <row r="759" spans="1:8">
      <c r="A759" s="5"/>
      <c r="B759" s="6"/>
      <c r="C759" s="6"/>
      <c r="D759" s="6"/>
      <c r="E759" s="6"/>
      <c r="F759" s="6"/>
      <c r="G759" s="6"/>
      <c r="H759" s="7"/>
    </row>
    <row r="760" spans="1:8">
      <c r="A760" s="5"/>
      <c r="B760" s="6"/>
      <c r="C760" s="6"/>
      <c r="D760" s="6"/>
      <c r="E760" s="6"/>
      <c r="F760" s="6"/>
      <c r="G760" s="6"/>
      <c r="H760" s="7"/>
    </row>
    <row r="761" spans="1:8">
      <c r="A761" s="5"/>
      <c r="B761" s="6"/>
      <c r="C761" s="6"/>
      <c r="D761" s="6"/>
      <c r="E761" s="6"/>
      <c r="F761" s="6"/>
      <c r="G761" s="6"/>
      <c r="H761" s="7"/>
    </row>
    <row r="762" spans="1:8">
      <c r="A762" s="5"/>
      <c r="B762" s="6"/>
      <c r="C762" s="6"/>
      <c r="D762" s="6"/>
      <c r="E762" s="6"/>
      <c r="F762" s="6"/>
      <c r="G762" s="6"/>
      <c r="H762" s="7"/>
    </row>
    <row r="763" spans="1:8">
      <c r="A763" s="5"/>
      <c r="B763" s="6"/>
      <c r="C763" s="6"/>
      <c r="D763" s="6"/>
      <c r="E763" s="6"/>
      <c r="F763" s="6"/>
      <c r="G763" s="6"/>
      <c r="H763" s="7"/>
    </row>
    <row r="764" spans="1:8">
      <c r="A764" s="5"/>
      <c r="B764" s="6"/>
      <c r="C764" s="6"/>
      <c r="D764" s="6"/>
      <c r="E764" s="6"/>
      <c r="F764" s="6"/>
      <c r="G764" s="6"/>
      <c r="H764" s="7"/>
    </row>
    <row r="765" spans="1:8">
      <c r="A765" s="5"/>
      <c r="B765" s="6"/>
      <c r="C765" s="6"/>
      <c r="D765" s="6"/>
      <c r="E765" s="6"/>
      <c r="F765" s="6"/>
      <c r="G765" s="6"/>
      <c r="H765" s="7"/>
    </row>
    <row r="766" spans="1:8">
      <c r="A766" s="5"/>
      <c r="B766" s="6"/>
      <c r="C766" s="6"/>
      <c r="D766" s="6"/>
      <c r="E766" s="6"/>
      <c r="F766" s="6"/>
      <c r="G766" s="6"/>
      <c r="H766" s="7"/>
    </row>
    <row r="767" spans="1:8">
      <c r="A767" s="5"/>
      <c r="B767" s="6"/>
      <c r="C767" s="6"/>
      <c r="D767" s="6"/>
      <c r="E767" s="6"/>
      <c r="F767" s="6"/>
      <c r="G767" s="6"/>
      <c r="H767" s="7"/>
    </row>
    <row r="768" spans="1:8">
      <c r="A768" s="5"/>
      <c r="B768" s="6"/>
      <c r="C768" s="6"/>
      <c r="D768" s="6"/>
      <c r="E768" s="6"/>
      <c r="F768" s="6"/>
      <c r="G768" s="6"/>
      <c r="H768" s="7"/>
    </row>
    <row r="769" spans="1:8">
      <c r="A769" s="5"/>
      <c r="B769" s="6"/>
      <c r="C769" s="6"/>
      <c r="D769" s="6"/>
      <c r="E769" s="6"/>
      <c r="F769" s="6"/>
      <c r="G769" s="6"/>
      <c r="H769" s="7"/>
    </row>
    <row r="770" spans="1:8">
      <c r="A770" s="5"/>
      <c r="B770" s="6"/>
      <c r="C770" s="6"/>
      <c r="D770" s="6"/>
      <c r="E770" s="6"/>
      <c r="F770" s="6"/>
      <c r="G770" s="6"/>
      <c r="H770" s="7"/>
    </row>
    <row r="771" spans="1:8">
      <c r="A771" s="5"/>
      <c r="B771" s="6"/>
      <c r="C771" s="6"/>
      <c r="D771" s="6"/>
      <c r="E771" s="6"/>
      <c r="F771" s="6"/>
      <c r="G771" s="6"/>
      <c r="H771" s="7"/>
    </row>
    <row r="772" spans="1:8">
      <c r="A772" s="5"/>
      <c r="B772" s="6"/>
      <c r="C772" s="6"/>
      <c r="D772" s="6"/>
      <c r="E772" s="6"/>
      <c r="F772" s="6"/>
      <c r="G772" s="6"/>
      <c r="H772" s="7"/>
    </row>
    <row r="773" spans="1:8">
      <c r="A773" s="5"/>
      <c r="B773" s="6"/>
      <c r="C773" s="6"/>
      <c r="D773" s="6"/>
      <c r="E773" s="6"/>
      <c r="F773" s="6"/>
      <c r="G773" s="6"/>
      <c r="H773" s="7"/>
    </row>
    <row r="774" spans="1:8">
      <c r="A774" s="5"/>
      <c r="B774" s="6"/>
      <c r="C774" s="6"/>
      <c r="D774" s="6"/>
      <c r="E774" s="6"/>
      <c r="F774" s="6"/>
      <c r="G774" s="6"/>
      <c r="H774" s="7"/>
    </row>
    <row r="775" spans="1:8">
      <c r="A775" s="5"/>
      <c r="B775" s="6"/>
      <c r="C775" s="6"/>
      <c r="D775" s="6"/>
      <c r="E775" s="6"/>
      <c r="F775" s="6"/>
      <c r="G775" s="6"/>
      <c r="H775" s="7"/>
    </row>
    <row r="776" spans="1:8">
      <c r="A776" s="5"/>
      <c r="B776" s="6"/>
      <c r="C776" s="6"/>
      <c r="D776" s="6"/>
      <c r="E776" s="6"/>
      <c r="F776" s="6"/>
      <c r="G776" s="6"/>
      <c r="H776" s="7"/>
    </row>
    <row r="777" spans="1:8">
      <c r="A777" s="5"/>
      <c r="B777" s="6"/>
      <c r="C777" s="6"/>
      <c r="D777" s="6"/>
      <c r="E777" s="6"/>
      <c r="F777" s="6"/>
      <c r="G777" s="6"/>
      <c r="H777" s="7"/>
    </row>
    <row r="778" spans="1:8">
      <c r="A778" s="5"/>
      <c r="B778" s="6"/>
      <c r="C778" s="6"/>
      <c r="D778" s="6"/>
      <c r="E778" s="6"/>
      <c r="F778" s="6"/>
      <c r="G778" s="6"/>
      <c r="H778" s="7"/>
    </row>
    <row r="779" spans="1:8">
      <c r="A779" s="5"/>
      <c r="B779" s="6"/>
      <c r="C779" s="6"/>
      <c r="D779" s="6"/>
      <c r="E779" s="6"/>
      <c r="F779" s="6"/>
      <c r="G779" s="6"/>
      <c r="H779" s="7"/>
    </row>
    <row r="780" spans="1:8">
      <c r="A780" s="5"/>
      <c r="B780" s="6"/>
      <c r="C780" s="6"/>
      <c r="D780" s="6"/>
      <c r="E780" s="6"/>
      <c r="F780" s="6"/>
      <c r="G780" s="6"/>
      <c r="H780" s="7"/>
    </row>
    <row r="781" spans="1:8">
      <c r="A781" s="5"/>
      <c r="B781" s="6"/>
      <c r="C781" s="6"/>
      <c r="D781" s="6"/>
      <c r="E781" s="6"/>
      <c r="F781" s="6"/>
      <c r="G781" s="6"/>
      <c r="H781" s="7"/>
    </row>
    <row r="782" spans="1:8">
      <c r="A782" s="5"/>
      <c r="B782" s="6"/>
      <c r="C782" s="6"/>
      <c r="D782" s="6"/>
      <c r="E782" s="6"/>
      <c r="F782" s="6"/>
      <c r="G782" s="6"/>
      <c r="H782" s="7"/>
    </row>
    <row r="783" spans="1:8">
      <c r="A783" s="5"/>
      <c r="B783" s="6"/>
      <c r="C783" s="6"/>
      <c r="D783" s="6"/>
      <c r="E783" s="6"/>
      <c r="F783" s="6"/>
      <c r="G783" s="6"/>
      <c r="H783" s="7"/>
    </row>
    <row r="784" spans="1:8">
      <c r="A784" s="5"/>
      <c r="B784" s="6"/>
      <c r="C784" s="6"/>
      <c r="D784" s="6"/>
      <c r="E784" s="6"/>
      <c r="F784" s="6"/>
      <c r="G784" s="6"/>
      <c r="H784" s="7"/>
    </row>
    <row r="785" spans="1:8">
      <c r="A785" s="5"/>
      <c r="B785" s="6"/>
      <c r="C785" s="6"/>
      <c r="D785" s="6"/>
      <c r="E785" s="6"/>
      <c r="F785" s="6"/>
      <c r="G785" s="6"/>
      <c r="H785" s="7"/>
    </row>
    <row r="786" spans="1:8">
      <c r="A786" s="5"/>
      <c r="B786" s="6"/>
      <c r="C786" s="6"/>
      <c r="D786" s="6"/>
      <c r="E786" s="6"/>
      <c r="F786" s="6"/>
      <c r="G786" s="6"/>
      <c r="H786" s="7"/>
    </row>
    <row r="787" spans="1:8">
      <c r="A787" s="5"/>
      <c r="B787" s="6"/>
      <c r="C787" s="6"/>
      <c r="D787" s="6"/>
      <c r="E787" s="6"/>
      <c r="F787" s="6"/>
      <c r="G787" s="6"/>
      <c r="H787" s="7"/>
    </row>
    <row r="788" spans="1:8">
      <c r="A788" s="5"/>
      <c r="B788" s="6"/>
      <c r="C788" s="6"/>
      <c r="D788" s="6"/>
      <c r="E788" s="6"/>
      <c r="F788" s="6"/>
      <c r="G788" s="6"/>
      <c r="H788" s="7"/>
    </row>
    <row r="789" spans="1:8">
      <c r="A789" s="5"/>
      <c r="B789" s="6"/>
      <c r="C789" s="6"/>
      <c r="D789" s="6"/>
      <c r="E789" s="6"/>
      <c r="F789" s="6"/>
      <c r="G789" s="6"/>
      <c r="H789" s="7"/>
    </row>
    <row r="790" spans="1:8">
      <c r="A790" s="5"/>
      <c r="B790" s="6"/>
      <c r="C790" s="6"/>
      <c r="D790" s="6"/>
      <c r="E790" s="6"/>
      <c r="F790" s="6"/>
      <c r="G790" s="6"/>
      <c r="H790" s="7"/>
    </row>
    <row r="791" spans="1:8">
      <c r="A791" s="5"/>
      <c r="B791" s="6"/>
      <c r="C791" s="6"/>
      <c r="D791" s="6"/>
      <c r="E791" s="6"/>
      <c r="F791" s="6"/>
      <c r="G791" s="6"/>
      <c r="H791" s="7"/>
    </row>
    <row r="792" spans="1:8">
      <c r="A792" s="5"/>
      <c r="B792" s="6"/>
      <c r="C792" s="6"/>
      <c r="D792" s="6"/>
      <c r="E792" s="6"/>
      <c r="F792" s="6"/>
      <c r="G792" s="6"/>
      <c r="H792" s="7"/>
    </row>
    <row r="793" spans="1:8">
      <c r="A793" s="5"/>
      <c r="B793" s="6"/>
      <c r="C793" s="6"/>
      <c r="D793" s="6"/>
      <c r="E793" s="6"/>
      <c r="F793" s="6"/>
      <c r="G793" s="6"/>
      <c r="H793" s="7"/>
    </row>
    <row r="794" spans="1:8">
      <c r="A794" s="5"/>
      <c r="B794" s="6"/>
      <c r="C794" s="6"/>
      <c r="D794" s="6"/>
      <c r="E794" s="6"/>
      <c r="F794" s="6"/>
      <c r="G794" s="6"/>
      <c r="H794" s="7"/>
    </row>
    <row r="795" spans="1:8">
      <c r="A795" s="5"/>
      <c r="B795" s="6"/>
      <c r="C795" s="6"/>
      <c r="D795" s="6"/>
      <c r="E795" s="6"/>
      <c r="F795" s="6"/>
      <c r="G795" s="6"/>
      <c r="H795" s="7"/>
    </row>
    <row r="796" spans="1:8">
      <c r="A796" s="5"/>
      <c r="B796" s="6"/>
      <c r="C796" s="6"/>
      <c r="D796" s="6"/>
      <c r="E796" s="6"/>
      <c r="F796" s="6"/>
      <c r="G796" s="6"/>
      <c r="H796" s="7"/>
    </row>
    <row r="797" spans="1:8">
      <c r="A797" s="5"/>
      <c r="B797" s="6"/>
      <c r="C797" s="6"/>
      <c r="D797" s="6"/>
      <c r="E797" s="6"/>
      <c r="F797" s="6"/>
      <c r="G797" s="6"/>
      <c r="H797" s="7"/>
    </row>
    <row r="798" spans="1:8">
      <c r="A798" s="5"/>
      <c r="B798" s="6"/>
      <c r="C798" s="6"/>
      <c r="D798" s="6"/>
      <c r="E798" s="6"/>
      <c r="F798" s="6"/>
      <c r="G798" s="6"/>
      <c r="H798" s="7"/>
    </row>
    <row r="799" spans="1:8">
      <c r="A799" s="5"/>
      <c r="B799" s="6"/>
      <c r="C799" s="6"/>
      <c r="D799" s="6"/>
      <c r="E799" s="6"/>
      <c r="F799" s="6"/>
      <c r="G799" s="6"/>
      <c r="H799" s="7"/>
    </row>
    <row r="800" spans="1:8">
      <c r="A800" s="5"/>
      <c r="B800" s="6"/>
      <c r="C800" s="6"/>
      <c r="D800" s="6"/>
      <c r="E800" s="6"/>
      <c r="F800" s="6"/>
      <c r="G800" s="6"/>
      <c r="H800" s="7"/>
    </row>
    <row r="801" spans="1:8">
      <c r="A801" s="5"/>
      <c r="B801" s="6"/>
      <c r="C801" s="6"/>
      <c r="D801" s="6"/>
      <c r="E801" s="6"/>
      <c r="F801" s="6"/>
      <c r="G801" s="6"/>
      <c r="H801" s="7"/>
    </row>
    <row r="802" spans="1:8">
      <c r="A802" s="5"/>
      <c r="B802" s="6"/>
      <c r="C802" s="6"/>
      <c r="D802" s="6"/>
      <c r="E802" s="6"/>
      <c r="F802" s="6"/>
      <c r="G802" s="6"/>
      <c r="H802" s="7"/>
    </row>
    <row r="803" spans="1:8">
      <c r="A803" s="5"/>
      <c r="B803" s="6"/>
      <c r="C803" s="6"/>
      <c r="D803" s="6"/>
      <c r="E803" s="6"/>
      <c r="F803" s="6"/>
      <c r="G803" s="6"/>
      <c r="H803" s="7"/>
    </row>
    <row r="804" spans="1:8">
      <c r="A804" s="5"/>
      <c r="B804" s="6"/>
      <c r="C804" s="6"/>
      <c r="D804" s="6"/>
      <c r="E804" s="6"/>
      <c r="F804" s="6"/>
      <c r="G804" s="6"/>
      <c r="H804" s="7"/>
    </row>
    <row r="805" spans="1:8">
      <c r="A805" s="5"/>
      <c r="B805" s="6"/>
      <c r="C805" s="6"/>
      <c r="D805" s="6"/>
      <c r="E805" s="6"/>
      <c r="F805" s="6"/>
      <c r="G805" s="6"/>
      <c r="H805" s="7"/>
    </row>
    <row r="806" spans="1:8">
      <c r="A806" s="5"/>
      <c r="B806" s="6"/>
      <c r="C806" s="6"/>
      <c r="D806" s="6"/>
      <c r="E806" s="6"/>
      <c r="F806" s="6"/>
      <c r="G806" s="6"/>
      <c r="H806" s="7"/>
    </row>
    <row r="807" spans="1:8">
      <c r="A807" s="5"/>
      <c r="B807" s="6"/>
      <c r="C807" s="6"/>
      <c r="D807" s="6"/>
      <c r="E807" s="6"/>
      <c r="F807" s="6"/>
      <c r="G807" s="6"/>
      <c r="H807" s="7"/>
    </row>
    <row r="808" spans="1:8">
      <c r="A808" s="5"/>
      <c r="B808" s="6"/>
      <c r="C808" s="6"/>
      <c r="D808" s="6"/>
      <c r="E808" s="6"/>
      <c r="F808" s="6"/>
      <c r="G808" s="6"/>
      <c r="H808" s="7"/>
    </row>
    <row r="809" spans="1:8">
      <c r="A809" s="5"/>
      <c r="B809" s="6"/>
      <c r="C809" s="6"/>
      <c r="D809" s="6"/>
      <c r="E809" s="6"/>
      <c r="F809" s="6"/>
      <c r="G809" s="6"/>
      <c r="H809" s="7"/>
    </row>
    <row r="810" spans="1:8">
      <c r="A810" s="5"/>
      <c r="B810" s="6"/>
      <c r="C810" s="6"/>
      <c r="D810" s="6"/>
      <c r="E810" s="6"/>
      <c r="F810" s="6"/>
      <c r="G810" s="6"/>
      <c r="H810" s="7"/>
    </row>
    <row r="811" spans="1:8">
      <c r="A811" s="5"/>
      <c r="B811" s="6"/>
      <c r="C811" s="6"/>
      <c r="D811" s="6"/>
      <c r="E811" s="6"/>
      <c r="F811" s="6"/>
      <c r="G811" s="6"/>
      <c r="H811" s="7"/>
    </row>
    <row r="812" spans="1:8">
      <c r="A812" s="5"/>
      <c r="B812" s="6"/>
      <c r="C812" s="6"/>
      <c r="D812" s="6"/>
      <c r="E812" s="6"/>
      <c r="F812" s="6"/>
      <c r="G812" s="6"/>
      <c r="H812" s="7"/>
    </row>
    <row r="813" spans="1:8">
      <c r="A813" s="5"/>
      <c r="B813" s="6"/>
      <c r="C813" s="6"/>
      <c r="D813" s="6"/>
      <c r="E813" s="6"/>
      <c r="F813" s="6"/>
      <c r="G813" s="6"/>
      <c r="H813" s="7"/>
    </row>
    <row r="814" spans="1:8">
      <c r="A814" s="5"/>
      <c r="B814" s="6"/>
      <c r="C814" s="6"/>
      <c r="D814" s="6"/>
      <c r="E814" s="6"/>
      <c r="F814" s="6"/>
      <c r="G814" s="6"/>
      <c r="H814" s="7"/>
    </row>
    <row r="815" spans="1:8">
      <c r="A815" s="5"/>
      <c r="B815" s="6"/>
      <c r="C815" s="6"/>
      <c r="D815" s="6"/>
      <c r="E815" s="6"/>
      <c r="F815" s="6"/>
      <c r="G815" s="6"/>
      <c r="H815" s="7"/>
    </row>
    <row r="816" spans="1:8">
      <c r="A816" s="5"/>
      <c r="B816" s="6"/>
      <c r="C816" s="6"/>
      <c r="D816" s="6"/>
      <c r="E816" s="6"/>
      <c r="F816" s="6"/>
      <c r="G816" s="6"/>
      <c r="H816" s="7"/>
    </row>
    <row r="817" spans="1:8">
      <c r="A817" s="5"/>
      <c r="B817" s="6"/>
      <c r="C817" s="6"/>
      <c r="D817" s="6"/>
      <c r="E817" s="6"/>
      <c r="F817" s="6"/>
      <c r="G817" s="6"/>
      <c r="H817" s="7"/>
    </row>
    <row r="818" spans="1:8">
      <c r="A818" s="5"/>
      <c r="B818" s="6"/>
      <c r="C818" s="6"/>
      <c r="D818" s="6"/>
      <c r="E818" s="6"/>
      <c r="F818" s="6"/>
      <c r="G818" s="6"/>
      <c r="H818" s="7"/>
    </row>
    <row r="819" spans="1:8">
      <c r="A819" s="5"/>
      <c r="B819" s="6"/>
      <c r="C819" s="6"/>
      <c r="D819" s="6"/>
      <c r="E819" s="6"/>
      <c r="F819" s="6"/>
      <c r="G819" s="6"/>
      <c r="H819" s="7"/>
    </row>
    <row r="820" spans="1:8">
      <c r="A820" s="5"/>
      <c r="B820" s="6"/>
      <c r="C820" s="6"/>
      <c r="D820" s="6"/>
      <c r="E820" s="6"/>
      <c r="F820" s="6"/>
      <c r="G820" s="6"/>
      <c r="H820" s="7"/>
    </row>
    <row r="821" spans="1:8">
      <c r="A821" s="5"/>
      <c r="B821" s="6"/>
      <c r="C821" s="6"/>
      <c r="D821" s="6"/>
      <c r="E821" s="6"/>
      <c r="F821" s="6"/>
      <c r="G821" s="6"/>
      <c r="H821" s="7"/>
    </row>
    <row r="822" spans="1:8">
      <c r="A822" s="5"/>
      <c r="B822" s="6"/>
      <c r="C822" s="6"/>
      <c r="D822" s="6"/>
      <c r="E822" s="6"/>
      <c r="F822" s="6"/>
      <c r="G822" s="6"/>
      <c r="H822" s="7"/>
    </row>
    <row r="823" spans="1:8">
      <c r="A823" s="5"/>
      <c r="B823" s="6"/>
      <c r="C823" s="6"/>
      <c r="D823" s="6"/>
      <c r="E823" s="6"/>
      <c r="F823" s="6"/>
      <c r="G823" s="6"/>
      <c r="H823" s="7"/>
    </row>
    <row r="824" spans="1:8">
      <c r="A824" s="5"/>
      <c r="B824" s="6"/>
      <c r="C824" s="6"/>
      <c r="D824" s="6"/>
      <c r="E824" s="6"/>
      <c r="F824" s="6"/>
      <c r="G824" s="6"/>
      <c r="H824" s="7"/>
    </row>
    <row r="825" spans="1:8">
      <c r="A825" s="5"/>
      <c r="B825" s="6"/>
      <c r="C825" s="6"/>
      <c r="D825" s="6"/>
      <c r="E825" s="6"/>
      <c r="F825" s="6"/>
      <c r="G825" s="6"/>
      <c r="H825" s="7"/>
    </row>
    <row r="826" spans="1:8">
      <c r="A826" s="5"/>
      <c r="B826" s="6"/>
      <c r="C826" s="6"/>
      <c r="D826" s="6"/>
      <c r="E826" s="6"/>
      <c r="F826" s="6"/>
      <c r="G826" s="6"/>
      <c r="H826" s="7"/>
    </row>
    <row r="827" spans="1:8">
      <c r="A827" s="5"/>
      <c r="B827" s="6"/>
      <c r="C827" s="6"/>
      <c r="D827" s="6"/>
      <c r="E827" s="6"/>
      <c r="F827" s="6"/>
      <c r="G827" s="6"/>
      <c r="H827" s="7"/>
    </row>
    <row r="828" spans="1:8">
      <c r="A828" s="5"/>
      <c r="B828" s="6"/>
      <c r="C828" s="6"/>
      <c r="D828" s="6"/>
      <c r="E828" s="6"/>
      <c r="F828" s="6"/>
      <c r="G828" s="6"/>
      <c r="H828" s="7"/>
    </row>
    <row r="829" spans="1:8">
      <c r="A829" s="5"/>
      <c r="B829" s="6"/>
      <c r="C829" s="6"/>
      <c r="D829" s="6"/>
      <c r="E829" s="6"/>
      <c r="F829" s="6"/>
      <c r="G829" s="6"/>
      <c r="H829" s="7"/>
    </row>
    <row r="830" spans="1:8">
      <c r="A830" s="5"/>
      <c r="B830" s="6"/>
      <c r="C830" s="6"/>
      <c r="D830" s="6"/>
      <c r="E830" s="6"/>
      <c r="F830" s="6"/>
      <c r="G830" s="6"/>
      <c r="H830" s="7"/>
    </row>
    <row r="831" spans="1:8">
      <c r="A831" s="5"/>
      <c r="B831" s="6"/>
      <c r="C831" s="6"/>
      <c r="D831" s="6"/>
      <c r="E831" s="6"/>
      <c r="F831" s="6"/>
      <c r="G831" s="6"/>
      <c r="H831" s="7"/>
    </row>
    <row r="832" spans="1:8">
      <c r="A832" s="5"/>
      <c r="B832" s="6"/>
      <c r="C832" s="6"/>
      <c r="D832" s="6"/>
      <c r="E832" s="6"/>
      <c r="F832" s="6"/>
      <c r="G832" s="6"/>
      <c r="H832" s="7"/>
    </row>
    <row r="833" spans="1:8">
      <c r="A833" s="5"/>
      <c r="B833" s="6"/>
      <c r="C833" s="6"/>
      <c r="D833" s="6"/>
      <c r="E833" s="6"/>
      <c r="F833" s="6"/>
      <c r="G833" s="6"/>
      <c r="H833" s="7"/>
    </row>
    <row r="834" spans="1:8">
      <c r="A834" s="5"/>
      <c r="B834" s="6"/>
      <c r="C834" s="6"/>
      <c r="D834" s="6"/>
      <c r="E834" s="6"/>
      <c r="F834" s="6"/>
      <c r="G834" s="6"/>
      <c r="H834" s="7"/>
    </row>
    <row r="835" spans="1:8">
      <c r="A835" s="5"/>
      <c r="B835" s="6"/>
      <c r="C835" s="6"/>
      <c r="D835" s="6"/>
      <c r="E835" s="6"/>
      <c r="F835" s="6"/>
      <c r="G835" s="6"/>
      <c r="H835" s="7"/>
    </row>
    <row r="836" spans="1:8">
      <c r="A836" s="5"/>
      <c r="B836" s="6"/>
      <c r="C836" s="6"/>
      <c r="D836" s="6"/>
      <c r="E836" s="6"/>
      <c r="F836" s="6"/>
      <c r="G836" s="6"/>
      <c r="H836" s="7"/>
    </row>
    <row r="837" spans="1:8">
      <c r="A837" s="5"/>
      <c r="B837" s="6"/>
      <c r="C837" s="6"/>
      <c r="D837" s="6"/>
      <c r="E837" s="6"/>
      <c r="F837" s="6"/>
      <c r="G837" s="6"/>
      <c r="H837" s="7"/>
    </row>
    <row r="838" spans="1:8">
      <c r="A838" s="5"/>
      <c r="B838" s="6"/>
      <c r="C838" s="6"/>
      <c r="D838" s="6"/>
      <c r="E838" s="6"/>
      <c r="F838" s="6"/>
      <c r="G838" s="6"/>
      <c r="H838" s="7"/>
    </row>
    <row r="839" spans="1:8">
      <c r="A839" s="5"/>
      <c r="B839" s="6"/>
      <c r="C839" s="6"/>
      <c r="D839" s="6"/>
      <c r="E839" s="6"/>
      <c r="F839" s="6"/>
      <c r="G839" s="6"/>
      <c r="H839" s="7"/>
    </row>
    <row r="840" spans="1:8">
      <c r="A840" s="5"/>
      <c r="B840" s="6"/>
      <c r="C840" s="6"/>
      <c r="D840" s="6"/>
      <c r="E840" s="6"/>
      <c r="F840" s="6"/>
      <c r="G840" s="6"/>
      <c r="H840" s="7"/>
    </row>
    <row r="841" spans="1:8">
      <c r="A841" s="5"/>
      <c r="B841" s="6"/>
      <c r="C841" s="6"/>
      <c r="D841" s="6"/>
      <c r="E841" s="6"/>
      <c r="F841" s="6"/>
      <c r="G841" s="6"/>
      <c r="H841" s="7"/>
    </row>
    <row r="842" spans="1:8">
      <c r="A842" s="5"/>
      <c r="B842" s="6"/>
      <c r="C842" s="6"/>
      <c r="D842" s="6"/>
      <c r="E842" s="6"/>
      <c r="F842" s="6"/>
      <c r="G842" s="6"/>
      <c r="H842" s="7"/>
    </row>
    <row r="843" spans="1:8">
      <c r="A843" s="5"/>
      <c r="B843" s="6"/>
      <c r="C843" s="6"/>
      <c r="D843" s="6"/>
      <c r="E843" s="6"/>
      <c r="F843" s="6"/>
      <c r="G843" s="6"/>
      <c r="H843" s="7"/>
    </row>
    <row r="844" spans="1:8">
      <c r="A844" s="5"/>
      <c r="B844" s="6"/>
      <c r="C844" s="6"/>
      <c r="D844" s="6"/>
      <c r="E844" s="6"/>
      <c r="F844" s="6"/>
      <c r="G844" s="6"/>
      <c r="H844" s="7"/>
    </row>
    <row r="845" spans="1:8">
      <c r="A845" s="5"/>
      <c r="B845" s="6"/>
      <c r="C845" s="6"/>
      <c r="D845" s="6"/>
      <c r="E845" s="6"/>
      <c r="F845" s="6"/>
      <c r="G845" s="6"/>
      <c r="H845" s="7"/>
    </row>
    <row r="846" spans="1:8">
      <c r="A846" s="5"/>
      <c r="B846" s="6"/>
      <c r="C846" s="6"/>
      <c r="D846" s="6"/>
      <c r="E846" s="6"/>
      <c r="F846" s="6"/>
      <c r="G846" s="6"/>
      <c r="H846" s="7"/>
    </row>
    <row r="847" spans="1:8">
      <c r="A847" s="5"/>
      <c r="B847" s="6"/>
      <c r="C847" s="6"/>
      <c r="D847" s="6"/>
      <c r="E847" s="6"/>
      <c r="F847" s="6"/>
      <c r="G847" s="6"/>
      <c r="H847" s="7"/>
    </row>
    <row r="848" spans="1:8">
      <c r="A848" s="5"/>
      <c r="B848" s="6"/>
      <c r="C848" s="6"/>
      <c r="D848" s="6"/>
      <c r="E848" s="6"/>
      <c r="F848" s="6"/>
      <c r="G848" s="6"/>
      <c r="H848" s="7"/>
    </row>
    <row r="849" spans="1:8">
      <c r="A849" s="5"/>
      <c r="B849" s="6"/>
      <c r="C849" s="6"/>
      <c r="D849" s="6"/>
      <c r="E849" s="6"/>
      <c r="F849" s="6"/>
      <c r="G849" s="6"/>
      <c r="H849" s="7"/>
    </row>
    <row r="850" spans="1:8">
      <c r="A850" s="5"/>
      <c r="B850" s="6"/>
      <c r="C850" s="6"/>
      <c r="D850" s="6"/>
      <c r="E850" s="6"/>
      <c r="F850" s="6"/>
      <c r="G850" s="6"/>
      <c r="H850" s="7"/>
    </row>
    <row r="851" spans="1:8">
      <c r="A851" s="5"/>
      <c r="B851" s="6"/>
      <c r="C851" s="6"/>
      <c r="D851" s="6"/>
      <c r="E851" s="6"/>
      <c r="F851" s="6"/>
      <c r="G851" s="6"/>
      <c r="H851" s="7"/>
    </row>
    <row r="852" spans="1:8">
      <c r="A852" s="5"/>
      <c r="B852" s="6"/>
      <c r="C852" s="6"/>
      <c r="D852" s="6"/>
      <c r="E852" s="6"/>
      <c r="F852" s="6"/>
      <c r="G852" s="6"/>
      <c r="H852" s="7"/>
    </row>
    <row r="853" spans="1:8">
      <c r="A853" s="5"/>
      <c r="B853" s="6"/>
      <c r="C853" s="6"/>
      <c r="D853" s="6"/>
      <c r="E853" s="6"/>
      <c r="F853" s="6"/>
      <c r="G853" s="6"/>
      <c r="H853" s="7"/>
    </row>
    <row r="854" spans="1:8">
      <c r="A854" s="5"/>
      <c r="B854" s="6"/>
      <c r="C854" s="6"/>
      <c r="D854" s="6"/>
      <c r="E854" s="6"/>
      <c r="F854" s="6"/>
      <c r="G854" s="6"/>
      <c r="H854" s="7"/>
    </row>
    <row r="855" spans="1:8">
      <c r="A855" s="5"/>
      <c r="B855" s="6"/>
      <c r="C855" s="6"/>
      <c r="D855" s="6"/>
      <c r="E855" s="6"/>
      <c r="F855" s="6"/>
      <c r="G855" s="6"/>
      <c r="H855" s="7"/>
    </row>
    <row r="856" spans="1:8">
      <c r="A856" s="5"/>
      <c r="B856" s="6"/>
      <c r="C856" s="6"/>
      <c r="D856" s="6"/>
      <c r="E856" s="6"/>
      <c r="F856" s="6"/>
      <c r="G856" s="6"/>
      <c r="H856" s="7"/>
    </row>
    <row r="857" spans="1:8">
      <c r="A857" s="5"/>
      <c r="B857" s="6"/>
      <c r="C857" s="6"/>
      <c r="D857" s="6"/>
      <c r="E857" s="6"/>
      <c r="F857" s="6"/>
      <c r="G857" s="6"/>
      <c r="H857" s="7"/>
    </row>
    <row r="858" spans="1:8">
      <c r="A858" s="5"/>
      <c r="B858" s="6"/>
      <c r="C858" s="6"/>
      <c r="D858" s="6"/>
      <c r="E858" s="6"/>
      <c r="F858" s="6"/>
      <c r="G858" s="6"/>
      <c r="H858" s="7"/>
    </row>
    <row r="859" spans="1:8">
      <c r="A859" s="5"/>
      <c r="B859" s="6"/>
      <c r="C859" s="6"/>
      <c r="D859" s="6"/>
      <c r="E859" s="6"/>
      <c r="F859" s="6"/>
      <c r="G859" s="6"/>
      <c r="H859" s="7"/>
    </row>
    <row r="860" spans="1:8">
      <c r="A860" s="5"/>
      <c r="B860" s="6"/>
      <c r="C860" s="6"/>
      <c r="D860" s="6"/>
      <c r="E860" s="6"/>
      <c r="F860" s="6"/>
      <c r="G860" s="6"/>
      <c r="H860" s="7"/>
    </row>
    <row r="861" spans="1:8">
      <c r="A861" s="5"/>
      <c r="B861" s="6"/>
      <c r="C861" s="6"/>
      <c r="D861" s="6"/>
      <c r="E861" s="6"/>
      <c r="F861" s="6"/>
      <c r="G861" s="6"/>
      <c r="H861" s="7"/>
    </row>
    <row r="862" spans="1:8">
      <c r="A862" s="5"/>
      <c r="B862" s="6"/>
      <c r="C862" s="6"/>
      <c r="D862" s="6"/>
      <c r="E862" s="6"/>
      <c r="F862" s="6"/>
      <c r="G862" s="6"/>
      <c r="H862" s="7"/>
    </row>
    <row r="863" spans="1:8">
      <c r="A863" s="5"/>
      <c r="B863" s="6"/>
      <c r="C863" s="6"/>
      <c r="D863" s="6"/>
      <c r="E863" s="6"/>
      <c r="F863" s="6"/>
      <c r="G863" s="6"/>
      <c r="H863" s="7"/>
    </row>
    <row r="864" spans="1:8">
      <c r="A864" s="5"/>
      <c r="B864" s="6"/>
      <c r="C864" s="6"/>
      <c r="D864" s="6"/>
      <c r="E864" s="6"/>
      <c r="F864" s="6"/>
      <c r="G864" s="6"/>
      <c r="H864" s="7"/>
    </row>
    <row r="865" spans="1:8">
      <c r="A865" s="5"/>
      <c r="B865" s="6"/>
      <c r="C865" s="6"/>
      <c r="D865" s="6"/>
      <c r="E865" s="6"/>
      <c r="F865" s="6"/>
      <c r="G865" s="6"/>
      <c r="H865" s="7"/>
    </row>
    <row r="866" spans="1:8">
      <c r="A866" s="5"/>
      <c r="B866" s="6"/>
      <c r="C866" s="6"/>
      <c r="D866" s="6"/>
      <c r="E866" s="6"/>
      <c r="F866" s="6"/>
      <c r="G866" s="6"/>
      <c r="H866" s="7"/>
    </row>
    <row r="867" spans="1:8">
      <c r="A867" s="5"/>
      <c r="B867" s="6"/>
      <c r="C867" s="6"/>
      <c r="D867" s="6"/>
      <c r="E867" s="6"/>
      <c r="F867" s="6"/>
      <c r="G867" s="6"/>
      <c r="H867" s="7"/>
    </row>
    <row r="868" spans="1:8">
      <c r="A868" s="5"/>
      <c r="B868" s="6"/>
      <c r="C868" s="6"/>
      <c r="D868" s="6"/>
      <c r="E868" s="6"/>
      <c r="F868" s="6"/>
      <c r="G868" s="6"/>
      <c r="H868" s="7"/>
    </row>
    <row r="869" spans="1:8">
      <c r="A869" s="5"/>
      <c r="B869" s="6"/>
      <c r="C869" s="6"/>
      <c r="D869" s="6"/>
      <c r="E869" s="6"/>
      <c r="F869" s="6"/>
      <c r="G869" s="6"/>
      <c r="H869" s="7"/>
    </row>
    <row r="870" spans="1:8">
      <c r="A870" s="5"/>
      <c r="B870" s="6"/>
      <c r="C870" s="6"/>
      <c r="D870" s="6"/>
      <c r="E870" s="6"/>
      <c r="F870" s="6"/>
      <c r="G870" s="6"/>
      <c r="H870" s="7"/>
    </row>
    <row r="871" spans="1:8">
      <c r="A871" s="5"/>
      <c r="B871" s="6"/>
      <c r="C871" s="6"/>
      <c r="D871" s="6"/>
      <c r="E871" s="6"/>
      <c r="F871" s="6"/>
      <c r="G871" s="6"/>
      <c r="H871" s="7"/>
    </row>
    <row r="872" spans="1:8">
      <c r="A872" s="5"/>
      <c r="B872" s="6"/>
      <c r="C872" s="6"/>
      <c r="D872" s="6"/>
      <c r="E872" s="6"/>
      <c r="F872" s="6"/>
      <c r="G872" s="6"/>
      <c r="H872" s="7"/>
    </row>
    <row r="873" spans="1:8">
      <c r="A873" s="5"/>
      <c r="B873" s="6"/>
      <c r="C873" s="6"/>
      <c r="D873" s="6"/>
      <c r="E873" s="6"/>
      <c r="F873" s="6"/>
      <c r="G873" s="6"/>
      <c r="H873" s="7"/>
    </row>
    <row r="874" spans="1:8">
      <c r="A874" s="5"/>
      <c r="B874" s="6"/>
      <c r="C874" s="6"/>
      <c r="D874" s="6"/>
      <c r="E874" s="6"/>
      <c r="F874" s="6"/>
      <c r="G874" s="6"/>
      <c r="H874" s="7"/>
    </row>
    <row r="875" spans="1:8">
      <c r="A875" s="5"/>
      <c r="B875" s="6"/>
      <c r="C875" s="6"/>
      <c r="D875" s="6"/>
      <c r="E875" s="6"/>
      <c r="F875" s="6"/>
      <c r="G875" s="6"/>
      <c r="H875" s="7"/>
    </row>
    <row r="876" spans="1:8">
      <c r="A876" s="5"/>
      <c r="B876" s="6"/>
      <c r="C876" s="6"/>
      <c r="D876" s="6"/>
      <c r="E876" s="6"/>
      <c r="F876" s="6"/>
      <c r="G876" s="6"/>
      <c r="H876" s="7"/>
    </row>
    <row r="877" spans="1:8">
      <c r="A877" s="5"/>
      <c r="B877" s="6"/>
      <c r="C877" s="6"/>
      <c r="D877" s="6"/>
      <c r="E877" s="6"/>
      <c r="F877" s="6"/>
      <c r="G877" s="6"/>
      <c r="H877" s="7"/>
    </row>
    <row r="878" spans="1:8">
      <c r="A878" s="5"/>
      <c r="B878" s="6"/>
      <c r="C878" s="6"/>
      <c r="D878" s="6"/>
      <c r="E878" s="6"/>
      <c r="F878" s="6"/>
      <c r="G878" s="6"/>
      <c r="H878" s="7"/>
    </row>
    <row r="879" spans="1:8">
      <c r="A879" s="5"/>
      <c r="B879" s="6"/>
      <c r="C879" s="6"/>
      <c r="D879" s="6"/>
      <c r="E879" s="6"/>
      <c r="F879" s="6"/>
      <c r="G879" s="6"/>
      <c r="H879" s="7"/>
    </row>
    <row r="880" spans="1:8">
      <c r="A880" s="5"/>
      <c r="B880" s="6"/>
      <c r="C880" s="6"/>
      <c r="D880" s="6"/>
      <c r="E880" s="6"/>
      <c r="F880" s="6"/>
      <c r="G880" s="6"/>
      <c r="H880" s="7"/>
    </row>
    <row r="881" spans="1:8">
      <c r="A881" s="5"/>
      <c r="B881" s="6"/>
      <c r="C881" s="6"/>
      <c r="D881" s="6"/>
      <c r="E881" s="6"/>
      <c r="F881" s="6"/>
      <c r="G881" s="6"/>
      <c r="H881" s="7"/>
    </row>
    <row r="882" spans="1:8">
      <c r="A882" s="5"/>
      <c r="B882" s="6"/>
      <c r="C882" s="6"/>
      <c r="D882" s="6"/>
      <c r="E882" s="6"/>
      <c r="F882" s="6"/>
      <c r="G882" s="6"/>
      <c r="H882" s="7"/>
    </row>
    <row r="883" spans="1:8">
      <c r="A883" s="5"/>
      <c r="B883" s="6"/>
      <c r="C883" s="6"/>
      <c r="D883" s="6"/>
      <c r="E883" s="6"/>
      <c r="F883" s="6"/>
      <c r="G883" s="6"/>
      <c r="H883" s="7"/>
    </row>
    <row r="884" spans="1:8">
      <c r="A884" s="5"/>
      <c r="B884" s="6"/>
      <c r="C884" s="6"/>
      <c r="D884" s="6"/>
      <c r="E884" s="6"/>
      <c r="F884" s="6"/>
      <c r="G884" s="6"/>
      <c r="H884" s="7"/>
    </row>
    <row r="885" spans="1:8">
      <c r="A885" s="5"/>
      <c r="B885" s="6"/>
      <c r="C885" s="6"/>
      <c r="D885" s="6"/>
      <c r="E885" s="6"/>
      <c r="F885" s="6"/>
      <c r="G885" s="6"/>
      <c r="H885" s="7"/>
    </row>
    <row r="886" spans="1:8">
      <c r="A886" s="5"/>
      <c r="B886" s="6"/>
      <c r="C886" s="6"/>
      <c r="D886" s="6"/>
      <c r="E886" s="6"/>
      <c r="F886" s="6"/>
      <c r="G886" s="6"/>
      <c r="H886" s="7"/>
    </row>
    <row r="887" spans="1:8">
      <c r="A887" s="5"/>
      <c r="B887" s="6"/>
      <c r="C887" s="6"/>
      <c r="D887" s="6"/>
      <c r="E887" s="6"/>
      <c r="F887" s="6"/>
      <c r="G887" s="6"/>
      <c r="H887" s="7"/>
    </row>
    <row r="888" spans="1:8">
      <c r="A888" s="5"/>
      <c r="B888" s="6"/>
      <c r="C888" s="6"/>
      <c r="D888" s="6"/>
      <c r="E888" s="6"/>
      <c r="F888" s="6"/>
      <c r="G888" s="6"/>
      <c r="H888" s="7"/>
    </row>
    <row r="889" spans="1:8">
      <c r="A889" s="5"/>
      <c r="B889" s="6"/>
      <c r="C889" s="6"/>
      <c r="D889" s="6"/>
      <c r="E889" s="6"/>
      <c r="F889" s="6"/>
      <c r="G889" s="6"/>
      <c r="H889" s="7"/>
    </row>
    <row r="890" spans="1:8">
      <c r="A890" s="5"/>
      <c r="B890" s="6"/>
      <c r="C890" s="6"/>
      <c r="D890" s="6"/>
      <c r="E890" s="6"/>
      <c r="F890" s="6"/>
      <c r="G890" s="6"/>
      <c r="H890" s="7"/>
    </row>
    <row r="891" spans="1:8">
      <c r="A891" s="5"/>
      <c r="B891" s="6"/>
      <c r="C891" s="6"/>
      <c r="D891" s="6"/>
      <c r="E891" s="6"/>
      <c r="F891" s="6"/>
      <c r="G891" s="6"/>
      <c r="H891" s="7"/>
    </row>
    <row r="892" spans="1:8">
      <c r="A892" s="5"/>
      <c r="B892" s="6"/>
      <c r="C892" s="6"/>
      <c r="D892" s="6"/>
      <c r="E892" s="6"/>
      <c r="F892" s="6"/>
      <c r="G892" s="6"/>
      <c r="H892" s="7"/>
    </row>
    <row r="893" spans="1:8">
      <c r="A893" s="5"/>
      <c r="B893" s="6"/>
      <c r="C893" s="6"/>
      <c r="D893" s="6"/>
      <c r="E893" s="6"/>
      <c r="F893" s="6"/>
      <c r="G893" s="6"/>
      <c r="H893" s="7"/>
    </row>
    <row r="894" spans="1:8">
      <c r="A894" s="5"/>
      <c r="B894" s="6"/>
      <c r="C894" s="6"/>
      <c r="D894" s="6"/>
      <c r="E894" s="6"/>
      <c r="F894" s="6"/>
      <c r="G894" s="6"/>
      <c r="H894" s="7"/>
    </row>
    <row r="895" spans="1:8">
      <c r="A895" s="5"/>
      <c r="B895" s="6"/>
      <c r="C895" s="6"/>
      <c r="D895" s="6"/>
      <c r="E895" s="6"/>
      <c r="F895" s="6"/>
      <c r="G895" s="6"/>
      <c r="H895" s="7"/>
    </row>
    <row r="896" spans="1:8">
      <c r="A896" s="5"/>
      <c r="B896" s="6"/>
      <c r="C896" s="6"/>
      <c r="D896" s="6"/>
      <c r="E896" s="6"/>
      <c r="F896" s="6"/>
      <c r="G896" s="6"/>
      <c r="H896" s="7"/>
    </row>
    <row r="897" spans="1:8">
      <c r="A897" s="5"/>
      <c r="B897" s="6"/>
      <c r="C897" s="6"/>
      <c r="D897" s="6"/>
      <c r="E897" s="6"/>
      <c r="F897" s="6"/>
      <c r="G897" s="6"/>
      <c r="H897" s="7"/>
    </row>
    <row r="898" spans="1:8">
      <c r="A898" s="5"/>
      <c r="B898" s="6"/>
      <c r="C898" s="6"/>
      <c r="D898" s="6"/>
      <c r="E898" s="6"/>
      <c r="F898" s="6"/>
      <c r="G898" s="6"/>
      <c r="H898" s="7"/>
    </row>
    <row r="899" spans="1:8">
      <c r="A899" s="5"/>
      <c r="B899" s="6"/>
      <c r="C899" s="6"/>
      <c r="D899" s="6"/>
      <c r="E899" s="6"/>
      <c r="F899" s="6"/>
      <c r="G899" s="6"/>
      <c r="H899" s="7"/>
    </row>
    <row r="900" spans="1:8">
      <c r="A900" s="5"/>
      <c r="B900" s="6"/>
      <c r="C900" s="6"/>
      <c r="D900" s="6"/>
      <c r="E900" s="6"/>
      <c r="F900" s="6"/>
      <c r="G900" s="6"/>
      <c r="H900" s="7"/>
    </row>
    <row r="901" spans="1:8">
      <c r="A901" s="5"/>
      <c r="B901" s="6"/>
      <c r="C901" s="6"/>
      <c r="D901" s="6"/>
      <c r="E901" s="6"/>
      <c r="F901" s="6"/>
      <c r="G901" s="6"/>
      <c r="H901" s="7"/>
    </row>
    <row r="902" spans="1:8">
      <c r="A902" s="5"/>
      <c r="B902" s="6"/>
      <c r="C902" s="6"/>
      <c r="D902" s="6"/>
      <c r="E902" s="6"/>
      <c r="F902" s="6"/>
      <c r="G902" s="6"/>
      <c r="H902" s="7"/>
    </row>
    <row r="903" spans="1:8">
      <c r="A903" s="5"/>
      <c r="B903" s="6"/>
      <c r="C903" s="6"/>
      <c r="D903" s="6"/>
      <c r="E903" s="6"/>
      <c r="F903" s="6"/>
      <c r="G903" s="6"/>
      <c r="H903" s="7"/>
    </row>
    <row r="904" spans="1:8">
      <c r="A904" s="5"/>
      <c r="B904" s="6"/>
      <c r="C904" s="6"/>
      <c r="D904" s="6"/>
      <c r="E904" s="6"/>
      <c r="F904" s="6"/>
      <c r="G904" s="6"/>
      <c r="H904" s="7"/>
    </row>
    <row r="905" spans="1:8">
      <c r="A905" s="5"/>
      <c r="B905" s="6"/>
      <c r="C905" s="6"/>
      <c r="D905" s="6"/>
      <c r="E905" s="6"/>
      <c r="F905" s="6"/>
      <c r="G905" s="6"/>
      <c r="H905" s="7"/>
    </row>
    <row r="906" spans="1:8">
      <c r="A906" s="5"/>
      <c r="B906" s="6"/>
      <c r="C906" s="6"/>
      <c r="D906" s="6"/>
      <c r="E906" s="6"/>
      <c r="F906" s="6"/>
      <c r="G906" s="6"/>
      <c r="H906" s="7"/>
    </row>
    <row r="907" spans="1:8">
      <c r="A907" s="5"/>
      <c r="B907" s="6"/>
      <c r="C907" s="6"/>
      <c r="D907" s="6"/>
      <c r="E907" s="6"/>
      <c r="F907" s="6"/>
      <c r="G907" s="6"/>
      <c r="H907" s="7"/>
    </row>
    <row r="908" spans="1:8">
      <c r="A908" s="5"/>
      <c r="B908" s="6"/>
      <c r="C908" s="6"/>
      <c r="D908" s="6"/>
      <c r="E908" s="6"/>
      <c r="F908" s="6"/>
      <c r="G908" s="6"/>
      <c r="H908" s="7"/>
    </row>
    <row r="909" spans="1:8">
      <c r="A909" s="5"/>
      <c r="B909" s="6"/>
      <c r="C909" s="6"/>
      <c r="D909" s="6"/>
      <c r="E909" s="6"/>
      <c r="F909" s="6"/>
      <c r="G909" s="6"/>
      <c r="H909" s="7"/>
    </row>
    <row r="910" spans="1:8">
      <c r="A910" s="5"/>
      <c r="B910" s="6"/>
      <c r="C910" s="6"/>
      <c r="D910" s="6"/>
      <c r="E910" s="6"/>
      <c r="F910" s="6"/>
      <c r="G910" s="6"/>
      <c r="H910" s="7"/>
    </row>
    <row r="911" spans="1:8">
      <c r="A911" s="5"/>
      <c r="B911" s="6"/>
      <c r="C911" s="6"/>
      <c r="D911" s="6"/>
      <c r="E911" s="6"/>
      <c r="F911" s="6"/>
      <c r="G911" s="6"/>
      <c r="H911" s="7"/>
    </row>
    <row r="912" spans="1:8">
      <c r="A912" s="5"/>
      <c r="B912" s="6"/>
      <c r="C912" s="6"/>
      <c r="D912" s="6"/>
      <c r="E912" s="6"/>
      <c r="F912" s="6"/>
      <c r="G912" s="6"/>
      <c r="H912" s="7"/>
    </row>
    <row r="913" spans="1:8">
      <c r="A913" s="5"/>
      <c r="B913" s="6"/>
      <c r="C913" s="6"/>
      <c r="D913" s="6"/>
      <c r="E913" s="6"/>
      <c r="F913" s="6"/>
      <c r="G913" s="6"/>
      <c r="H913" s="7"/>
    </row>
    <row r="914" spans="1:8">
      <c r="A914" s="5"/>
      <c r="B914" s="6"/>
      <c r="C914" s="6"/>
      <c r="D914" s="6"/>
      <c r="E914" s="6"/>
      <c r="F914" s="6"/>
      <c r="G914" s="6"/>
      <c r="H914" s="7"/>
    </row>
    <row r="915" spans="1:8">
      <c r="A915" s="5"/>
      <c r="B915" s="6"/>
      <c r="C915" s="6"/>
      <c r="D915" s="6"/>
      <c r="E915" s="6"/>
      <c r="F915" s="6"/>
      <c r="G915" s="6"/>
      <c r="H915" s="7"/>
    </row>
    <row r="916" spans="1:8">
      <c r="A916" s="5"/>
      <c r="B916" s="6"/>
      <c r="C916" s="6"/>
      <c r="D916" s="6"/>
      <c r="E916" s="6"/>
      <c r="F916" s="6"/>
      <c r="G916" s="6"/>
      <c r="H916" s="7"/>
    </row>
    <row r="917" spans="1:8">
      <c r="A917" s="5"/>
      <c r="B917" s="6"/>
      <c r="C917" s="6"/>
      <c r="D917" s="6"/>
      <c r="E917" s="6"/>
      <c r="F917" s="6"/>
      <c r="G917" s="6"/>
      <c r="H917" s="7"/>
    </row>
    <row r="918" spans="1:8">
      <c r="A918" s="5"/>
      <c r="B918" s="6"/>
      <c r="C918" s="6"/>
      <c r="D918" s="6"/>
      <c r="E918" s="6"/>
      <c r="F918" s="6"/>
      <c r="G918" s="6"/>
      <c r="H918" s="7"/>
    </row>
    <row r="919" spans="1:8">
      <c r="A919" s="5"/>
      <c r="B919" s="6"/>
      <c r="C919" s="6"/>
      <c r="D919" s="6"/>
      <c r="E919" s="6"/>
      <c r="F919" s="6"/>
      <c r="G919" s="6"/>
      <c r="H919" s="7"/>
    </row>
    <row r="920" spans="1:8">
      <c r="A920" s="5"/>
      <c r="B920" s="6"/>
      <c r="C920" s="6"/>
      <c r="D920" s="6"/>
      <c r="E920" s="6"/>
      <c r="F920" s="6"/>
      <c r="G920" s="6"/>
      <c r="H920" s="7"/>
    </row>
    <row r="921" spans="1:8">
      <c r="A921" s="5"/>
      <c r="B921" s="6"/>
      <c r="C921" s="6"/>
      <c r="D921" s="6"/>
      <c r="E921" s="6"/>
      <c r="F921" s="6"/>
      <c r="G921" s="6"/>
      <c r="H921" s="7"/>
    </row>
    <row r="922" spans="1:8">
      <c r="A922" s="5"/>
      <c r="B922" s="6"/>
      <c r="C922" s="6"/>
      <c r="D922" s="6"/>
      <c r="E922" s="6"/>
      <c r="F922" s="6"/>
      <c r="G922" s="6"/>
      <c r="H922" s="7"/>
    </row>
    <row r="923" spans="1:8">
      <c r="A923" s="5"/>
      <c r="B923" s="6"/>
      <c r="C923" s="6"/>
      <c r="D923" s="6"/>
      <c r="E923" s="6"/>
      <c r="F923" s="6"/>
      <c r="G923" s="6"/>
      <c r="H923" s="7"/>
    </row>
    <row r="924" spans="1:8">
      <c r="A924" s="5"/>
      <c r="B924" s="6"/>
      <c r="C924" s="6"/>
      <c r="D924" s="6"/>
      <c r="E924" s="6"/>
      <c r="F924" s="6"/>
      <c r="G924" s="6"/>
      <c r="H924" s="7"/>
    </row>
    <row r="925" spans="1:8">
      <c r="A925" s="5"/>
      <c r="B925" s="6"/>
      <c r="C925" s="6"/>
      <c r="D925" s="6"/>
      <c r="E925" s="6"/>
      <c r="F925" s="6"/>
      <c r="G925" s="6"/>
      <c r="H925" s="7"/>
    </row>
    <row r="926" spans="1:8">
      <c r="A926" s="5"/>
      <c r="B926" s="6"/>
      <c r="C926" s="6"/>
      <c r="D926" s="6"/>
      <c r="E926" s="6"/>
      <c r="F926" s="6"/>
      <c r="G926" s="6"/>
      <c r="H926" s="7"/>
    </row>
    <row r="927" spans="1:8">
      <c r="A927" s="5"/>
      <c r="B927" s="6"/>
      <c r="C927" s="6"/>
      <c r="D927" s="6"/>
      <c r="E927" s="6"/>
      <c r="F927" s="6"/>
      <c r="G927" s="6"/>
      <c r="H927" s="7"/>
    </row>
    <row r="928" spans="1:8">
      <c r="A928" s="5"/>
      <c r="B928" s="6"/>
      <c r="C928" s="6"/>
      <c r="D928" s="6"/>
      <c r="E928" s="6"/>
      <c r="F928" s="6"/>
      <c r="G928" s="6"/>
      <c r="H928" s="7"/>
    </row>
    <row r="929" spans="1:8">
      <c r="A929" s="5"/>
      <c r="B929" s="6"/>
      <c r="C929" s="6"/>
      <c r="D929" s="6"/>
      <c r="E929" s="6"/>
      <c r="F929" s="6"/>
      <c r="G929" s="6"/>
      <c r="H929" s="7"/>
    </row>
    <row r="930" spans="1:8">
      <c r="A930" s="5"/>
      <c r="B930" s="6"/>
      <c r="C930" s="6"/>
      <c r="D930" s="6"/>
      <c r="E930" s="6"/>
      <c r="F930" s="6"/>
      <c r="G930" s="6"/>
      <c r="H930" s="7"/>
    </row>
    <row r="931" spans="1:8">
      <c r="A931" s="5"/>
      <c r="B931" s="6"/>
      <c r="C931" s="6"/>
      <c r="D931" s="6"/>
      <c r="E931" s="6"/>
      <c r="F931" s="6"/>
      <c r="G931" s="6"/>
      <c r="H931" s="7"/>
    </row>
    <row r="932" spans="1:8">
      <c r="A932" s="5"/>
      <c r="B932" s="6"/>
      <c r="C932" s="6"/>
      <c r="D932" s="6"/>
      <c r="E932" s="6"/>
      <c r="F932" s="6"/>
      <c r="G932" s="6"/>
      <c r="H932" s="7"/>
    </row>
    <row r="933" spans="1:8">
      <c r="A933" s="5"/>
      <c r="B933" s="6"/>
      <c r="C933" s="6"/>
      <c r="D933" s="6"/>
      <c r="E933" s="6"/>
      <c r="F933" s="6"/>
      <c r="G933" s="6"/>
      <c r="H933" s="7"/>
    </row>
    <row r="934" spans="1:8">
      <c r="A934" s="5"/>
      <c r="B934" s="6"/>
      <c r="C934" s="6"/>
      <c r="D934" s="6"/>
      <c r="E934" s="6"/>
      <c r="F934" s="6"/>
      <c r="G934" s="6"/>
      <c r="H934" s="7"/>
    </row>
    <row r="935" spans="1:8">
      <c r="A935" s="5"/>
      <c r="B935" s="6"/>
      <c r="C935" s="6"/>
      <c r="D935" s="6"/>
      <c r="E935" s="6"/>
      <c r="F935" s="6"/>
      <c r="G935" s="6"/>
      <c r="H935" s="7"/>
    </row>
    <row r="936" spans="1:8">
      <c r="A936" s="5"/>
      <c r="B936" s="6"/>
      <c r="C936" s="6"/>
      <c r="D936" s="6"/>
      <c r="E936" s="6"/>
      <c r="F936" s="6"/>
      <c r="G936" s="6"/>
      <c r="H936" s="7"/>
    </row>
    <row r="937" spans="1:8">
      <c r="A937" s="5"/>
      <c r="B937" s="6"/>
      <c r="C937" s="6"/>
      <c r="D937" s="6"/>
      <c r="E937" s="6"/>
      <c r="F937" s="6"/>
      <c r="G937" s="6"/>
      <c r="H937" s="7"/>
    </row>
    <row r="938" spans="1:8">
      <c r="A938" s="5"/>
      <c r="B938" s="6"/>
      <c r="C938" s="6"/>
      <c r="D938" s="6"/>
      <c r="E938" s="6"/>
      <c r="F938" s="6"/>
      <c r="G938" s="6"/>
      <c r="H938" s="7"/>
    </row>
    <row r="939" spans="1:8">
      <c r="A939" s="5"/>
      <c r="B939" s="6"/>
      <c r="C939" s="6"/>
      <c r="D939" s="6"/>
      <c r="E939" s="6"/>
      <c r="F939" s="6"/>
      <c r="G939" s="6"/>
      <c r="H939" s="7"/>
    </row>
    <row r="940" spans="1:8">
      <c r="A940" s="5"/>
      <c r="B940" s="6"/>
      <c r="C940" s="6"/>
      <c r="D940" s="6"/>
      <c r="E940" s="6"/>
      <c r="F940" s="6"/>
      <c r="G940" s="6"/>
      <c r="H940" s="7"/>
    </row>
    <row r="941" spans="1:8">
      <c r="A941" s="5"/>
      <c r="B941" s="6"/>
      <c r="C941" s="6"/>
      <c r="D941" s="6"/>
      <c r="E941" s="6"/>
      <c r="F941" s="6"/>
      <c r="G941" s="6"/>
      <c r="H941" s="7"/>
    </row>
    <row r="942" spans="1:8">
      <c r="A942" s="5"/>
      <c r="B942" s="6"/>
      <c r="C942" s="6"/>
      <c r="D942" s="6"/>
      <c r="E942" s="6"/>
      <c r="F942" s="6"/>
      <c r="G942" s="6"/>
      <c r="H942" s="7"/>
    </row>
    <row r="943" spans="1:8">
      <c r="A943" s="5"/>
      <c r="B943" s="6"/>
      <c r="C943" s="6"/>
      <c r="D943" s="6"/>
      <c r="E943" s="6"/>
      <c r="F943" s="6"/>
      <c r="G943" s="6"/>
      <c r="H943" s="7"/>
    </row>
    <row r="944" spans="1:8">
      <c r="A944" s="5"/>
      <c r="B944" s="6"/>
      <c r="C944" s="6"/>
      <c r="D944" s="6"/>
      <c r="E944" s="6"/>
      <c r="F944" s="6"/>
      <c r="G944" s="6"/>
      <c r="H944" s="7"/>
    </row>
    <row r="945" spans="1:8">
      <c r="A945" s="5"/>
      <c r="B945" s="6"/>
      <c r="C945" s="6"/>
      <c r="D945" s="6"/>
      <c r="E945" s="6"/>
      <c r="F945" s="6"/>
      <c r="G945" s="6"/>
      <c r="H945" s="7"/>
    </row>
    <row r="946" spans="1:8">
      <c r="A946" s="5"/>
      <c r="B946" s="6"/>
      <c r="C946" s="6"/>
      <c r="D946" s="6"/>
      <c r="E946" s="6"/>
      <c r="F946" s="6"/>
      <c r="G946" s="6"/>
      <c r="H946" s="7"/>
    </row>
    <row r="947" spans="1:8">
      <c r="A947" s="5"/>
      <c r="B947" s="6"/>
      <c r="C947" s="6"/>
      <c r="D947" s="6"/>
      <c r="E947" s="6"/>
      <c r="F947" s="6"/>
      <c r="G947" s="6"/>
      <c r="H947" s="7"/>
    </row>
    <row r="948" spans="1:8">
      <c r="A948" s="5"/>
      <c r="B948" s="6"/>
      <c r="C948" s="6"/>
      <c r="D948" s="6"/>
      <c r="E948" s="6"/>
      <c r="F948" s="6"/>
      <c r="G948" s="6"/>
      <c r="H948" s="7"/>
    </row>
    <row r="949" spans="1:8">
      <c r="A949" s="5"/>
      <c r="B949" s="6"/>
      <c r="C949" s="6"/>
      <c r="D949" s="6"/>
      <c r="E949" s="6"/>
      <c r="F949" s="6"/>
      <c r="G949" s="6"/>
      <c r="H949" s="7"/>
    </row>
    <row r="950" spans="1:8">
      <c r="A950" s="5"/>
      <c r="B950" s="6"/>
      <c r="C950" s="6"/>
      <c r="D950" s="6"/>
      <c r="E950" s="6"/>
      <c r="F950" s="6"/>
      <c r="G950" s="6"/>
      <c r="H950" s="7"/>
    </row>
    <row r="951" spans="1:8">
      <c r="A951" s="5"/>
      <c r="B951" s="6"/>
      <c r="C951" s="6"/>
      <c r="D951" s="6"/>
      <c r="E951" s="6"/>
      <c r="F951" s="6"/>
      <c r="G951" s="6"/>
      <c r="H951" s="7"/>
    </row>
    <row r="952" spans="1:8">
      <c r="A952" s="5"/>
      <c r="B952" s="6"/>
      <c r="C952" s="6"/>
      <c r="D952" s="6"/>
      <c r="E952" s="6"/>
      <c r="F952" s="6"/>
      <c r="G952" s="6"/>
      <c r="H952" s="7"/>
    </row>
    <row r="953" spans="1:8">
      <c r="A953" s="5"/>
      <c r="B953" s="6"/>
      <c r="C953" s="6"/>
      <c r="D953" s="6"/>
      <c r="E953" s="6"/>
      <c r="F953" s="6"/>
      <c r="G953" s="6"/>
      <c r="H953" s="7"/>
    </row>
    <row r="954" spans="1:8">
      <c r="A954" s="5"/>
      <c r="B954" s="6"/>
      <c r="C954" s="6"/>
      <c r="D954" s="6"/>
      <c r="E954" s="6"/>
      <c r="F954" s="6"/>
      <c r="G954" s="6"/>
      <c r="H954" s="7"/>
    </row>
    <row r="955" spans="1:8">
      <c r="A955" s="5"/>
      <c r="B955" s="6"/>
      <c r="C955" s="6"/>
      <c r="D955" s="6"/>
      <c r="E955" s="6"/>
      <c r="F955" s="6"/>
      <c r="G955" s="6"/>
      <c r="H955" s="7"/>
    </row>
    <row r="956" spans="1:8">
      <c r="A956" s="5"/>
      <c r="B956" s="6"/>
      <c r="C956" s="6"/>
      <c r="D956" s="6"/>
      <c r="E956" s="6"/>
      <c r="F956" s="6"/>
      <c r="G956" s="6"/>
      <c r="H956" s="7"/>
    </row>
    <row r="957" spans="1:8">
      <c r="A957" s="5"/>
      <c r="B957" s="6"/>
      <c r="C957" s="6"/>
      <c r="D957" s="6"/>
      <c r="E957" s="6"/>
      <c r="F957" s="6"/>
      <c r="G957" s="6"/>
      <c r="H957" s="7"/>
    </row>
    <row r="958" spans="1:8">
      <c r="A958" s="5"/>
      <c r="B958" s="6"/>
      <c r="C958" s="6"/>
      <c r="D958" s="6"/>
      <c r="E958" s="6"/>
      <c r="F958" s="6"/>
      <c r="G958" s="6"/>
      <c r="H958" s="7"/>
    </row>
    <row r="959" spans="1:8">
      <c r="A959" s="5"/>
      <c r="B959" s="6"/>
      <c r="C959" s="6"/>
      <c r="D959" s="6"/>
      <c r="E959" s="6"/>
      <c r="F959" s="6"/>
      <c r="G959" s="6"/>
      <c r="H959" s="7"/>
    </row>
    <row r="960" spans="1:8">
      <c r="A960" s="5"/>
      <c r="B960" s="6"/>
      <c r="C960" s="6"/>
      <c r="D960" s="6"/>
      <c r="E960" s="6"/>
      <c r="F960" s="6"/>
      <c r="G960" s="6"/>
      <c r="H960" s="7"/>
    </row>
    <row r="961" spans="1:8">
      <c r="A961" s="5"/>
      <c r="B961" s="6"/>
      <c r="C961" s="6"/>
      <c r="D961" s="6"/>
      <c r="E961" s="6"/>
      <c r="F961" s="6"/>
      <c r="G961" s="6"/>
      <c r="H961" s="7"/>
    </row>
    <row r="962" spans="1:8">
      <c r="A962" s="5"/>
      <c r="B962" s="6"/>
      <c r="C962" s="6"/>
      <c r="D962" s="6"/>
      <c r="E962" s="6"/>
      <c r="F962" s="6"/>
      <c r="G962" s="6"/>
      <c r="H962" s="7"/>
    </row>
    <row r="963" spans="1:8">
      <c r="A963" s="5"/>
      <c r="B963" s="6"/>
      <c r="C963" s="6"/>
      <c r="D963" s="6"/>
      <c r="E963" s="6"/>
      <c r="F963" s="6"/>
      <c r="G963" s="6"/>
      <c r="H963" s="7"/>
    </row>
    <row r="964" spans="1:8">
      <c r="A964" s="5"/>
      <c r="B964" s="6"/>
      <c r="C964" s="6"/>
      <c r="D964" s="6"/>
      <c r="E964" s="6"/>
      <c r="F964" s="6"/>
      <c r="G964" s="6"/>
      <c r="H964" s="7"/>
    </row>
    <row r="965" spans="1:8">
      <c r="A965" s="5"/>
      <c r="B965" s="6"/>
      <c r="C965" s="6"/>
      <c r="D965" s="6"/>
      <c r="E965" s="6"/>
      <c r="F965" s="6"/>
      <c r="G965" s="6"/>
      <c r="H965" s="7"/>
    </row>
    <row r="966" spans="1:8">
      <c r="A966" s="5"/>
      <c r="B966" s="6"/>
      <c r="C966" s="6"/>
      <c r="D966" s="6"/>
      <c r="E966" s="6"/>
      <c r="F966" s="6"/>
      <c r="G966" s="6"/>
      <c r="H966" s="7"/>
    </row>
    <row r="967" spans="1:8">
      <c r="A967" s="5"/>
      <c r="B967" s="6"/>
      <c r="C967" s="6"/>
      <c r="D967" s="6"/>
      <c r="E967" s="6"/>
      <c r="F967" s="6"/>
      <c r="G967" s="6"/>
      <c r="H967" s="7"/>
    </row>
    <row r="968" spans="1:8">
      <c r="A968" s="5"/>
      <c r="B968" s="6"/>
      <c r="C968" s="6"/>
      <c r="D968" s="6"/>
      <c r="E968" s="6"/>
      <c r="F968" s="6"/>
      <c r="G968" s="6"/>
      <c r="H968" s="7"/>
    </row>
    <row r="969" spans="1:8">
      <c r="A969" s="5"/>
      <c r="B969" s="6"/>
      <c r="C969" s="6"/>
      <c r="D969" s="6"/>
      <c r="E969" s="6"/>
      <c r="F969" s="6"/>
      <c r="G969" s="6"/>
      <c r="H969" s="7"/>
    </row>
    <row r="970" spans="1:8">
      <c r="A970" s="5"/>
      <c r="B970" s="6"/>
      <c r="C970" s="6"/>
      <c r="D970" s="6"/>
      <c r="E970" s="6"/>
      <c r="F970" s="6"/>
      <c r="G970" s="6"/>
      <c r="H970" s="7"/>
    </row>
    <row r="971" spans="1:8">
      <c r="A971" s="5"/>
      <c r="B971" s="6"/>
      <c r="C971" s="6"/>
      <c r="D971" s="6"/>
      <c r="E971" s="6"/>
      <c r="F971" s="6"/>
      <c r="G971" s="6"/>
      <c r="H971" s="7"/>
    </row>
    <row r="972" spans="1:8">
      <c r="A972" s="5"/>
      <c r="B972" s="6"/>
      <c r="C972" s="6"/>
      <c r="D972" s="6"/>
      <c r="E972" s="6"/>
      <c r="F972" s="6"/>
      <c r="G972" s="6"/>
      <c r="H972" s="7"/>
    </row>
    <row r="973" spans="1:8">
      <c r="A973" s="5"/>
      <c r="B973" s="6"/>
      <c r="C973" s="6"/>
      <c r="D973" s="6"/>
      <c r="E973" s="6"/>
      <c r="F973" s="6"/>
      <c r="G973" s="6"/>
      <c r="H973" s="7"/>
    </row>
    <row r="974" spans="1:8">
      <c r="A974" s="5"/>
      <c r="B974" s="6"/>
      <c r="C974" s="6"/>
      <c r="D974" s="6"/>
      <c r="E974" s="6"/>
      <c r="F974" s="6"/>
      <c r="G974" s="6"/>
      <c r="H974" s="7"/>
    </row>
    <row r="975" spans="1:8">
      <c r="A975" s="5"/>
      <c r="B975" s="6"/>
      <c r="C975" s="6"/>
      <c r="D975" s="6"/>
      <c r="E975" s="6"/>
      <c r="F975" s="6"/>
      <c r="G975" s="6"/>
      <c r="H975" s="7"/>
    </row>
    <row r="976" spans="1:8">
      <c r="A976" s="5"/>
      <c r="B976" s="6"/>
      <c r="C976" s="6"/>
      <c r="D976" s="6"/>
      <c r="E976" s="6"/>
      <c r="F976" s="6"/>
      <c r="G976" s="6"/>
      <c r="H976" s="7"/>
    </row>
    <row r="977" spans="1:8">
      <c r="A977" s="5"/>
      <c r="B977" s="6"/>
      <c r="C977" s="6"/>
      <c r="D977" s="6"/>
      <c r="E977" s="6"/>
      <c r="F977" s="6"/>
      <c r="G977" s="6"/>
      <c r="H977" s="7"/>
    </row>
    <row r="978" spans="1:8">
      <c r="A978" s="5"/>
      <c r="B978" s="6"/>
      <c r="C978" s="6"/>
      <c r="D978" s="6"/>
      <c r="E978" s="6"/>
      <c r="F978" s="6"/>
      <c r="G978" s="6"/>
      <c r="H978" s="7"/>
    </row>
    <row r="979" spans="1:8">
      <c r="A979" s="5"/>
      <c r="B979" s="6"/>
      <c r="C979" s="6"/>
      <c r="D979" s="6"/>
      <c r="E979" s="6"/>
      <c r="F979" s="6"/>
      <c r="G979" s="6"/>
      <c r="H979" s="7"/>
    </row>
    <row r="980" spans="1:8">
      <c r="A980" s="5"/>
      <c r="B980" s="6"/>
      <c r="C980" s="6"/>
      <c r="D980" s="6"/>
      <c r="E980" s="6"/>
      <c r="F980" s="6"/>
      <c r="G980" s="6"/>
      <c r="H980" s="7"/>
    </row>
    <row r="981" spans="1:8">
      <c r="A981" s="5"/>
      <c r="B981" s="6"/>
      <c r="C981" s="6"/>
      <c r="D981" s="6"/>
      <c r="E981" s="6"/>
      <c r="F981" s="6"/>
      <c r="G981" s="6"/>
      <c r="H981" s="7"/>
    </row>
    <row r="982" spans="1:8">
      <c r="A982" s="5"/>
      <c r="B982" s="6"/>
      <c r="C982" s="6"/>
      <c r="D982" s="6"/>
      <c r="E982" s="6"/>
      <c r="F982" s="6"/>
      <c r="G982" s="6"/>
      <c r="H982" s="7"/>
    </row>
    <row r="983" spans="1:8">
      <c r="A983" s="5"/>
      <c r="B983" s="6"/>
      <c r="C983" s="6"/>
      <c r="D983" s="6"/>
      <c r="E983" s="6"/>
      <c r="F983" s="6"/>
      <c r="G983" s="6"/>
      <c r="H983" s="7"/>
    </row>
    <row r="984" spans="1:8">
      <c r="A984" s="5"/>
      <c r="B984" s="6"/>
      <c r="C984" s="6"/>
      <c r="D984" s="6"/>
      <c r="E984" s="6"/>
      <c r="F984" s="6"/>
      <c r="G984" s="6"/>
      <c r="H984" s="7"/>
    </row>
    <row r="985" spans="1:8">
      <c r="A985" s="5"/>
      <c r="B985" s="6"/>
      <c r="C985" s="6"/>
      <c r="D985" s="6"/>
      <c r="E985" s="6"/>
      <c r="F985" s="6"/>
      <c r="G985" s="6"/>
      <c r="H985" s="7"/>
    </row>
    <row r="986" spans="1:8">
      <c r="A986" s="5"/>
      <c r="B986" s="6"/>
      <c r="C986" s="6"/>
      <c r="D986" s="6"/>
      <c r="E986" s="6"/>
      <c r="F986" s="6"/>
      <c r="G986" s="6"/>
      <c r="H986" s="7"/>
    </row>
    <row r="987" spans="1:8">
      <c r="A987" s="5"/>
      <c r="B987" s="6"/>
      <c r="C987" s="6"/>
      <c r="D987" s="6"/>
      <c r="E987" s="6"/>
      <c r="F987" s="6"/>
      <c r="G987" s="6"/>
      <c r="H987" s="7"/>
    </row>
    <row r="988" spans="1:8">
      <c r="A988" s="5"/>
      <c r="B988" s="6"/>
      <c r="C988" s="6"/>
      <c r="D988" s="6"/>
      <c r="E988" s="6"/>
      <c r="F988" s="6"/>
      <c r="G988" s="6"/>
      <c r="H988" s="7"/>
    </row>
    <row r="989" spans="1:8">
      <c r="A989" s="5"/>
      <c r="B989" s="6"/>
      <c r="C989" s="6"/>
      <c r="D989" s="6"/>
      <c r="E989" s="6"/>
      <c r="F989" s="6"/>
      <c r="G989" s="6"/>
      <c r="H989" s="7"/>
    </row>
    <row r="990" spans="1:8">
      <c r="A990" s="5"/>
      <c r="B990" s="6"/>
      <c r="C990" s="6"/>
      <c r="D990" s="6"/>
      <c r="E990" s="6"/>
      <c r="F990" s="6"/>
      <c r="G990" s="6"/>
      <c r="H990" s="7"/>
    </row>
    <row r="991" spans="1:8">
      <c r="A991" s="5"/>
      <c r="B991" s="6"/>
      <c r="C991" s="6"/>
      <c r="D991" s="6"/>
      <c r="E991" s="6"/>
      <c r="F991" s="6"/>
      <c r="G991" s="6"/>
      <c r="H991" s="7"/>
    </row>
    <row r="992" spans="1:8">
      <c r="A992" s="5"/>
      <c r="B992" s="6"/>
      <c r="C992" s="6"/>
      <c r="D992" s="6"/>
      <c r="E992" s="6"/>
      <c r="F992" s="6"/>
      <c r="G992" s="6"/>
      <c r="H992" s="7"/>
    </row>
    <row r="993" spans="1:8">
      <c r="A993" s="5"/>
      <c r="B993" s="6"/>
      <c r="C993" s="6"/>
      <c r="D993" s="6"/>
      <c r="E993" s="6"/>
      <c r="F993" s="6"/>
      <c r="G993" s="6"/>
      <c r="H993" s="7"/>
    </row>
    <row r="994" spans="1:8">
      <c r="A994" s="5"/>
      <c r="B994" s="6"/>
      <c r="C994" s="6"/>
      <c r="D994" s="6"/>
      <c r="E994" s="6"/>
      <c r="F994" s="6"/>
      <c r="G994" s="6"/>
      <c r="H994" s="7"/>
    </row>
    <row r="995" spans="1:8">
      <c r="A995" s="5"/>
      <c r="B995" s="6"/>
      <c r="C995" s="6"/>
      <c r="D995" s="6"/>
      <c r="E995" s="6"/>
      <c r="F995" s="6"/>
      <c r="G995" s="6"/>
      <c r="H995" s="7"/>
    </row>
    <row r="996" spans="1:8">
      <c r="A996" s="5"/>
      <c r="B996" s="6"/>
      <c r="C996" s="6"/>
      <c r="D996" s="6"/>
      <c r="E996" s="6"/>
      <c r="F996" s="6"/>
      <c r="G996" s="6"/>
      <c r="H996" s="7"/>
    </row>
    <row r="997" spans="1:8">
      <c r="A997" s="5"/>
      <c r="B997" s="6"/>
      <c r="C997" s="6"/>
      <c r="D997" s="6"/>
      <c r="E997" s="6"/>
      <c r="F997" s="6"/>
      <c r="G997" s="6"/>
      <c r="H997" s="7"/>
    </row>
    <row r="998" spans="1:8">
      <c r="A998" s="5"/>
      <c r="B998" s="6"/>
      <c r="C998" s="6"/>
      <c r="D998" s="6"/>
      <c r="E998" s="6"/>
      <c r="F998" s="6"/>
      <c r="G998" s="6"/>
      <c r="H998" s="7"/>
    </row>
    <row r="999" spans="1:8">
      <c r="A999" s="5"/>
      <c r="B999" s="6"/>
      <c r="C999" s="6"/>
      <c r="D999" s="6"/>
      <c r="E999" s="6"/>
      <c r="F999" s="6"/>
      <c r="G999" s="6"/>
      <c r="H999" s="7"/>
    </row>
    <row r="1000" spans="1:8">
      <c r="A1000" s="8"/>
      <c r="B1000" s="9"/>
      <c r="C1000" s="9"/>
      <c r="D1000" s="9"/>
      <c r="E1000" s="9"/>
      <c r="F1000" s="9"/>
      <c r="G1000" s="9"/>
      <c r="H1000" s="10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0"/>
  <sheetViews>
    <sheetView workbookViewId="0">
      <selection sqref="A1:H1"/>
    </sheetView>
  </sheetViews>
  <sheetFormatPr baseColWidth="10" defaultColWidth="8.6640625" defaultRowHeight="14"/>
  <cols>
    <col min="1" max="1" width="22" customWidth="1"/>
    <col min="2" max="2" width="18" customWidth="1"/>
    <col min="3" max="4" width="16" customWidth="1"/>
    <col min="5" max="5" width="20" customWidth="1"/>
    <col min="6" max="6" width="14" customWidth="1"/>
    <col min="7" max="7" width="40" customWidth="1"/>
  </cols>
  <sheetData>
    <row r="1" spans="1:8" ht="0.75" customHeight="1">
      <c r="A1" s="88" t="s">
        <v>120</v>
      </c>
      <c r="B1" s="89"/>
      <c r="C1" s="89"/>
      <c r="D1" s="89"/>
      <c r="E1" s="93"/>
      <c r="F1" s="89"/>
      <c r="G1" s="89"/>
      <c r="H1" s="89"/>
    </row>
    <row r="2" spans="1:8" ht="0.9" customHeight="1">
      <c r="A2" s="90" t="s">
        <v>121</v>
      </c>
      <c r="B2" s="89"/>
      <c r="C2" s="89"/>
      <c r="D2" s="89"/>
      <c r="E2" s="89"/>
      <c r="F2" s="89"/>
      <c r="G2" s="89"/>
      <c r="H2" s="89"/>
    </row>
    <row r="4" spans="1:8" ht="0.9" customHeight="1">
      <c r="A4" s="1" t="s">
        <v>36</v>
      </c>
      <c r="B4" s="1" t="s">
        <v>37</v>
      </c>
      <c r="C4" s="1" t="s">
        <v>38</v>
      </c>
      <c r="D4" s="1" t="s">
        <v>122</v>
      </c>
      <c r="E4" s="1" t="s">
        <v>123</v>
      </c>
      <c r="F4" s="1" t="s">
        <v>44</v>
      </c>
      <c r="G4" s="1" t="s">
        <v>103</v>
      </c>
    </row>
    <row r="5" spans="1:8">
      <c r="A5" s="2" t="s">
        <v>32</v>
      </c>
      <c r="B5" s="3" t="s">
        <v>45</v>
      </c>
      <c r="C5" s="3" t="s">
        <v>46</v>
      </c>
      <c r="D5" s="3" t="s">
        <v>48</v>
      </c>
      <c r="E5" s="3">
        <v>1</v>
      </c>
      <c r="F5" s="3">
        <v>1</v>
      </c>
      <c r="G5" s="4"/>
    </row>
    <row r="6" spans="1:8">
      <c r="A6" s="5" t="s">
        <v>32</v>
      </c>
      <c r="B6" s="6" t="s">
        <v>45</v>
      </c>
      <c r="C6" s="6" t="s">
        <v>46</v>
      </c>
      <c r="D6" s="6" t="s">
        <v>54</v>
      </c>
      <c r="E6" s="6">
        <v>1</v>
      </c>
      <c r="F6" s="6">
        <v>1</v>
      </c>
      <c r="G6" s="7"/>
    </row>
    <row r="7" spans="1:8">
      <c r="A7" s="5" t="s">
        <v>32</v>
      </c>
      <c r="B7" s="6" t="s">
        <v>45</v>
      </c>
      <c r="C7" s="6" t="s">
        <v>46</v>
      </c>
      <c r="D7" s="6" t="s">
        <v>57</v>
      </c>
      <c r="E7" s="6">
        <v>1</v>
      </c>
      <c r="F7" s="6">
        <v>1</v>
      </c>
      <c r="G7" s="7"/>
    </row>
    <row r="8" spans="1:8">
      <c r="A8" s="5" t="s">
        <v>32</v>
      </c>
      <c r="B8" s="6" t="s">
        <v>45</v>
      </c>
      <c r="C8" s="6" t="s">
        <v>46</v>
      </c>
      <c r="D8" s="6" t="s">
        <v>59</v>
      </c>
      <c r="E8" s="6">
        <v>1</v>
      </c>
      <c r="F8" s="6">
        <v>1</v>
      </c>
      <c r="G8" s="7"/>
    </row>
    <row r="9" spans="1:8">
      <c r="A9" s="5" t="s">
        <v>32</v>
      </c>
      <c r="B9" s="6" t="s">
        <v>45</v>
      </c>
      <c r="C9" s="6" t="s">
        <v>46</v>
      </c>
      <c r="D9" s="6" t="s">
        <v>61</v>
      </c>
      <c r="E9" s="6">
        <v>1</v>
      </c>
      <c r="F9" s="6">
        <v>1</v>
      </c>
      <c r="G9" s="7"/>
    </row>
    <row r="10" spans="1:8">
      <c r="A10" s="5" t="s">
        <v>32</v>
      </c>
      <c r="B10" s="6" t="s">
        <v>45</v>
      </c>
      <c r="C10" s="6" t="s">
        <v>46</v>
      </c>
      <c r="D10" s="6" t="s">
        <v>63</v>
      </c>
      <c r="E10" s="6">
        <v>1</v>
      </c>
      <c r="F10" s="6">
        <v>1</v>
      </c>
      <c r="G10" s="7"/>
    </row>
    <row r="11" spans="1:8">
      <c r="A11" s="5" t="s">
        <v>32</v>
      </c>
      <c r="B11" s="6" t="s">
        <v>45</v>
      </c>
      <c r="C11" s="6" t="s">
        <v>46</v>
      </c>
      <c r="D11" s="6" t="s">
        <v>28</v>
      </c>
      <c r="E11" s="6">
        <v>0.2</v>
      </c>
      <c r="F11" s="6">
        <v>1</v>
      </c>
      <c r="G11" s="7"/>
    </row>
    <row r="12" spans="1:8">
      <c r="A12" s="5" t="s">
        <v>32</v>
      </c>
      <c r="B12" s="6" t="s">
        <v>51</v>
      </c>
      <c r="C12" s="6" t="s">
        <v>46</v>
      </c>
      <c r="D12" s="6" t="s">
        <v>48</v>
      </c>
      <c r="E12" s="6">
        <v>1</v>
      </c>
      <c r="F12" s="6">
        <v>1</v>
      </c>
      <c r="G12" s="7"/>
    </row>
    <row r="13" spans="1:8">
      <c r="A13" s="5" t="s">
        <v>32</v>
      </c>
      <c r="B13" s="6" t="s">
        <v>51</v>
      </c>
      <c r="C13" s="6" t="s">
        <v>46</v>
      </c>
      <c r="D13" s="6" t="s">
        <v>54</v>
      </c>
      <c r="E13" s="6">
        <v>1</v>
      </c>
      <c r="F13" s="6">
        <v>1</v>
      </c>
      <c r="G13" s="7"/>
    </row>
    <row r="14" spans="1:8">
      <c r="A14" s="5" t="s">
        <v>32</v>
      </c>
      <c r="B14" s="6" t="s">
        <v>51</v>
      </c>
      <c r="C14" s="6" t="s">
        <v>46</v>
      </c>
      <c r="D14" s="6" t="s">
        <v>57</v>
      </c>
      <c r="E14" s="6">
        <v>1</v>
      </c>
      <c r="F14" s="6">
        <v>1</v>
      </c>
      <c r="G14" s="7"/>
    </row>
    <row r="15" spans="1:8">
      <c r="A15" s="5" t="s">
        <v>32</v>
      </c>
      <c r="B15" s="6" t="s">
        <v>51</v>
      </c>
      <c r="C15" s="6" t="s">
        <v>46</v>
      </c>
      <c r="D15" s="6" t="s">
        <v>59</v>
      </c>
      <c r="E15" s="6">
        <v>1</v>
      </c>
      <c r="F15" s="6">
        <v>1</v>
      </c>
      <c r="G15" s="7"/>
    </row>
    <row r="16" spans="1:8">
      <c r="A16" s="5" t="s">
        <v>32</v>
      </c>
      <c r="B16" s="6" t="s">
        <v>51</v>
      </c>
      <c r="C16" s="6" t="s">
        <v>46</v>
      </c>
      <c r="D16" s="6" t="s">
        <v>61</v>
      </c>
      <c r="E16" s="6">
        <v>0.7</v>
      </c>
      <c r="F16" s="6">
        <v>1</v>
      </c>
      <c r="G16" s="7"/>
    </row>
    <row r="17" spans="1:7">
      <c r="A17" s="5" t="s">
        <v>32</v>
      </c>
      <c r="B17" s="6" t="s">
        <v>51</v>
      </c>
      <c r="C17" s="6" t="s">
        <v>46</v>
      </c>
      <c r="D17" s="6" t="s">
        <v>63</v>
      </c>
      <c r="E17" s="6">
        <v>0.7</v>
      </c>
      <c r="F17" s="6">
        <v>1</v>
      </c>
      <c r="G17" s="7"/>
    </row>
    <row r="18" spans="1:7">
      <c r="A18" s="5" t="s">
        <v>32</v>
      </c>
      <c r="B18" s="6" t="s">
        <v>51</v>
      </c>
      <c r="C18" s="6" t="s">
        <v>46</v>
      </c>
      <c r="D18" s="6" t="s">
        <v>65</v>
      </c>
      <c r="E18" s="6">
        <v>0.5</v>
      </c>
      <c r="F18" s="6">
        <v>1</v>
      </c>
      <c r="G18" s="7"/>
    </row>
    <row r="19" spans="1:7">
      <c r="A19" s="5" t="s">
        <v>32</v>
      </c>
      <c r="B19" s="6" t="s">
        <v>51</v>
      </c>
      <c r="C19" s="6" t="s">
        <v>46</v>
      </c>
      <c r="D19" s="6" t="s">
        <v>67</v>
      </c>
      <c r="E19" s="6">
        <v>0.5</v>
      </c>
      <c r="F19" s="6">
        <v>1</v>
      </c>
      <c r="G19" s="7"/>
    </row>
    <row r="20" spans="1:7">
      <c r="A20" s="5" t="s">
        <v>32</v>
      </c>
      <c r="B20" s="6" t="s">
        <v>51</v>
      </c>
      <c r="C20" s="6" t="s">
        <v>46</v>
      </c>
      <c r="D20" s="6" t="s">
        <v>28</v>
      </c>
      <c r="E20" s="6">
        <v>0.2</v>
      </c>
      <c r="F20" s="6">
        <v>1</v>
      </c>
      <c r="G20" s="7"/>
    </row>
    <row r="21" spans="1:7">
      <c r="A21" s="5"/>
      <c r="B21" s="6"/>
      <c r="C21" s="6"/>
      <c r="D21" s="6"/>
      <c r="E21" s="6"/>
      <c r="F21" s="6"/>
      <c r="G21" s="7"/>
    </row>
    <row r="22" spans="1:7">
      <c r="A22" s="5"/>
      <c r="B22" s="6"/>
      <c r="C22" s="6"/>
      <c r="D22" s="6"/>
      <c r="E22" s="6"/>
      <c r="F22" s="6"/>
      <c r="G22" s="7"/>
    </row>
    <row r="23" spans="1:7">
      <c r="A23" s="5"/>
      <c r="B23" s="6"/>
      <c r="C23" s="6"/>
      <c r="D23" s="6"/>
      <c r="E23" s="6"/>
      <c r="F23" s="6"/>
      <c r="G23" s="7"/>
    </row>
    <row r="24" spans="1:7">
      <c r="A24" s="5"/>
      <c r="B24" s="6"/>
      <c r="C24" s="6"/>
      <c r="D24" s="6"/>
      <c r="E24" s="6"/>
      <c r="F24" s="6"/>
      <c r="G24" s="7"/>
    </row>
    <row r="25" spans="1:7">
      <c r="A25" s="5"/>
      <c r="B25" s="6"/>
      <c r="C25" s="6"/>
      <c r="D25" s="6"/>
      <c r="E25" s="6"/>
      <c r="F25" s="6"/>
      <c r="G25" s="7"/>
    </row>
    <row r="26" spans="1:7">
      <c r="A26" s="5"/>
      <c r="B26" s="6"/>
      <c r="C26" s="6"/>
      <c r="D26" s="6"/>
      <c r="E26" s="6"/>
      <c r="F26" s="6"/>
      <c r="G26" s="7"/>
    </row>
    <row r="27" spans="1:7">
      <c r="A27" s="5"/>
      <c r="B27" s="6"/>
      <c r="C27" s="6"/>
      <c r="D27" s="6"/>
      <c r="E27" s="6"/>
      <c r="F27" s="6"/>
      <c r="G27" s="7"/>
    </row>
    <row r="28" spans="1:7">
      <c r="A28" s="5"/>
      <c r="B28" s="6"/>
      <c r="C28" s="6"/>
      <c r="D28" s="6"/>
      <c r="E28" s="6"/>
      <c r="F28" s="6"/>
      <c r="G28" s="7"/>
    </row>
    <row r="29" spans="1:7">
      <c r="A29" s="5"/>
      <c r="B29" s="6"/>
      <c r="C29" s="6"/>
      <c r="D29" s="6"/>
      <c r="E29" s="6"/>
      <c r="F29" s="6"/>
      <c r="G29" s="7"/>
    </row>
    <row r="30" spans="1:7">
      <c r="A30" s="5"/>
      <c r="B30" s="6"/>
      <c r="C30" s="6"/>
      <c r="D30" s="6"/>
      <c r="E30" s="6"/>
      <c r="F30" s="6"/>
      <c r="G30" s="7"/>
    </row>
    <row r="31" spans="1:7">
      <c r="A31" s="5"/>
      <c r="B31" s="6"/>
      <c r="C31" s="6"/>
      <c r="D31" s="6"/>
      <c r="E31" s="6"/>
      <c r="F31" s="6"/>
      <c r="G31" s="7"/>
    </row>
    <row r="32" spans="1:7">
      <c r="A32" s="5"/>
      <c r="B32" s="6"/>
      <c r="C32" s="6"/>
      <c r="D32" s="6"/>
      <c r="E32" s="6"/>
      <c r="F32" s="6"/>
      <c r="G32" s="7"/>
    </row>
    <row r="33" spans="1:7">
      <c r="A33" s="5"/>
      <c r="B33" s="6"/>
      <c r="C33" s="6"/>
      <c r="D33" s="6"/>
      <c r="E33" s="6"/>
      <c r="F33" s="6"/>
      <c r="G33" s="7"/>
    </row>
    <row r="34" spans="1:7">
      <c r="A34" s="5"/>
      <c r="B34" s="6"/>
      <c r="C34" s="6"/>
      <c r="D34" s="6"/>
      <c r="E34" s="6"/>
      <c r="F34" s="6"/>
      <c r="G34" s="7"/>
    </row>
    <row r="35" spans="1:7">
      <c r="A35" s="5"/>
      <c r="B35" s="6"/>
      <c r="C35" s="6"/>
      <c r="D35" s="6"/>
      <c r="E35" s="6"/>
      <c r="F35" s="6"/>
      <c r="G35" s="7"/>
    </row>
    <row r="36" spans="1:7">
      <c r="A36" s="5"/>
      <c r="B36" s="6"/>
      <c r="C36" s="6"/>
      <c r="D36" s="6"/>
      <c r="E36" s="6"/>
      <c r="F36" s="6"/>
      <c r="G36" s="7"/>
    </row>
    <row r="37" spans="1:7">
      <c r="A37" s="5"/>
      <c r="B37" s="6"/>
      <c r="C37" s="6"/>
      <c r="D37" s="6"/>
      <c r="E37" s="6"/>
      <c r="F37" s="6"/>
      <c r="G37" s="7"/>
    </row>
    <row r="38" spans="1:7">
      <c r="A38" s="5"/>
      <c r="B38" s="6"/>
      <c r="C38" s="6"/>
      <c r="D38" s="6"/>
      <c r="E38" s="6"/>
      <c r="F38" s="6"/>
      <c r="G38" s="7"/>
    </row>
    <row r="39" spans="1:7">
      <c r="A39" s="5"/>
      <c r="B39" s="6"/>
      <c r="C39" s="6"/>
      <c r="D39" s="6"/>
      <c r="E39" s="6"/>
      <c r="F39" s="6"/>
      <c r="G39" s="7"/>
    </row>
    <row r="40" spans="1:7">
      <c r="A40" s="5"/>
      <c r="B40" s="6"/>
      <c r="C40" s="6"/>
      <c r="D40" s="6"/>
      <c r="E40" s="6"/>
      <c r="F40" s="6"/>
      <c r="G40" s="7"/>
    </row>
    <row r="41" spans="1:7">
      <c r="A41" s="5"/>
      <c r="B41" s="6"/>
      <c r="C41" s="6"/>
      <c r="D41" s="6"/>
      <c r="E41" s="6"/>
      <c r="F41" s="6"/>
      <c r="G41" s="7"/>
    </row>
    <row r="42" spans="1:7">
      <c r="A42" s="5"/>
      <c r="B42" s="6"/>
      <c r="C42" s="6"/>
      <c r="D42" s="6"/>
      <c r="E42" s="6"/>
      <c r="F42" s="6"/>
      <c r="G42" s="7"/>
    </row>
    <row r="43" spans="1:7">
      <c r="A43" s="5"/>
      <c r="B43" s="6"/>
      <c r="C43" s="6"/>
      <c r="D43" s="6"/>
      <c r="E43" s="6"/>
      <c r="F43" s="6"/>
      <c r="G43" s="7"/>
    </row>
    <row r="44" spans="1:7">
      <c r="A44" s="5"/>
      <c r="B44" s="6"/>
      <c r="C44" s="6"/>
      <c r="D44" s="6"/>
      <c r="E44" s="6"/>
      <c r="F44" s="6"/>
      <c r="G44" s="7"/>
    </row>
    <row r="45" spans="1:7">
      <c r="A45" s="5"/>
      <c r="B45" s="6"/>
      <c r="C45" s="6"/>
      <c r="D45" s="6"/>
      <c r="E45" s="6"/>
      <c r="F45" s="6"/>
      <c r="G45" s="7"/>
    </row>
    <row r="46" spans="1:7">
      <c r="A46" s="5"/>
      <c r="B46" s="6"/>
      <c r="C46" s="6"/>
      <c r="D46" s="6"/>
      <c r="E46" s="6"/>
      <c r="F46" s="6"/>
      <c r="G46" s="7"/>
    </row>
    <row r="47" spans="1:7">
      <c r="A47" s="5"/>
      <c r="B47" s="6"/>
      <c r="C47" s="6"/>
      <c r="D47" s="6"/>
      <c r="E47" s="6"/>
      <c r="F47" s="6"/>
      <c r="G47" s="7"/>
    </row>
    <row r="48" spans="1:7">
      <c r="A48" s="5"/>
      <c r="B48" s="6"/>
      <c r="C48" s="6"/>
      <c r="D48" s="6"/>
      <c r="E48" s="6"/>
      <c r="F48" s="6"/>
      <c r="G48" s="7"/>
    </row>
    <row r="49" spans="1:7">
      <c r="A49" s="5"/>
      <c r="B49" s="6"/>
      <c r="C49" s="6"/>
      <c r="D49" s="6"/>
      <c r="E49" s="6"/>
      <c r="F49" s="6"/>
      <c r="G49" s="7"/>
    </row>
    <row r="50" spans="1:7">
      <c r="A50" s="5"/>
      <c r="B50" s="6"/>
      <c r="C50" s="6"/>
      <c r="D50" s="6"/>
      <c r="E50" s="6"/>
      <c r="F50" s="6"/>
      <c r="G50" s="7"/>
    </row>
    <row r="51" spans="1:7">
      <c r="A51" s="5"/>
      <c r="B51" s="6"/>
      <c r="C51" s="6"/>
      <c r="D51" s="6"/>
      <c r="E51" s="6"/>
      <c r="F51" s="6"/>
      <c r="G51" s="7"/>
    </row>
    <row r="52" spans="1:7">
      <c r="A52" s="5"/>
      <c r="B52" s="6"/>
      <c r="C52" s="6"/>
      <c r="D52" s="6"/>
      <c r="E52" s="6"/>
      <c r="F52" s="6"/>
      <c r="G52" s="7"/>
    </row>
    <row r="53" spans="1:7">
      <c r="A53" s="5"/>
      <c r="B53" s="6"/>
      <c r="C53" s="6"/>
      <c r="D53" s="6"/>
      <c r="E53" s="6"/>
      <c r="F53" s="6"/>
      <c r="G53" s="7"/>
    </row>
    <row r="54" spans="1:7">
      <c r="A54" s="5"/>
      <c r="B54" s="6"/>
      <c r="C54" s="6"/>
      <c r="D54" s="6"/>
      <c r="E54" s="6"/>
      <c r="F54" s="6"/>
      <c r="G54" s="7"/>
    </row>
    <row r="55" spans="1:7">
      <c r="A55" s="5"/>
      <c r="B55" s="6"/>
      <c r="C55" s="6"/>
      <c r="D55" s="6"/>
      <c r="E55" s="6"/>
      <c r="F55" s="6"/>
      <c r="G55" s="7"/>
    </row>
    <row r="56" spans="1:7">
      <c r="A56" s="5"/>
      <c r="B56" s="6"/>
      <c r="C56" s="6"/>
      <c r="D56" s="6"/>
      <c r="E56" s="6"/>
      <c r="F56" s="6"/>
      <c r="G56" s="7"/>
    </row>
    <row r="57" spans="1:7">
      <c r="A57" s="5"/>
      <c r="B57" s="6"/>
      <c r="C57" s="6"/>
      <c r="D57" s="6"/>
      <c r="E57" s="6"/>
      <c r="F57" s="6"/>
      <c r="G57" s="7"/>
    </row>
    <row r="58" spans="1:7">
      <c r="A58" s="5"/>
      <c r="B58" s="6"/>
      <c r="C58" s="6"/>
      <c r="D58" s="6"/>
      <c r="E58" s="6"/>
      <c r="F58" s="6"/>
      <c r="G58" s="7"/>
    </row>
    <row r="59" spans="1:7">
      <c r="A59" s="5"/>
      <c r="B59" s="6"/>
      <c r="C59" s="6"/>
      <c r="D59" s="6"/>
      <c r="E59" s="6"/>
      <c r="F59" s="6"/>
      <c r="G59" s="7"/>
    </row>
    <row r="60" spans="1:7">
      <c r="A60" s="5"/>
      <c r="B60" s="6"/>
      <c r="C60" s="6"/>
      <c r="D60" s="6"/>
      <c r="E60" s="6"/>
      <c r="F60" s="6"/>
      <c r="G60" s="7"/>
    </row>
    <row r="61" spans="1:7">
      <c r="A61" s="5"/>
      <c r="B61" s="6"/>
      <c r="C61" s="6"/>
      <c r="D61" s="6"/>
      <c r="E61" s="6"/>
      <c r="F61" s="6"/>
      <c r="G61" s="7"/>
    </row>
    <row r="62" spans="1:7">
      <c r="A62" s="5"/>
      <c r="B62" s="6"/>
      <c r="C62" s="6"/>
      <c r="D62" s="6"/>
      <c r="E62" s="6"/>
      <c r="F62" s="6"/>
      <c r="G62" s="7"/>
    </row>
    <row r="63" spans="1:7">
      <c r="A63" s="5"/>
      <c r="B63" s="6"/>
      <c r="C63" s="6"/>
      <c r="D63" s="6"/>
      <c r="E63" s="6"/>
      <c r="F63" s="6"/>
      <c r="G63" s="7"/>
    </row>
    <row r="64" spans="1:7">
      <c r="A64" s="5"/>
      <c r="B64" s="6"/>
      <c r="C64" s="6"/>
      <c r="D64" s="6"/>
      <c r="E64" s="6"/>
      <c r="F64" s="6"/>
      <c r="G64" s="7"/>
    </row>
    <row r="65" spans="1:7">
      <c r="A65" s="5"/>
      <c r="B65" s="6"/>
      <c r="C65" s="6"/>
      <c r="D65" s="6"/>
      <c r="E65" s="6"/>
      <c r="F65" s="6"/>
      <c r="G65" s="7"/>
    </row>
    <row r="66" spans="1:7">
      <c r="A66" s="5"/>
      <c r="B66" s="6"/>
      <c r="C66" s="6"/>
      <c r="D66" s="6"/>
      <c r="E66" s="6"/>
      <c r="F66" s="6"/>
      <c r="G66" s="7"/>
    </row>
    <row r="67" spans="1:7">
      <c r="A67" s="5"/>
      <c r="B67" s="6"/>
      <c r="C67" s="6"/>
      <c r="D67" s="6"/>
      <c r="E67" s="6"/>
      <c r="F67" s="6"/>
      <c r="G67" s="7"/>
    </row>
    <row r="68" spans="1:7">
      <c r="A68" s="5"/>
      <c r="B68" s="6"/>
      <c r="C68" s="6"/>
      <c r="D68" s="6"/>
      <c r="E68" s="6"/>
      <c r="F68" s="6"/>
      <c r="G68" s="7"/>
    </row>
    <row r="69" spans="1:7">
      <c r="A69" s="5"/>
      <c r="B69" s="6"/>
      <c r="C69" s="6"/>
      <c r="D69" s="6"/>
      <c r="E69" s="6"/>
      <c r="F69" s="6"/>
      <c r="G69" s="7"/>
    </row>
    <row r="70" spans="1:7">
      <c r="A70" s="5"/>
      <c r="B70" s="6"/>
      <c r="C70" s="6"/>
      <c r="D70" s="6"/>
      <c r="E70" s="6"/>
      <c r="F70" s="6"/>
      <c r="G70" s="7"/>
    </row>
    <row r="71" spans="1:7">
      <c r="A71" s="5"/>
      <c r="B71" s="6"/>
      <c r="C71" s="6"/>
      <c r="D71" s="6"/>
      <c r="E71" s="6"/>
      <c r="F71" s="6"/>
      <c r="G71" s="7"/>
    </row>
    <row r="72" spans="1:7">
      <c r="A72" s="5"/>
      <c r="B72" s="6"/>
      <c r="C72" s="6"/>
      <c r="D72" s="6"/>
      <c r="E72" s="6"/>
      <c r="F72" s="6"/>
      <c r="G72" s="7"/>
    </row>
    <row r="73" spans="1:7">
      <c r="A73" s="5"/>
      <c r="B73" s="6"/>
      <c r="C73" s="6"/>
      <c r="D73" s="6"/>
      <c r="E73" s="6"/>
      <c r="F73" s="6"/>
      <c r="G73" s="7"/>
    </row>
    <row r="74" spans="1:7">
      <c r="A74" s="5"/>
      <c r="B74" s="6"/>
      <c r="C74" s="6"/>
      <c r="D74" s="6"/>
      <c r="E74" s="6"/>
      <c r="F74" s="6"/>
      <c r="G74" s="7"/>
    </row>
    <row r="75" spans="1:7">
      <c r="A75" s="5"/>
      <c r="B75" s="6"/>
      <c r="C75" s="6"/>
      <c r="D75" s="6"/>
      <c r="E75" s="6"/>
      <c r="F75" s="6"/>
      <c r="G75" s="7"/>
    </row>
    <row r="76" spans="1:7">
      <c r="A76" s="5"/>
      <c r="B76" s="6"/>
      <c r="C76" s="6"/>
      <c r="D76" s="6"/>
      <c r="E76" s="6"/>
      <c r="F76" s="6"/>
      <c r="G76" s="7"/>
    </row>
    <row r="77" spans="1:7">
      <c r="A77" s="5"/>
      <c r="B77" s="6"/>
      <c r="C77" s="6"/>
      <c r="D77" s="6"/>
      <c r="E77" s="6"/>
      <c r="F77" s="6"/>
      <c r="G77" s="7"/>
    </row>
    <row r="78" spans="1:7">
      <c r="A78" s="5"/>
      <c r="B78" s="6"/>
      <c r="C78" s="6"/>
      <c r="D78" s="6"/>
      <c r="E78" s="6"/>
      <c r="F78" s="6"/>
      <c r="G78" s="7"/>
    </row>
    <row r="79" spans="1:7">
      <c r="A79" s="5"/>
      <c r="B79" s="6"/>
      <c r="C79" s="6"/>
      <c r="D79" s="6"/>
      <c r="E79" s="6"/>
      <c r="F79" s="6"/>
      <c r="G79" s="7"/>
    </row>
    <row r="80" spans="1:7">
      <c r="A80" s="5"/>
      <c r="B80" s="6"/>
      <c r="C80" s="6"/>
      <c r="D80" s="6"/>
      <c r="E80" s="6"/>
      <c r="F80" s="6"/>
      <c r="G80" s="7"/>
    </row>
    <row r="81" spans="1:7">
      <c r="A81" s="5"/>
      <c r="B81" s="6"/>
      <c r="C81" s="6"/>
      <c r="D81" s="6"/>
      <c r="E81" s="6"/>
      <c r="F81" s="6"/>
      <c r="G81" s="7"/>
    </row>
    <row r="82" spans="1:7">
      <c r="A82" s="5"/>
      <c r="B82" s="6"/>
      <c r="C82" s="6"/>
      <c r="D82" s="6"/>
      <c r="E82" s="6"/>
      <c r="F82" s="6"/>
      <c r="G82" s="7"/>
    </row>
    <row r="83" spans="1:7">
      <c r="A83" s="5"/>
      <c r="B83" s="6"/>
      <c r="C83" s="6"/>
      <c r="D83" s="6"/>
      <c r="E83" s="6"/>
      <c r="F83" s="6"/>
      <c r="G83" s="7"/>
    </row>
    <row r="84" spans="1:7">
      <c r="A84" s="5"/>
      <c r="B84" s="6"/>
      <c r="C84" s="6"/>
      <c r="D84" s="6"/>
      <c r="E84" s="6"/>
      <c r="F84" s="6"/>
      <c r="G84" s="7"/>
    </row>
    <row r="85" spans="1:7">
      <c r="A85" s="5"/>
      <c r="B85" s="6"/>
      <c r="C85" s="6"/>
      <c r="D85" s="6"/>
      <c r="E85" s="6"/>
      <c r="F85" s="6"/>
      <c r="G85" s="7"/>
    </row>
    <row r="86" spans="1:7">
      <c r="A86" s="5"/>
      <c r="B86" s="6"/>
      <c r="C86" s="6"/>
      <c r="D86" s="6"/>
      <c r="E86" s="6"/>
      <c r="F86" s="6"/>
      <c r="G86" s="7"/>
    </row>
    <row r="87" spans="1:7">
      <c r="A87" s="5"/>
      <c r="B87" s="6"/>
      <c r="C87" s="6"/>
      <c r="D87" s="6"/>
      <c r="E87" s="6"/>
      <c r="F87" s="6"/>
      <c r="G87" s="7"/>
    </row>
    <row r="88" spans="1:7">
      <c r="A88" s="5"/>
      <c r="B88" s="6"/>
      <c r="C88" s="6"/>
      <c r="D88" s="6"/>
      <c r="E88" s="6"/>
      <c r="F88" s="6"/>
      <c r="G88" s="7"/>
    </row>
    <row r="89" spans="1:7">
      <c r="A89" s="5"/>
      <c r="B89" s="6"/>
      <c r="C89" s="6"/>
      <c r="D89" s="6"/>
      <c r="E89" s="6"/>
      <c r="F89" s="6"/>
      <c r="G89" s="7"/>
    </row>
    <row r="90" spans="1:7">
      <c r="A90" s="5"/>
      <c r="B90" s="6"/>
      <c r="C90" s="6"/>
      <c r="D90" s="6"/>
      <c r="E90" s="6"/>
      <c r="F90" s="6"/>
      <c r="G90" s="7"/>
    </row>
    <row r="91" spans="1:7">
      <c r="A91" s="5"/>
      <c r="B91" s="6"/>
      <c r="C91" s="6"/>
      <c r="D91" s="6"/>
      <c r="E91" s="6"/>
      <c r="F91" s="6"/>
      <c r="G91" s="7"/>
    </row>
    <row r="92" spans="1:7">
      <c r="A92" s="5"/>
      <c r="B92" s="6"/>
      <c r="C92" s="6"/>
      <c r="D92" s="6"/>
      <c r="E92" s="6"/>
      <c r="F92" s="6"/>
      <c r="G92" s="7"/>
    </row>
    <row r="93" spans="1:7">
      <c r="A93" s="5"/>
      <c r="B93" s="6"/>
      <c r="C93" s="6"/>
      <c r="D93" s="6"/>
      <c r="E93" s="6"/>
      <c r="F93" s="6"/>
      <c r="G93" s="7"/>
    </row>
    <row r="94" spans="1:7">
      <c r="A94" s="5"/>
      <c r="B94" s="6"/>
      <c r="C94" s="6"/>
      <c r="D94" s="6"/>
      <c r="E94" s="6"/>
      <c r="F94" s="6"/>
      <c r="G94" s="7"/>
    </row>
    <row r="95" spans="1:7">
      <c r="A95" s="5"/>
      <c r="B95" s="6"/>
      <c r="C95" s="6"/>
      <c r="D95" s="6"/>
      <c r="E95" s="6"/>
      <c r="F95" s="6"/>
      <c r="G95" s="7"/>
    </row>
    <row r="96" spans="1:7">
      <c r="A96" s="5"/>
      <c r="B96" s="6"/>
      <c r="C96" s="6"/>
      <c r="D96" s="6"/>
      <c r="E96" s="6"/>
      <c r="F96" s="6"/>
      <c r="G96" s="7"/>
    </row>
    <row r="97" spans="1:7">
      <c r="A97" s="5"/>
      <c r="B97" s="6"/>
      <c r="C97" s="6"/>
      <c r="D97" s="6"/>
      <c r="E97" s="6"/>
      <c r="F97" s="6"/>
      <c r="G97" s="7"/>
    </row>
    <row r="98" spans="1:7">
      <c r="A98" s="5"/>
      <c r="B98" s="6"/>
      <c r="C98" s="6"/>
      <c r="D98" s="6"/>
      <c r="E98" s="6"/>
      <c r="F98" s="6"/>
      <c r="G98" s="7"/>
    </row>
    <row r="99" spans="1:7">
      <c r="A99" s="5"/>
      <c r="B99" s="6"/>
      <c r="C99" s="6"/>
      <c r="D99" s="6"/>
      <c r="E99" s="6"/>
      <c r="F99" s="6"/>
      <c r="G99" s="7"/>
    </row>
    <row r="100" spans="1:7">
      <c r="A100" s="5"/>
      <c r="B100" s="6"/>
      <c r="C100" s="6"/>
      <c r="D100" s="6"/>
      <c r="E100" s="6"/>
      <c r="F100" s="6"/>
      <c r="G100" s="7"/>
    </row>
    <row r="101" spans="1:7">
      <c r="A101" s="5"/>
      <c r="B101" s="6"/>
      <c r="C101" s="6"/>
      <c r="D101" s="6"/>
      <c r="E101" s="6"/>
      <c r="F101" s="6"/>
      <c r="G101" s="7"/>
    </row>
    <row r="102" spans="1:7">
      <c r="A102" s="5"/>
      <c r="B102" s="6"/>
      <c r="C102" s="6"/>
      <c r="D102" s="6"/>
      <c r="E102" s="6"/>
      <c r="F102" s="6"/>
      <c r="G102" s="7"/>
    </row>
    <row r="103" spans="1:7">
      <c r="A103" s="5"/>
      <c r="B103" s="6"/>
      <c r="C103" s="6"/>
      <c r="D103" s="6"/>
      <c r="E103" s="6"/>
      <c r="F103" s="6"/>
      <c r="G103" s="7"/>
    </row>
    <row r="104" spans="1:7">
      <c r="A104" s="5"/>
      <c r="B104" s="6"/>
      <c r="C104" s="6"/>
      <c r="D104" s="6"/>
      <c r="E104" s="6"/>
      <c r="F104" s="6"/>
      <c r="G104" s="7"/>
    </row>
    <row r="105" spans="1:7">
      <c r="A105" s="5"/>
      <c r="B105" s="6"/>
      <c r="C105" s="6"/>
      <c r="D105" s="6"/>
      <c r="E105" s="6"/>
      <c r="F105" s="6"/>
      <c r="G105" s="7"/>
    </row>
    <row r="106" spans="1:7">
      <c r="A106" s="5"/>
      <c r="B106" s="6"/>
      <c r="C106" s="6"/>
      <c r="D106" s="6"/>
      <c r="E106" s="6"/>
      <c r="F106" s="6"/>
      <c r="G106" s="7"/>
    </row>
    <row r="107" spans="1:7">
      <c r="A107" s="5"/>
      <c r="B107" s="6"/>
      <c r="C107" s="6"/>
      <c r="D107" s="6"/>
      <c r="E107" s="6"/>
      <c r="F107" s="6"/>
      <c r="G107" s="7"/>
    </row>
    <row r="108" spans="1:7">
      <c r="A108" s="5"/>
      <c r="B108" s="6"/>
      <c r="C108" s="6"/>
      <c r="D108" s="6"/>
      <c r="E108" s="6"/>
      <c r="F108" s="6"/>
      <c r="G108" s="7"/>
    </row>
    <row r="109" spans="1:7">
      <c r="A109" s="5"/>
      <c r="B109" s="6"/>
      <c r="C109" s="6"/>
      <c r="D109" s="6"/>
      <c r="E109" s="6"/>
      <c r="F109" s="6"/>
      <c r="G109" s="7"/>
    </row>
    <row r="110" spans="1:7">
      <c r="A110" s="5"/>
      <c r="B110" s="6"/>
      <c r="C110" s="6"/>
      <c r="D110" s="6"/>
      <c r="E110" s="6"/>
      <c r="F110" s="6"/>
      <c r="G110" s="7"/>
    </row>
    <row r="111" spans="1:7">
      <c r="A111" s="5"/>
      <c r="B111" s="6"/>
      <c r="C111" s="6"/>
      <c r="D111" s="6"/>
      <c r="E111" s="6"/>
      <c r="F111" s="6"/>
      <c r="G111" s="7"/>
    </row>
    <row r="112" spans="1:7">
      <c r="A112" s="5"/>
      <c r="B112" s="6"/>
      <c r="C112" s="6"/>
      <c r="D112" s="6"/>
      <c r="E112" s="6"/>
      <c r="F112" s="6"/>
      <c r="G112" s="7"/>
    </row>
    <row r="113" spans="1:7">
      <c r="A113" s="5"/>
      <c r="B113" s="6"/>
      <c r="C113" s="6"/>
      <c r="D113" s="6"/>
      <c r="E113" s="6"/>
      <c r="F113" s="6"/>
      <c r="G113" s="7"/>
    </row>
    <row r="114" spans="1:7">
      <c r="A114" s="5"/>
      <c r="B114" s="6"/>
      <c r="C114" s="6"/>
      <c r="D114" s="6"/>
      <c r="E114" s="6"/>
      <c r="F114" s="6"/>
      <c r="G114" s="7"/>
    </row>
    <row r="115" spans="1:7">
      <c r="A115" s="5"/>
      <c r="B115" s="6"/>
      <c r="C115" s="6"/>
      <c r="D115" s="6"/>
      <c r="E115" s="6"/>
      <c r="F115" s="6"/>
      <c r="G115" s="7"/>
    </row>
    <row r="116" spans="1:7">
      <c r="A116" s="5"/>
      <c r="B116" s="6"/>
      <c r="C116" s="6"/>
      <c r="D116" s="6"/>
      <c r="E116" s="6"/>
      <c r="F116" s="6"/>
      <c r="G116" s="7"/>
    </row>
    <row r="117" spans="1:7">
      <c r="A117" s="5"/>
      <c r="B117" s="6"/>
      <c r="C117" s="6"/>
      <c r="D117" s="6"/>
      <c r="E117" s="6"/>
      <c r="F117" s="6"/>
      <c r="G117" s="7"/>
    </row>
    <row r="118" spans="1:7">
      <c r="A118" s="5"/>
      <c r="B118" s="6"/>
      <c r="C118" s="6"/>
      <c r="D118" s="6"/>
      <c r="E118" s="6"/>
      <c r="F118" s="6"/>
      <c r="G118" s="7"/>
    </row>
    <row r="119" spans="1:7">
      <c r="A119" s="5"/>
      <c r="B119" s="6"/>
      <c r="C119" s="6"/>
      <c r="D119" s="6"/>
      <c r="E119" s="6"/>
      <c r="F119" s="6"/>
      <c r="G119" s="7"/>
    </row>
    <row r="120" spans="1:7">
      <c r="A120" s="5"/>
      <c r="B120" s="6"/>
      <c r="C120" s="6"/>
      <c r="D120" s="6"/>
      <c r="E120" s="6"/>
      <c r="F120" s="6"/>
      <c r="G120" s="7"/>
    </row>
    <row r="121" spans="1:7">
      <c r="A121" s="5"/>
      <c r="B121" s="6"/>
      <c r="C121" s="6"/>
      <c r="D121" s="6"/>
      <c r="E121" s="6"/>
      <c r="F121" s="6"/>
      <c r="G121" s="7"/>
    </row>
    <row r="122" spans="1:7">
      <c r="A122" s="5"/>
      <c r="B122" s="6"/>
      <c r="C122" s="6"/>
      <c r="D122" s="6"/>
      <c r="E122" s="6"/>
      <c r="F122" s="6"/>
      <c r="G122" s="7"/>
    </row>
    <row r="123" spans="1:7">
      <c r="A123" s="5"/>
      <c r="B123" s="6"/>
      <c r="C123" s="6"/>
      <c r="D123" s="6"/>
      <c r="E123" s="6"/>
      <c r="F123" s="6"/>
      <c r="G123" s="7"/>
    </row>
    <row r="124" spans="1:7">
      <c r="A124" s="5"/>
      <c r="B124" s="6"/>
      <c r="C124" s="6"/>
      <c r="D124" s="6"/>
      <c r="E124" s="6"/>
      <c r="F124" s="6"/>
      <c r="G124" s="7"/>
    </row>
    <row r="125" spans="1:7">
      <c r="A125" s="5"/>
      <c r="B125" s="6"/>
      <c r="C125" s="6"/>
      <c r="D125" s="6"/>
      <c r="E125" s="6"/>
      <c r="F125" s="6"/>
      <c r="G125" s="7"/>
    </row>
    <row r="126" spans="1:7">
      <c r="A126" s="5"/>
      <c r="B126" s="6"/>
      <c r="C126" s="6"/>
      <c r="D126" s="6"/>
      <c r="E126" s="6"/>
      <c r="F126" s="6"/>
      <c r="G126" s="7"/>
    </row>
    <row r="127" spans="1:7">
      <c r="A127" s="5"/>
      <c r="B127" s="6"/>
      <c r="C127" s="6"/>
      <c r="D127" s="6"/>
      <c r="E127" s="6"/>
      <c r="F127" s="6"/>
      <c r="G127" s="7"/>
    </row>
    <row r="128" spans="1:7">
      <c r="A128" s="5"/>
      <c r="B128" s="6"/>
      <c r="C128" s="6"/>
      <c r="D128" s="6"/>
      <c r="E128" s="6"/>
      <c r="F128" s="6"/>
      <c r="G128" s="7"/>
    </row>
    <row r="129" spans="1:7">
      <c r="A129" s="5"/>
      <c r="B129" s="6"/>
      <c r="C129" s="6"/>
      <c r="D129" s="6"/>
      <c r="E129" s="6"/>
      <c r="F129" s="6"/>
      <c r="G129" s="7"/>
    </row>
    <row r="130" spans="1:7">
      <c r="A130" s="5"/>
      <c r="B130" s="6"/>
      <c r="C130" s="6"/>
      <c r="D130" s="6"/>
      <c r="E130" s="6"/>
      <c r="F130" s="6"/>
      <c r="G130" s="7"/>
    </row>
    <row r="131" spans="1:7">
      <c r="A131" s="5"/>
      <c r="B131" s="6"/>
      <c r="C131" s="6"/>
      <c r="D131" s="6"/>
      <c r="E131" s="6"/>
      <c r="F131" s="6"/>
      <c r="G131" s="7"/>
    </row>
    <row r="132" spans="1:7">
      <c r="A132" s="5"/>
      <c r="B132" s="6"/>
      <c r="C132" s="6"/>
      <c r="D132" s="6"/>
      <c r="E132" s="6"/>
      <c r="F132" s="6"/>
      <c r="G132" s="7"/>
    </row>
    <row r="133" spans="1:7">
      <c r="A133" s="5"/>
      <c r="B133" s="6"/>
      <c r="C133" s="6"/>
      <c r="D133" s="6"/>
      <c r="E133" s="6"/>
      <c r="F133" s="6"/>
      <c r="G133" s="7"/>
    </row>
    <row r="134" spans="1:7">
      <c r="A134" s="5"/>
      <c r="B134" s="6"/>
      <c r="C134" s="6"/>
      <c r="D134" s="6"/>
      <c r="E134" s="6"/>
      <c r="F134" s="6"/>
      <c r="G134" s="7"/>
    </row>
    <row r="135" spans="1:7">
      <c r="A135" s="5"/>
      <c r="B135" s="6"/>
      <c r="C135" s="6"/>
      <c r="D135" s="6"/>
      <c r="E135" s="6"/>
      <c r="F135" s="6"/>
      <c r="G135" s="7"/>
    </row>
    <row r="136" spans="1:7">
      <c r="A136" s="5"/>
      <c r="B136" s="6"/>
      <c r="C136" s="6"/>
      <c r="D136" s="6"/>
      <c r="E136" s="6"/>
      <c r="F136" s="6"/>
      <c r="G136" s="7"/>
    </row>
    <row r="137" spans="1:7">
      <c r="A137" s="5"/>
      <c r="B137" s="6"/>
      <c r="C137" s="6"/>
      <c r="D137" s="6"/>
      <c r="E137" s="6"/>
      <c r="F137" s="6"/>
      <c r="G137" s="7"/>
    </row>
    <row r="138" spans="1:7">
      <c r="A138" s="5"/>
      <c r="B138" s="6"/>
      <c r="C138" s="6"/>
      <c r="D138" s="6"/>
      <c r="E138" s="6"/>
      <c r="F138" s="6"/>
      <c r="G138" s="7"/>
    </row>
    <row r="139" spans="1:7">
      <c r="A139" s="5"/>
      <c r="B139" s="6"/>
      <c r="C139" s="6"/>
      <c r="D139" s="6"/>
      <c r="E139" s="6"/>
      <c r="F139" s="6"/>
      <c r="G139" s="7"/>
    </row>
    <row r="140" spans="1:7">
      <c r="A140" s="5"/>
      <c r="B140" s="6"/>
      <c r="C140" s="6"/>
      <c r="D140" s="6"/>
      <c r="E140" s="6"/>
      <c r="F140" s="6"/>
      <c r="G140" s="7"/>
    </row>
    <row r="141" spans="1:7">
      <c r="A141" s="5"/>
      <c r="B141" s="6"/>
      <c r="C141" s="6"/>
      <c r="D141" s="6"/>
      <c r="E141" s="6"/>
      <c r="F141" s="6"/>
      <c r="G141" s="7"/>
    </row>
    <row r="142" spans="1:7">
      <c r="A142" s="5"/>
      <c r="B142" s="6"/>
      <c r="C142" s="6"/>
      <c r="D142" s="6"/>
      <c r="E142" s="6"/>
      <c r="F142" s="6"/>
      <c r="G142" s="7"/>
    </row>
    <row r="143" spans="1:7">
      <c r="A143" s="5"/>
      <c r="B143" s="6"/>
      <c r="C143" s="6"/>
      <c r="D143" s="6"/>
      <c r="E143" s="6"/>
      <c r="F143" s="6"/>
      <c r="G143" s="7"/>
    </row>
    <row r="144" spans="1:7">
      <c r="A144" s="5"/>
      <c r="B144" s="6"/>
      <c r="C144" s="6"/>
      <c r="D144" s="6"/>
      <c r="E144" s="6"/>
      <c r="F144" s="6"/>
      <c r="G144" s="7"/>
    </row>
    <row r="145" spans="1:7">
      <c r="A145" s="5"/>
      <c r="B145" s="6"/>
      <c r="C145" s="6"/>
      <c r="D145" s="6"/>
      <c r="E145" s="6"/>
      <c r="F145" s="6"/>
      <c r="G145" s="7"/>
    </row>
    <row r="146" spans="1:7">
      <c r="A146" s="5"/>
      <c r="B146" s="6"/>
      <c r="C146" s="6"/>
      <c r="D146" s="6"/>
      <c r="E146" s="6"/>
      <c r="F146" s="6"/>
      <c r="G146" s="7"/>
    </row>
    <row r="147" spans="1:7">
      <c r="A147" s="5"/>
      <c r="B147" s="6"/>
      <c r="C147" s="6"/>
      <c r="D147" s="6"/>
      <c r="E147" s="6"/>
      <c r="F147" s="6"/>
      <c r="G147" s="7"/>
    </row>
    <row r="148" spans="1:7">
      <c r="A148" s="5"/>
      <c r="B148" s="6"/>
      <c r="C148" s="6"/>
      <c r="D148" s="6"/>
      <c r="E148" s="6"/>
      <c r="F148" s="6"/>
      <c r="G148" s="7"/>
    </row>
    <row r="149" spans="1:7">
      <c r="A149" s="5"/>
      <c r="B149" s="6"/>
      <c r="C149" s="6"/>
      <c r="D149" s="6"/>
      <c r="E149" s="6"/>
      <c r="F149" s="6"/>
      <c r="G149" s="7"/>
    </row>
    <row r="150" spans="1:7">
      <c r="A150" s="5"/>
      <c r="B150" s="6"/>
      <c r="C150" s="6"/>
      <c r="D150" s="6"/>
      <c r="E150" s="6"/>
      <c r="F150" s="6"/>
      <c r="G150" s="7"/>
    </row>
    <row r="151" spans="1:7">
      <c r="A151" s="5"/>
      <c r="B151" s="6"/>
      <c r="C151" s="6"/>
      <c r="D151" s="6"/>
      <c r="E151" s="6"/>
      <c r="F151" s="6"/>
      <c r="G151" s="7"/>
    </row>
    <row r="152" spans="1:7">
      <c r="A152" s="5"/>
      <c r="B152" s="6"/>
      <c r="C152" s="6"/>
      <c r="D152" s="6"/>
      <c r="E152" s="6"/>
      <c r="F152" s="6"/>
      <c r="G152" s="7"/>
    </row>
    <row r="153" spans="1:7">
      <c r="A153" s="5"/>
      <c r="B153" s="6"/>
      <c r="C153" s="6"/>
      <c r="D153" s="6"/>
      <c r="E153" s="6"/>
      <c r="F153" s="6"/>
      <c r="G153" s="7"/>
    </row>
    <row r="154" spans="1:7">
      <c r="A154" s="5"/>
      <c r="B154" s="6"/>
      <c r="C154" s="6"/>
      <c r="D154" s="6"/>
      <c r="E154" s="6"/>
      <c r="F154" s="6"/>
      <c r="G154" s="7"/>
    </row>
    <row r="155" spans="1:7">
      <c r="A155" s="5"/>
      <c r="B155" s="6"/>
      <c r="C155" s="6"/>
      <c r="D155" s="6"/>
      <c r="E155" s="6"/>
      <c r="F155" s="6"/>
      <c r="G155" s="7"/>
    </row>
    <row r="156" spans="1:7">
      <c r="A156" s="5"/>
      <c r="B156" s="6"/>
      <c r="C156" s="6"/>
      <c r="D156" s="6"/>
      <c r="E156" s="6"/>
      <c r="F156" s="6"/>
      <c r="G156" s="7"/>
    </row>
    <row r="157" spans="1:7">
      <c r="A157" s="5"/>
      <c r="B157" s="6"/>
      <c r="C157" s="6"/>
      <c r="D157" s="6"/>
      <c r="E157" s="6"/>
      <c r="F157" s="6"/>
      <c r="G157" s="7"/>
    </row>
    <row r="158" spans="1:7">
      <c r="A158" s="5"/>
      <c r="B158" s="6"/>
      <c r="C158" s="6"/>
      <c r="D158" s="6"/>
      <c r="E158" s="6"/>
      <c r="F158" s="6"/>
      <c r="G158" s="7"/>
    </row>
    <row r="159" spans="1:7">
      <c r="A159" s="5"/>
      <c r="B159" s="6"/>
      <c r="C159" s="6"/>
      <c r="D159" s="6"/>
      <c r="E159" s="6"/>
      <c r="F159" s="6"/>
      <c r="G159" s="7"/>
    </row>
    <row r="160" spans="1:7">
      <c r="A160" s="5"/>
      <c r="B160" s="6"/>
      <c r="C160" s="6"/>
      <c r="D160" s="6"/>
      <c r="E160" s="6"/>
      <c r="F160" s="6"/>
      <c r="G160" s="7"/>
    </row>
    <row r="161" spans="1:7">
      <c r="A161" s="5"/>
      <c r="B161" s="6"/>
      <c r="C161" s="6"/>
      <c r="D161" s="6"/>
      <c r="E161" s="6"/>
      <c r="F161" s="6"/>
      <c r="G161" s="7"/>
    </row>
    <row r="162" spans="1:7">
      <c r="A162" s="5"/>
      <c r="B162" s="6"/>
      <c r="C162" s="6"/>
      <c r="D162" s="6"/>
      <c r="E162" s="6"/>
      <c r="F162" s="6"/>
      <c r="G162" s="7"/>
    </row>
    <row r="163" spans="1:7">
      <c r="A163" s="5"/>
      <c r="B163" s="6"/>
      <c r="C163" s="6"/>
      <c r="D163" s="6"/>
      <c r="E163" s="6"/>
      <c r="F163" s="6"/>
      <c r="G163" s="7"/>
    </row>
    <row r="164" spans="1:7">
      <c r="A164" s="5"/>
      <c r="B164" s="6"/>
      <c r="C164" s="6"/>
      <c r="D164" s="6"/>
      <c r="E164" s="6"/>
      <c r="F164" s="6"/>
      <c r="G164" s="7"/>
    </row>
    <row r="165" spans="1:7">
      <c r="A165" s="5"/>
      <c r="B165" s="6"/>
      <c r="C165" s="6"/>
      <c r="D165" s="6"/>
      <c r="E165" s="6"/>
      <c r="F165" s="6"/>
      <c r="G165" s="7"/>
    </row>
    <row r="166" spans="1:7">
      <c r="A166" s="5"/>
      <c r="B166" s="6"/>
      <c r="C166" s="6"/>
      <c r="D166" s="6"/>
      <c r="E166" s="6"/>
      <c r="F166" s="6"/>
      <c r="G166" s="7"/>
    </row>
    <row r="167" spans="1:7">
      <c r="A167" s="5"/>
      <c r="B167" s="6"/>
      <c r="C167" s="6"/>
      <c r="D167" s="6"/>
      <c r="E167" s="6"/>
      <c r="F167" s="6"/>
      <c r="G167" s="7"/>
    </row>
    <row r="168" spans="1:7">
      <c r="A168" s="5"/>
      <c r="B168" s="6"/>
      <c r="C168" s="6"/>
      <c r="D168" s="6"/>
      <c r="E168" s="6"/>
      <c r="F168" s="6"/>
      <c r="G168" s="7"/>
    </row>
    <row r="169" spans="1:7">
      <c r="A169" s="5"/>
      <c r="B169" s="6"/>
      <c r="C169" s="6"/>
      <c r="D169" s="6"/>
      <c r="E169" s="6"/>
      <c r="F169" s="6"/>
      <c r="G169" s="7"/>
    </row>
    <row r="170" spans="1:7">
      <c r="A170" s="5"/>
      <c r="B170" s="6"/>
      <c r="C170" s="6"/>
      <c r="D170" s="6"/>
      <c r="E170" s="6"/>
      <c r="F170" s="6"/>
      <c r="G170" s="7"/>
    </row>
    <row r="171" spans="1:7">
      <c r="A171" s="5"/>
      <c r="B171" s="6"/>
      <c r="C171" s="6"/>
      <c r="D171" s="6"/>
      <c r="E171" s="6"/>
      <c r="F171" s="6"/>
      <c r="G171" s="7"/>
    </row>
    <row r="172" spans="1:7">
      <c r="A172" s="5"/>
      <c r="B172" s="6"/>
      <c r="C172" s="6"/>
      <c r="D172" s="6"/>
      <c r="E172" s="6"/>
      <c r="F172" s="6"/>
      <c r="G172" s="7"/>
    </row>
    <row r="173" spans="1:7">
      <c r="A173" s="5"/>
      <c r="B173" s="6"/>
      <c r="C173" s="6"/>
      <c r="D173" s="6"/>
      <c r="E173" s="6"/>
      <c r="F173" s="6"/>
      <c r="G173" s="7"/>
    </row>
    <row r="174" spans="1:7">
      <c r="A174" s="5"/>
      <c r="B174" s="6"/>
      <c r="C174" s="6"/>
      <c r="D174" s="6"/>
      <c r="E174" s="6"/>
      <c r="F174" s="6"/>
      <c r="G174" s="7"/>
    </row>
    <row r="175" spans="1:7">
      <c r="A175" s="5"/>
      <c r="B175" s="6"/>
      <c r="C175" s="6"/>
      <c r="D175" s="6"/>
      <c r="E175" s="6"/>
      <c r="F175" s="6"/>
      <c r="G175" s="7"/>
    </row>
    <row r="176" spans="1:7">
      <c r="A176" s="5"/>
      <c r="B176" s="6"/>
      <c r="C176" s="6"/>
      <c r="D176" s="6"/>
      <c r="E176" s="6"/>
      <c r="F176" s="6"/>
      <c r="G176" s="7"/>
    </row>
    <row r="177" spans="1:7">
      <c r="A177" s="5"/>
      <c r="B177" s="6"/>
      <c r="C177" s="6"/>
      <c r="D177" s="6"/>
      <c r="E177" s="6"/>
      <c r="F177" s="6"/>
      <c r="G177" s="7"/>
    </row>
    <row r="178" spans="1:7">
      <c r="A178" s="5"/>
      <c r="B178" s="6"/>
      <c r="C178" s="6"/>
      <c r="D178" s="6"/>
      <c r="E178" s="6"/>
      <c r="F178" s="6"/>
      <c r="G178" s="7"/>
    </row>
    <row r="179" spans="1:7">
      <c r="A179" s="5"/>
      <c r="B179" s="6"/>
      <c r="C179" s="6"/>
      <c r="D179" s="6"/>
      <c r="E179" s="6"/>
      <c r="F179" s="6"/>
      <c r="G179" s="7"/>
    </row>
    <row r="180" spans="1:7">
      <c r="A180" s="5"/>
      <c r="B180" s="6"/>
      <c r="C180" s="6"/>
      <c r="D180" s="6"/>
      <c r="E180" s="6"/>
      <c r="F180" s="6"/>
      <c r="G180" s="7"/>
    </row>
    <row r="181" spans="1:7">
      <c r="A181" s="5"/>
      <c r="B181" s="6"/>
      <c r="C181" s="6"/>
      <c r="D181" s="6"/>
      <c r="E181" s="6"/>
      <c r="F181" s="6"/>
      <c r="G181" s="7"/>
    </row>
    <row r="182" spans="1:7">
      <c r="A182" s="5"/>
      <c r="B182" s="6"/>
      <c r="C182" s="6"/>
      <c r="D182" s="6"/>
      <c r="E182" s="6"/>
      <c r="F182" s="6"/>
      <c r="G182" s="7"/>
    </row>
    <row r="183" spans="1:7">
      <c r="A183" s="5"/>
      <c r="B183" s="6"/>
      <c r="C183" s="6"/>
      <c r="D183" s="6"/>
      <c r="E183" s="6"/>
      <c r="F183" s="6"/>
      <c r="G183" s="7"/>
    </row>
    <row r="184" spans="1:7">
      <c r="A184" s="5"/>
      <c r="B184" s="6"/>
      <c r="C184" s="6"/>
      <c r="D184" s="6"/>
      <c r="E184" s="6"/>
      <c r="F184" s="6"/>
      <c r="G184" s="7"/>
    </row>
    <row r="185" spans="1:7">
      <c r="A185" s="5"/>
      <c r="B185" s="6"/>
      <c r="C185" s="6"/>
      <c r="D185" s="6"/>
      <c r="E185" s="6"/>
      <c r="F185" s="6"/>
      <c r="G185" s="7"/>
    </row>
    <row r="186" spans="1:7">
      <c r="A186" s="5"/>
      <c r="B186" s="6"/>
      <c r="C186" s="6"/>
      <c r="D186" s="6"/>
      <c r="E186" s="6"/>
      <c r="F186" s="6"/>
      <c r="G186" s="7"/>
    </row>
    <row r="187" spans="1:7">
      <c r="A187" s="5"/>
      <c r="B187" s="6"/>
      <c r="C187" s="6"/>
      <c r="D187" s="6"/>
      <c r="E187" s="6"/>
      <c r="F187" s="6"/>
      <c r="G187" s="7"/>
    </row>
    <row r="188" spans="1:7">
      <c r="A188" s="5"/>
      <c r="B188" s="6"/>
      <c r="C188" s="6"/>
      <c r="D188" s="6"/>
      <c r="E188" s="6"/>
      <c r="F188" s="6"/>
      <c r="G188" s="7"/>
    </row>
    <row r="189" spans="1:7">
      <c r="A189" s="5"/>
      <c r="B189" s="6"/>
      <c r="C189" s="6"/>
      <c r="D189" s="6"/>
      <c r="E189" s="6"/>
      <c r="F189" s="6"/>
      <c r="G189" s="7"/>
    </row>
    <row r="190" spans="1:7">
      <c r="A190" s="5"/>
      <c r="B190" s="6"/>
      <c r="C190" s="6"/>
      <c r="D190" s="6"/>
      <c r="E190" s="6"/>
      <c r="F190" s="6"/>
      <c r="G190" s="7"/>
    </row>
    <row r="191" spans="1:7">
      <c r="A191" s="5"/>
      <c r="B191" s="6"/>
      <c r="C191" s="6"/>
      <c r="D191" s="6"/>
      <c r="E191" s="6"/>
      <c r="F191" s="6"/>
      <c r="G191" s="7"/>
    </row>
    <row r="192" spans="1:7">
      <c r="A192" s="5"/>
      <c r="B192" s="6"/>
      <c r="C192" s="6"/>
      <c r="D192" s="6"/>
      <c r="E192" s="6"/>
      <c r="F192" s="6"/>
      <c r="G192" s="7"/>
    </row>
    <row r="193" spans="1:7">
      <c r="A193" s="5"/>
      <c r="B193" s="6"/>
      <c r="C193" s="6"/>
      <c r="D193" s="6"/>
      <c r="E193" s="6"/>
      <c r="F193" s="6"/>
      <c r="G193" s="7"/>
    </row>
    <row r="194" spans="1:7">
      <c r="A194" s="5"/>
      <c r="B194" s="6"/>
      <c r="C194" s="6"/>
      <c r="D194" s="6"/>
      <c r="E194" s="6"/>
      <c r="F194" s="6"/>
      <c r="G194" s="7"/>
    </row>
    <row r="195" spans="1:7">
      <c r="A195" s="5"/>
      <c r="B195" s="6"/>
      <c r="C195" s="6"/>
      <c r="D195" s="6"/>
      <c r="E195" s="6"/>
      <c r="F195" s="6"/>
      <c r="G195" s="7"/>
    </row>
    <row r="196" spans="1:7">
      <c r="A196" s="5"/>
      <c r="B196" s="6"/>
      <c r="C196" s="6"/>
      <c r="D196" s="6"/>
      <c r="E196" s="6"/>
      <c r="F196" s="6"/>
      <c r="G196" s="7"/>
    </row>
    <row r="197" spans="1:7">
      <c r="A197" s="5"/>
      <c r="B197" s="6"/>
      <c r="C197" s="6"/>
      <c r="D197" s="6"/>
      <c r="E197" s="6"/>
      <c r="F197" s="6"/>
      <c r="G197" s="7"/>
    </row>
    <row r="198" spans="1:7">
      <c r="A198" s="5"/>
      <c r="B198" s="6"/>
      <c r="C198" s="6"/>
      <c r="D198" s="6"/>
      <c r="E198" s="6"/>
      <c r="F198" s="6"/>
      <c r="G198" s="7"/>
    </row>
    <row r="199" spans="1:7">
      <c r="A199" s="5"/>
      <c r="B199" s="6"/>
      <c r="C199" s="6"/>
      <c r="D199" s="6"/>
      <c r="E199" s="6"/>
      <c r="F199" s="6"/>
      <c r="G199" s="7"/>
    </row>
    <row r="200" spans="1:7">
      <c r="A200" s="5"/>
      <c r="B200" s="6"/>
      <c r="C200" s="6"/>
      <c r="D200" s="6"/>
      <c r="E200" s="6"/>
      <c r="F200" s="6"/>
      <c r="G200" s="7"/>
    </row>
    <row r="201" spans="1:7">
      <c r="A201" s="5"/>
      <c r="B201" s="6"/>
      <c r="C201" s="6"/>
      <c r="D201" s="6"/>
      <c r="E201" s="6"/>
      <c r="F201" s="6"/>
      <c r="G201" s="7"/>
    </row>
    <row r="202" spans="1:7">
      <c r="A202" s="5"/>
      <c r="B202" s="6"/>
      <c r="C202" s="6"/>
      <c r="D202" s="6"/>
      <c r="E202" s="6"/>
      <c r="F202" s="6"/>
      <c r="G202" s="7"/>
    </row>
    <row r="203" spans="1:7">
      <c r="A203" s="5"/>
      <c r="B203" s="6"/>
      <c r="C203" s="6"/>
      <c r="D203" s="6"/>
      <c r="E203" s="6"/>
      <c r="F203" s="6"/>
      <c r="G203" s="7"/>
    </row>
    <row r="204" spans="1:7">
      <c r="A204" s="5"/>
      <c r="B204" s="6"/>
      <c r="C204" s="6"/>
      <c r="D204" s="6"/>
      <c r="E204" s="6"/>
      <c r="F204" s="6"/>
      <c r="G204" s="7"/>
    </row>
    <row r="205" spans="1:7">
      <c r="A205" s="5"/>
      <c r="B205" s="6"/>
      <c r="C205" s="6"/>
      <c r="D205" s="6"/>
      <c r="E205" s="6"/>
      <c r="F205" s="6"/>
      <c r="G205" s="7"/>
    </row>
    <row r="206" spans="1:7">
      <c r="A206" s="5"/>
      <c r="B206" s="6"/>
      <c r="C206" s="6"/>
      <c r="D206" s="6"/>
      <c r="E206" s="6"/>
      <c r="F206" s="6"/>
      <c r="G206" s="7"/>
    </row>
    <row r="207" spans="1:7">
      <c r="A207" s="5"/>
      <c r="B207" s="6"/>
      <c r="C207" s="6"/>
      <c r="D207" s="6"/>
      <c r="E207" s="6"/>
      <c r="F207" s="6"/>
      <c r="G207" s="7"/>
    </row>
    <row r="208" spans="1:7">
      <c r="A208" s="5"/>
      <c r="B208" s="6"/>
      <c r="C208" s="6"/>
      <c r="D208" s="6"/>
      <c r="E208" s="6"/>
      <c r="F208" s="6"/>
      <c r="G208" s="7"/>
    </row>
    <row r="209" spans="1:7">
      <c r="A209" s="5"/>
      <c r="B209" s="6"/>
      <c r="C209" s="6"/>
      <c r="D209" s="6"/>
      <c r="E209" s="6"/>
      <c r="F209" s="6"/>
      <c r="G209" s="7"/>
    </row>
    <row r="210" spans="1:7">
      <c r="A210" s="5"/>
      <c r="B210" s="6"/>
      <c r="C210" s="6"/>
      <c r="D210" s="6"/>
      <c r="E210" s="6"/>
      <c r="F210" s="6"/>
      <c r="G210" s="7"/>
    </row>
    <row r="211" spans="1:7">
      <c r="A211" s="5"/>
      <c r="B211" s="6"/>
      <c r="C211" s="6"/>
      <c r="D211" s="6"/>
      <c r="E211" s="6"/>
      <c r="F211" s="6"/>
      <c r="G211" s="7"/>
    </row>
    <row r="212" spans="1:7">
      <c r="A212" s="5"/>
      <c r="B212" s="6"/>
      <c r="C212" s="6"/>
      <c r="D212" s="6"/>
      <c r="E212" s="6"/>
      <c r="F212" s="6"/>
      <c r="G212" s="7"/>
    </row>
    <row r="213" spans="1:7">
      <c r="A213" s="5"/>
      <c r="B213" s="6"/>
      <c r="C213" s="6"/>
      <c r="D213" s="6"/>
      <c r="E213" s="6"/>
      <c r="F213" s="6"/>
      <c r="G213" s="7"/>
    </row>
    <row r="214" spans="1:7">
      <c r="A214" s="5"/>
      <c r="B214" s="6"/>
      <c r="C214" s="6"/>
      <c r="D214" s="6"/>
      <c r="E214" s="6"/>
      <c r="F214" s="6"/>
      <c r="G214" s="7"/>
    </row>
    <row r="215" spans="1:7">
      <c r="A215" s="5"/>
      <c r="B215" s="6"/>
      <c r="C215" s="6"/>
      <c r="D215" s="6"/>
      <c r="E215" s="6"/>
      <c r="F215" s="6"/>
      <c r="G215" s="7"/>
    </row>
    <row r="216" spans="1:7">
      <c r="A216" s="5"/>
      <c r="B216" s="6"/>
      <c r="C216" s="6"/>
      <c r="D216" s="6"/>
      <c r="E216" s="6"/>
      <c r="F216" s="6"/>
      <c r="G216" s="7"/>
    </row>
    <row r="217" spans="1:7">
      <c r="A217" s="5"/>
      <c r="B217" s="6"/>
      <c r="C217" s="6"/>
      <c r="D217" s="6"/>
      <c r="E217" s="6"/>
      <c r="F217" s="6"/>
      <c r="G217" s="7"/>
    </row>
    <row r="218" spans="1:7">
      <c r="A218" s="5"/>
      <c r="B218" s="6"/>
      <c r="C218" s="6"/>
      <c r="D218" s="6"/>
      <c r="E218" s="6"/>
      <c r="F218" s="6"/>
      <c r="G218" s="7"/>
    </row>
    <row r="219" spans="1:7">
      <c r="A219" s="5"/>
      <c r="B219" s="6"/>
      <c r="C219" s="6"/>
      <c r="D219" s="6"/>
      <c r="E219" s="6"/>
      <c r="F219" s="6"/>
      <c r="G219" s="7"/>
    </row>
    <row r="220" spans="1:7">
      <c r="A220" s="5"/>
      <c r="B220" s="6"/>
      <c r="C220" s="6"/>
      <c r="D220" s="6"/>
      <c r="E220" s="6"/>
      <c r="F220" s="6"/>
      <c r="G220" s="7"/>
    </row>
    <row r="221" spans="1:7">
      <c r="A221" s="5"/>
      <c r="B221" s="6"/>
      <c r="C221" s="6"/>
      <c r="D221" s="6"/>
      <c r="E221" s="6"/>
      <c r="F221" s="6"/>
      <c r="G221" s="7"/>
    </row>
    <row r="222" spans="1:7">
      <c r="A222" s="5"/>
      <c r="B222" s="6"/>
      <c r="C222" s="6"/>
      <c r="D222" s="6"/>
      <c r="E222" s="6"/>
      <c r="F222" s="6"/>
      <c r="G222" s="7"/>
    </row>
    <row r="223" spans="1:7">
      <c r="A223" s="5"/>
      <c r="B223" s="6"/>
      <c r="C223" s="6"/>
      <c r="D223" s="6"/>
      <c r="E223" s="6"/>
      <c r="F223" s="6"/>
      <c r="G223" s="7"/>
    </row>
    <row r="224" spans="1:7">
      <c r="A224" s="5"/>
      <c r="B224" s="6"/>
      <c r="C224" s="6"/>
      <c r="D224" s="6"/>
      <c r="E224" s="6"/>
      <c r="F224" s="6"/>
      <c r="G224" s="7"/>
    </row>
    <row r="225" spans="1:7">
      <c r="A225" s="5"/>
      <c r="B225" s="6"/>
      <c r="C225" s="6"/>
      <c r="D225" s="6"/>
      <c r="E225" s="6"/>
      <c r="F225" s="6"/>
      <c r="G225" s="7"/>
    </row>
    <row r="226" spans="1:7">
      <c r="A226" s="5"/>
      <c r="B226" s="6"/>
      <c r="C226" s="6"/>
      <c r="D226" s="6"/>
      <c r="E226" s="6"/>
      <c r="F226" s="6"/>
      <c r="G226" s="7"/>
    </row>
    <row r="227" spans="1:7">
      <c r="A227" s="5"/>
      <c r="B227" s="6"/>
      <c r="C227" s="6"/>
      <c r="D227" s="6"/>
      <c r="E227" s="6"/>
      <c r="F227" s="6"/>
      <c r="G227" s="7"/>
    </row>
    <row r="228" spans="1:7">
      <c r="A228" s="5"/>
      <c r="B228" s="6"/>
      <c r="C228" s="6"/>
      <c r="D228" s="6"/>
      <c r="E228" s="6"/>
      <c r="F228" s="6"/>
      <c r="G228" s="7"/>
    </row>
    <row r="229" spans="1:7">
      <c r="A229" s="5"/>
      <c r="B229" s="6"/>
      <c r="C229" s="6"/>
      <c r="D229" s="6"/>
      <c r="E229" s="6"/>
      <c r="F229" s="6"/>
      <c r="G229" s="7"/>
    </row>
    <row r="230" spans="1:7">
      <c r="A230" s="5"/>
      <c r="B230" s="6"/>
      <c r="C230" s="6"/>
      <c r="D230" s="6"/>
      <c r="E230" s="6"/>
      <c r="F230" s="6"/>
      <c r="G230" s="7"/>
    </row>
    <row r="231" spans="1:7">
      <c r="A231" s="5"/>
      <c r="B231" s="6"/>
      <c r="C231" s="6"/>
      <c r="D231" s="6"/>
      <c r="E231" s="6"/>
      <c r="F231" s="6"/>
      <c r="G231" s="7"/>
    </row>
    <row r="232" spans="1:7">
      <c r="A232" s="5"/>
      <c r="B232" s="6"/>
      <c r="C232" s="6"/>
      <c r="D232" s="6"/>
      <c r="E232" s="6"/>
      <c r="F232" s="6"/>
      <c r="G232" s="7"/>
    </row>
    <row r="233" spans="1:7">
      <c r="A233" s="5"/>
      <c r="B233" s="6"/>
      <c r="C233" s="6"/>
      <c r="D233" s="6"/>
      <c r="E233" s="6"/>
      <c r="F233" s="6"/>
      <c r="G233" s="7"/>
    </row>
    <row r="234" spans="1:7">
      <c r="A234" s="5"/>
      <c r="B234" s="6"/>
      <c r="C234" s="6"/>
      <c r="D234" s="6"/>
      <c r="E234" s="6"/>
      <c r="F234" s="6"/>
      <c r="G234" s="7"/>
    </row>
    <row r="235" spans="1:7">
      <c r="A235" s="5"/>
      <c r="B235" s="6"/>
      <c r="C235" s="6"/>
      <c r="D235" s="6"/>
      <c r="E235" s="6"/>
      <c r="F235" s="6"/>
      <c r="G235" s="7"/>
    </row>
    <row r="236" spans="1:7">
      <c r="A236" s="5"/>
      <c r="B236" s="6"/>
      <c r="C236" s="6"/>
      <c r="D236" s="6"/>
      <c r="E236" s="6"/>
      <c r="F236" s="6"/>
      <c r="G236" s="7"/>
    </row>
    <row r="237" spans="1:7">
      <c r="A237" s="5"/>
      <c r="B237" s="6"/>
      <c r="C237" s="6"/>
      <c r="D237" s="6"/>
      <c r="E237" s="6"/>
      <c r="F237" s="6"/>
      <c r="G237" s="7"/>
    </row>
    <row r="238" spans="1:7">
      <c r="A238" s="5"/>
      <c r="B238" s="6"/>
      <c r="C238" s="6"/>
      <c r="D238" s="6"/>
      <c r="E238" s="6"/>
      <c r="F238" s="6"/>
      <c r="G238" s="7"/>
    </row>
    <row r="239" spans="1:7">
      <c r="A239" s="5"/>
      <c r="B239" s="6"/>
      <c r="C239" s="6"/>
      <c r="D239" s="6"/>
      <c r="E239" s="6"/>
      <c r="F239" s="6"/>
      <c r="G239" s="7"/>
    </row>
    <row r="240" spans="1:7">
      <c r="A240" s="5"/>
      <c r="B240" s="6"/>
      <c r="C240" s="6"/>
      <c r="D240" s="6"/>
      <c r="E240" s="6"/>
      <c r="F240" s="6"/>
      <c r="G240" s="7"/>
    </row>
    <row r="241" spans="1:7">
      <c r="A241" s="5"/>
      <c r="B241" s="6"/>
      <c r="C241" s="6"/>
      <c r="D241" s="6"/>
      <c r="E241" s="6"/>
      <c r="F241" s="6"/>
      <c r="G241" s="7"/>
    </row>
    <row r="242" spans="1:7">
      <c r="A242" s="5"/>
      <c r="B242" s="6"/>
      <c r="C242" s="6"/>
      <c r="D242" s="6"/>
      <c r="E242" s="6"/>
      <c r="F242" s="6"/>
      <c r="G242" s="7"/>
    </row>
    <row r="243" spans="1:7">
      <c r="A243" s="5"/>
      <c r="B243" s="6"/>
      <c r="C243" s="6"/>
      <c r="D243" s="6"/>
      <c r="E243" s="6"/>
      <c r="F243" s="6"/>
      <c r="G243" s="7"/>
    </row>
    <row r="244" spans="1:7">
      <c r="A244" s="5"/>
      <c r="B244" s="6"/>
      <c r="C244" s="6"/>
      <c r="D244" s="6"/>
      <c r="E244" s="6"/>
      <c r="F244" s="6"/>
      <c r="G244" s="7"/>
    </row>
    <row r="245" spans="1:7">
      <c r="A245" s="5"/>
      <c r="B245" s="6"/>
      <c r="C245" s="6"/>
      <c r="D245" s="6"/>
      <c r="E245" s="6"/>
      <c r="F245" s="6"/>
      <c r="G245" s="7"/>
    </row>
    <row r="246" spans="1:7">
      <c r="A246" s="5"/>
      <c r="B246" s="6"/>
      <c r="C246" s="6"/>
      <c r="D246" s="6"/>
      <c r="E246" s="6"/>
      <c r="F246" s="6"/>
      <c r="G246" s="7"/>
    </row>
    <row r="247" spans="1:7">
      <c r="A247" s="5"/>
      <c r="B247" s="6"/>
      <c r="C247" s="6"/>
      <c r="D247" s="6"/>
      <c r="E247" s="6"/>
      <c r="F247" s="6"/>
      <c r="G247" s="7"/>
    </row>
    <row r="248" spans="1:7">
      <c r="A248" s="5"/>
      <c r="B248" s="6"/>
      <c r="C248" s="6"/>
      <c r="D248" s="6"/>
      <c r="E248" s="6"/>
      <c r="F248" s="6"/>
      <c r="G248" s="7"/>
    </row>
    <row r="249" spans="1:7">
      <c r="A249" s="5"/>
      <c r="B249" s="6"/>
      <c r="C249" s="6"/>
      <c r="D249" s="6"/>
      <c r="E249" s="6"/>
      <c r="F249" s="6"/>
      <c r="G249" s="7"/>
    </row>
    <row r="250" spans="1:7">
      <c r="A250" s="5"/>
      <c r="B250" s="6"/>
      <c r="C250" s="6"/>
      <c r="D250" s="6"/>
      <c r="E250" s="6"/>
      <c r="F250" s="6"/>
      <c r="G250" s="7"/>
    </row>
    <row r="251" spans="1:7">
      <c r="A251" s="5"/>
      <c r="B251" s="6"/>
      <c r="C251" s="6"/>
      <c r="D251" s="6"/>
      <c r="E251" s="6"/>
      <c r="F251" s="6"/>
      <c r="G251" s="7"/>
    </row>
    <row r="252" spans="1:7">
      <c r="A252" s="5"/>
      <c r="B252" s="6"/>
      <c r="C252" s="6"/>
      <c r="D252" s="6"/>
      <c r="E252" s="6"/>
      <c r="F252" s="6"/>
      <c r="G252" s="7"/>
    </row>
    <row r="253" spans="1:7">
      <c r="A253" s="5"/>
      <c r="B253" s="6"/>
      <c r="C253" s="6"/>
      <c r="D253" s="6"/>
      <c r="E253" s="6"/>
      <c r="F253" s="6"/>
      <c r="G253" s="7"/>
    </row>
    <row r="254" spans="1:7">
      <c r="A254" s="5"/>
      <c r="B254" s="6"/>
      <c r="C254" s="6"/>
      <c r="D254" s="6"/>
      <c r="E254" s="6"/>
      <c r="F254" s="6"/>
      <c r="G254" s="7"/>
    </row>
    <row r="255" spans="1:7">
      <c r="A255" s="5"/>
      <c r="B255" s="6"/>
      <c r="C255" s="6"/>
      <c r="D255" s="6"/>
      <c r="E255" s="6"/>
      <c r="F255" s="6"/>
      <c r="G255" s="7"/>
    </row>
    <row r="256" spans="1:7">
      <c r="A256" s="5"/>
      <c r="B256" s="6"/>
      <c r="C256" s="6"/>
      <c r="D256" s="6"/>
      <c r="E256" s="6"/>
      <c r="F256" s="6"/>
      <c r="G256" s="7"/>
    </row>
    <row r="257" spans="1:7">
      <c r="A257" s="5"/>
      <c r="B257" s="6"/>
      <c r="C257" s="6"/>
      <c r="D257" s="6"/>
      <c r="E257" s="6"/>
      <c r="F257" s="6"/>
      <c r="G257" s="7"/>
    </row>
    <row r="258" spans="1:7">
      <c r="A258" s="5"/>
      <c r="B258" s="6"/>
      <c r="C258" s="6"/>
      <c r="D258" s="6"/>
      <c r="E258" s="6"/>
      <c r="F258" s="6"/>
      <c r="G258" s="7"/>
    </row>
    <row r="259" spans="1:7">
      <c r="A259" s="5"/>
      <c r="B259" s="6"/>
      <c r="C259" s="6"/>
      <c r="D259" s="6"/>
      <c r="E259" s="6"/>
      <c r="F259" s="6"/>
      <c r="G259" s="7"/>
    </row>
    <row r="260" spans="1:7">
      <c r="A260" s="5"/>
      <c r="B260" s="6"/>
      <c r="C260" s="6"/>
      <c r="D260" s="6"/>
      <c r="E260" s="6"/>
      <c r="F260" s="6"/>
      <c r="G260" s="7"/>
    </row>
    <row r="261" spans="1:7">
      <c r="A261" s="5"/>
      <c r="B261" s="6"/>
      <c r="C261" s="6"/>
      <c r="D261" s="6"/>
      <c r="E261" s="6"/>
      <c r="F261" s="6"/>
      <c r="G261" s="7"/>
    </row>
    <row r="262" spans="1:7">
      <c r="A262" s="5"/>
      <c r="B262" s="6"/>
      <c r="C262" s="6"/>
      <c r="D262" s="6"/>
      <c r="E262" s="6"/>
      <c r="F262" s="6"/>
      <c r="G262" s="7"/>
    </row>
    <row r="263" spans="1:7">
      <c r="A263" s="5"/>
      <c r="B263" s="6"/>
      <c r="C263" s="6"/>
      <c r="D263" s="6"/>
      <c r="E263" s="6"/>
      <c r="F263" s="6"/>
      <c r="G263" s="7"/>
    </row>
    <row r="264" spans="1:7">
      <c r="A264" s="5"/>
      <c r="B264" s="6"/>
      <c r="C264" s="6"/>
      <c r="D264" s="6"/>
      <c r="E264" s="6"/>
      <c r="F264" s="6"/>
      <c r="G264" s="7"/>
    </row>
    <row r="265" spans="1:7">
      <c r="A265" s="5"/>
      <c r="B265" s="6"/>
      <c r="C265" s="6"/>
      <c r="D265" s="6"/>
      <c r="E265" s="6"/>
      <c r="F265" s="6"/>
      <c r="G265" s="7"/>
    </row>
    <row r="266" spans="1:7">
      <c r="A266" s="5"/>
      <c r="B266" s="6"/>
      <c r="C266" s="6"/>
      <c r="D266" s="6"/>
      <c r="E266" s="6"/>
      <c r="F266" s="6"/>
      <c r="G266" s="7"/>
    </row>
    <row r="267" spans="1:7">
      <c r="A267" s="5"/>
      <c r="B267" s="6"/>
      <c r="C267" s="6"/>
      <c r="D267" s="6"/>
      <c r="E267" s="6"/>
      <c r="F267" s="6"/>
      <c r="G267" s="7"/>
    </row>
    <row r="268" spans="1:7">
      <c r="A268" s="5"/>
      <c r="B268" s="6"/>
      <c r="C268" s="6"/>
      <c r="D268" s="6"/>
      <c r="E268" s="6"/>
      <c r="F268" s="6"/>
      <c r="G268" s="7"/>
    </row>
    <row r="269" spans="1:7">
      <c r="A269" s="5"/>
      <c r="B269" s="6"/>
      <c r="C269" s="6"/>
      <c r="D269" s="6"/>
      <c r="E269" s="6"/>
      <c r="F269" s="6"/>
      <c r="G269" s="7"/>
    </row>
    <row r="270" spans="1:7">
      <c r="A270" s="5"/>
      <c r="B270" s="6"/>
      <c r="C270" s="6"/>
      <c r="D270" s="6"/>
      <c r="E270" s="6"/>
      <c r="F270" s="6"/>
      <c r="G270" s="7"/>
    </row>
    <row r="271" spans="1:7">
      <c r="A271" s="5"/>
      <c r="B271" s="6"/>
      <c r="C271" s="6"/>
      <c r="D271" s="6"/>
      <c r="E271" s="6"/>
      <c r="F271" s="6"/>
      <c r="G271" s="7"/>
    </row>
    <row r="272" spans="1:7">
      <c r="A272" s="5"/>
      <c r="B272" s="6"/>
      <c r="C272" s="6"/>
      <c r="D272" s="6"/>
      <c r="E272" s="6"/>
      <c r="F272" s="6"/>
      <c r="G272" s="7"/>
    </row>
    <row r="273" spans="1:7">
      <c r="A273" s="5"/>
      <c r="B273" s="6"/>
      <c r="C273" s="6"/>
      <c r="D273" s="6"/>
      <c r="E273" s="6"/>
      <c r="F273" s="6"/>
      <c r="G273" s="7"/>
    </row>
    <row r="274" spans="1:7">
      <c r="A274" s="5"/>
      <c r="B274" s="6"/>
      <c r="C274" s="6"/>
      <c r="D274" s="6"/>
      <c r="E274" s="6"/>
      <c r="F274" s="6"/>
      <c r="G274" s="7"/>
    </row>
    <row r="275" spans="1:7">
      <c r="A275" s="5"/>
      <c r="B275" s="6"/>
      <c r="C275" s="6"/>
      <c r="D275" s="6"/>
      <c r="E275" s="6"/>
      <c r="F275" s="6"/>
      <c r="G275" s="7"/>
    </row>
    <row r="276" spans="1:7">
      <c r="A276" s="5"/>
      <c r="B276" s="6"/>
      <c r="C276" s="6"/>
      <c r="D276" s="6"/>
      <c r="E276" s="6"/>
      <c r="F276" s="6"/>
      <c r="G276" s="7"/>
    </row>
    <row r="277" spans="1:7">
      <c r="A277" s="5"/>
      <c r="B277" s="6"/>
      <c r="C277" s="6"/>
      <c r="D277" s="6"/>
      <c r="E277" s="6"/>
      <c r="F277" s="6"/>
      <c r="G277" s="7"/>
    </row>
    <row r="278" spans="1:7">
      <c r="A278" s="5"/>
      <c r="B278" s="6"/>
      <c r="C278" s="6"/>
      <c r="D278" s="6"/>
      <c r="E278" s="6"/>
      <c r="F278" s="6"/>
      <c r="G278" s="7"/>
    </row>
    <row r="279" spans="1:7">
      <c r="A279" s="5"/>
      <c r="B279" s="6"/>
      <c r="C279" s="6"/>
      <c r="D279" s="6"/>
      <c r="E279" s="6"/>
      <c r="F279" s="6"/>
      <c r="G279" s="7"/>
    </row>
    <row r="280" spans="1:7">
      <c r="A280" s="5"/>
      <c r="B280" s="6"/>
      <c r="C280" s="6"/>
      <c r="D280" s="6"/>
      <c r="E280" s="6"/>
      <c r="F280" s="6"/>
      <c r="G280" s="7"/>
    </row>
    <row r="281" spans="1:7">
      <c r="A281" s="5"/>
      <c r="B281" s="6"/>
      <c r="C281" s="6"/>
      <c r="D281" s="6"/>
      <c r="E281" s="6"/>
      <c r="F281" s="6"/>
      <c r="G281" s="7"/>
    </row>
    <row r="282" spans="1:7">
      <c r="A282" s="5"/>
      <c r="B282" s="6"/>
      <c r="C282" s="6"/>
      <c r="D282" s="6"/>
      <c r="E282" s="6"/>
      <c r="F282" s="6"/>
      <c r="G282" s="7"/>
    </row>
    <row r="283" spans="1:7">
      <c r="A283" s="5"/>
      <c r="B283" s="6"/>
      <c r="C283" s="6"/>
      <c r="D283" s="6"/>
      <c r="E283" s="6"/>
      <c r="F283" s="6"/>
      <c r="G283" s="7"/>
    </row>
    <row r="284" spans="1:7">
      <c r="A284" s="5"/>
      <c r="B284" s="6"/>
      <c r="C284" s="6"/>
      <c r="D284" s="6"/>
      <c r="E284" s="6"/>
      <c r="F284" s="6"/>
      <c r="G284" s="7"/>
    </row>
    <row r="285" spans="1:7">
      <c r="A285" s="5"/>
      <c r="B285" s="6"/>
      <c r="C285" s="6"/>
      <c r="D285" s="6"/>
      <c r="E285" s="6"/>
      <c r="F285" s="6"/>
      <c r="G285" s="7"/>
    </row>
    <row r="286" spans="1:7">
      <c r="A286" s="5"/>
      <c r="B286" s="6"/>
      <c r="C286" s="6"/>
      <c r="D286" s="6"/>
      <c r="E286" s="6"/>
      <c r="F286" s="6"/>
      <c r="G286" s="7"/>
    </row>
    <row r="287" spans="1:7">
      <c r="A287" s="5"/>
      <c r="B287" s="6"/>
      <c r="C287" s="6"/>
      <c r="D287" s="6"/>
      <c r="E287" s="6"/>
      <c r="F287" s="6"/>
      <c r="G287" s="7"/>
    </row>
    <row r="288" spans="1:7">
      <c r="A288" s="5"/>
      <c r="B288" s="6"/>
      <c r="C288" s="6"/>
      <c r="D288" s="6"/>
      <c r="E288" s="6"/>
      <c r="F288" s="6"/>
      <c r="G288" s="7"/>
    </row>
    <row r="289" spans="1:7">
      <c r="A289" s="5"/>
      <c r="B289" s="6"/>
      <c r="C289" s="6"/>
      <c r="D289" s="6"/>
      <c r="E289" s="6"/>
      <c r="F289" s="6"/>
      <c r="G289" s="7"/>
    </row>
    <row r="290" spans="1:7">
      <c r="A290" s="5"/>
      <c r="B290" s="6"/>
      <c r="C290" s="6"/>
      <c r="D290" s="6"/>
      <c r="E290" s="6"/>
      <c r="F290" s="6"/>
      <c r="G290" s="7"/>
    </row>
    <row r="291" spans="1:7">
      <c r="A291" s="5"/>
      <c r="B291" s="6"/>
      <c r="C291" s="6"/>
      <c r="D291" s="6"/>
      <c r="E291" s="6"/>
      <c r="F291" s="6"/>
      <c r="G291" s="7"/>
    </row>
    <row r="292" spans="1:7">
      <c r="A292" s="5"/>
      <c r="B292" s="6"/>
      <c r="C292" s="6"/>
      <c r="D292" s="6"/>
      <c r="E292" s="6"/>
      <c r="F292" s="6"/>
      <c r="G292" s="7"/>
    </row>
    <row r="293" spans="1:7">
      <c r="A293" s="5"/>
      <c r="B293" s="6"/>
      <c r="C293" s="6"/>
      <c r="D293" s="6"/>
      <c r="E293" s="6"/>
      <c r="F293" s="6"/>
      <c r="G293" s="7"/>
    </row>
    <row r="294" spans="1:7">
      <c r="A294" s="5"/>
      <c r="B294" s="6"/>
      <c r="C294" s="6"/>
      <c r="D294" s="6"/>
      <c r="E294" s="6"/>
      <c r="F294" s="6"/>
      <c r="G294" s="7"/>
    </row>
    <row r="295" spans="1:7">
      <c r="A295" s="5"/>
      <c r="B295" s="6"/>
      <c r="C295" s="6"/>
      <c r="D295" s="6"/>
      <c r="E295" s="6"/>
      <c r="F295" s="6"/>
      <c r="G295" s="7"/>
    </row>
    <row r="296" spans="1:7">
      <c r="A296" s="5"/>
      <c r="B296" s="6"/>
      <c r="C296" s="6"/>
      <c r="D296" s="6"/>
      <c r="E296" s="6"/>
      <c r="F296" s="6"/>
      <c r="G296" s="7"/>
    </row>
    <row r="297" spans="1:7">
      <c r="A297" s="5"/>
      <c r="B297" s="6"/>
      <c r="C297" s="6"/>
      <c r="D297" s="6"/>
      <c r="E297" s="6"/>
      <c r="F297" s="6"/>
      <c r="G297" s="7"/>
    </row>
    <row r="298" spans="1:7">
      <c r="A298" s="5"/>
      <c r="B298" s="6"/>
      <c r="C298" s="6"/>
      <c r="D298" s="6"/>
      <c r="E298" s="6"/>
      <c r="F298" s="6"/>
      <c r="G298" s="7"/>
    </row>
    <row r="299" spans="1:7">
      <c r="A299" s="5"/>
      <c r="B299" s="6"/>
      <c r="C299" s="6"/>
      <c r="D299" s="6"/>
      <c r="E299" s="6"/>
      <c r="F299" s="6"/>
      <c r="G299" s="7"/>
    </row>
    <row r="300" spans="1:7">
      <c r="A300" s="5"/>
      <c r="B300" s="6"/>
      <c r="C300" s="6"/>
      <c r="D300" s="6"/>
      <c r="E300" s="6"/>
      <c r="F300" s="6"/>
      <c r="G300" s="7"/>
    </row>
    <row r="301" spans="1:7">
      <c r="A301" s="5"/>
      <c r="B301" s="6"/>
      <c r="C301" s="6"/>
      <c r="D301" s="6"/>
      <c r="E301" s="6"/>
      <c r="F301" s="6"/>
      <c r="G301" s="7"/>
    </row>
    <row r="302" spans="1:7">
      <c r="A302" s="5"/>
      <c r="B302" s="6"/>
      <c r="C302" s="6"/>
      <c r="D302" s="6"/>
      <c r="E302" s="6"/>
      <c r="F302" s="6"/>
      <c r="G302" s="7"/>
    </row>
    <row r="303" spans="1:7">
      <c r="A303" s="5"/>
      <c r="B303" s="6"/>
      <c r="C303" s="6"/>
      <c r="D303" s="6"/>
      <c r="E303" s="6"/>
      <c r="F303" s="6"/>
      <c r="G303" s="7"/>
    </row>
    <row r="304" spans="1:7">
      <c r="A304" s="5"/>
      <c r="B304" s="6"/>
      <c r="C304" s="6"/>
      <c r="D304" s="6"/>
      <c r="E304" s="6"/>
      <c r="F304" s="6"/>
      <c r="G304" s="7"/>
    </row>
    <row r="305" spans="1:7">
      <c r="A305" s="5"/>
      <c r="B305" s="6"/>
      <c r="C305" s="6"/>
      <c r="D305" s="6"/>
      <c r="E305" s="6"/>
      <c r="F305" s="6"/>
      <c r="G305" s="7"/>
    </row>
    <row r="306" spans="1:7">
      <c r="A306" s="5"/>
      <c r="B306" s="6"/>
      <c r="C306" s="6"/>
      <c r="D306" s="6"/>
      <c r="E306" s="6"/>
      <c r="F306" s="6"/>
      <c r="G306" s="7"/>
    </row>
    <row r="307" spans="1:7">
      <c r="A307" s="5"/>
      <c r="B307" s="6"/>
      <c r="C307" s="6"/>
      <c r="D307" s="6"/>
      <c r="E307" s="6"/>
      <c r="F307" s="6"/>
      <c r="G307" s="7"/>
    </row>
    <row r="308" spans="1:7">
      <c r="A308" s="5"/>
      <c r="B308" s="6"/>
      <c r="C308" s="6"/>
      <c r="D308" s="6"/>
      <c r="E308" s="6"/>
      <c r="F308" s="6"/>
      <c r="G308" s="7"/>
    </row>
    <row r="309" spans="1:7">
      <c r="A309" s="5"/>
      <c r="B309" s="6"/>
      <c r="C309" s="6"/>
      <c r="D309" s="6"/>
      <c r="E309" s="6"/>
      <c r="F309" s="6"/>
      <c r="G309" s="7"/>
    </row>
    <row r="310" spans="1:7">
      <c r="A310" s="5"/>
      <c r="B310" s="6"/>
      <c r="C310" s="6"/>
      <c r="D310" s="6"/>
      <c r="E310" s="6"/>
      <c r="F310" s="6"/>
      <c r="G310" s="7"/>
    </row>
    <row r="311" spans="1:7">
      <c r="A311" s="5"/>
      <c r="B311" s="6"/>
      <c r="C311" s="6"/>
      <c r="D311" s="6"/>
      <c r="E311" s="6"/>
      <c r="F311" s="6"/>
      <c r="G311" s="7"/>
    </row>
    <row r="312" spans="1:7">
      <c r="A312" s="5"/>
      <c r="B312" s="6"/>
      <c r="C312" s="6"/>
      <c r="D312" s="6"/>
      <c r="E312" s="6"/>
      <c r="F312" s="6"/>
      <c r="G312" s="7"/>
    </row>
    <row r="313" spans="1:7">
      <c r="A313" s="5"/>
      <c r="B313" s="6"/>
      <c r="C313" s="6"/>
      <c r="D313" s="6"/>
      <c r="E313" s="6"/>
      <c r="F313" s="6"/>
      <c r="G313" s="7"/>
    </row>
    <row r="314" spans="1:7">
      <c r="A314" s="5"/>
      <c r="B314" s="6"/>
      <c r="C314" s="6"/>
      <c r="D314" s="6"/>
      <c r="E314" s="6"/>
      <c r="F314" s="6"/>
      <c r="G314" s="7"/>
    </row>
    <row r="315" spans="1:7">
      <c r="A315" s="5"/>
      <c r="B315" s="6"/>
      <c r="C315" s="6"/>
      <c r="D315" s="6"/>
      <c r="E315" s="6"/>
      <c r="F315" s="6"/>
      <c r="G315" s="7"/>
    </row>
    <row r="316" spans="1:7">
      <c r="A316" s="5"/>
      <c r="B316" s="6"/>
      <c r="C316" s="6"/>
      <c r="D316" s="6"/>
      <c r="E316" s="6"/>
      <c r="F316" s="6"/>
      <c r="G316" s="7"/>
    </row>
    <row r="317" spans="1:7">
      <c r="A317" s="5"/>
      <c r="B317" s="6"/>
      <c r="C317" s="6"/>
      <c r="D317" s="6"/>
      <c r="E317" s="6"/>
      <c r="F317" s="6"/>
      <c r="G317" s="7"/>
    </row>
    <row r="318" spans="1:7">
      <c r="A318" s="5"/>
      <c r="B318" s="6"/>
      <c r="C318" s="6"/>
      <c r="D318" s="6"/>
      <c r="E318" s="6"/>
      <c r="F318" s="6"/>
      <c r="G318" s="7"/>
    </row>
    <row r="319" spans="1:7">
      <c r="A319" s="5"/>
      <c r="B319" s="6"/>
      <c r="C319" s="6"/>
      <c r="D319" s="6"/>
      <c r="E319" s="6"/>
      <c r="F319" s="6"/>
      <c r="G319" s="7"/>
    </row>
    <row r="320" spans="1:7">
      <c r="A320" s="5"/>
      <c r="B320" s="6"/>
      <c r="C320" s="6"/>
      <c r="D320" s="6"/>
      <c r="E320" s="6"/>
      <c r="F320" s="6"/>
      <c r="G320" s="7"/>
    </row>
    <row r="321" spans="1:7">
      <c r="A321" s="5"/>
      <c r="B321" s="6"/>
      <c r="C321" s="6"/>
      <c r="D321" s="6"/>
      <c r="E321" s="6"/>
      <c r="F321" s="6"/>
      <c r="G321" s="7"/>
    </row>
    <row r="322" spans="1:7">
      <c r="A322" s="5"/>
      <c r="B322" s="6"/>
      <c r="C322" s="6"/>
      <c r="D322" s="6"/>
      <c r="E322" s="6"/>
      <c r="F322" s="6"/>
      <c r="G322" s="7"/>
    </row>
    <row r="323" spans="1:7">
      <c r="A323" s="5"/>
      <c r="B323" s="6"/>
      <c r="C323" s="6"/>
      <c r="D323" s="6"/>
      <c r="E323" s="6"/>
      <c r="F323" s="6"/>
      <c r="G323" s="7"/>
    </row>
    <row r="324" spans="1:7">
      <c r="A324" s="5"/>
      <c r="B324" s="6"/>
      <c r="C324" s="6"/>
      <c r="D324" s="6"/>
      <c r="E324" s="6"/>
      <c r="F324" s="6"/>
      <c r="G324" s="7"/>
    </row>
    <row r="325" spans="1:7">
      <c r="A325" s="5"/>
      <c r="B325" s="6"/>
      <c r="C325" s="6"/>
      <c r="D325" s="6"/>
      <c r="E325" s="6"/>
      <c r="F325" s="6"/>
      <c r="G325" s="7"/>
    </row>
    <row r="326" spans="1:7">
      <c r="A326" s="5"/>
      <c r="B326" s="6"/>
      <c r="C326" s="6"/>
      <c r="D326" s="6"/>
      <c r="E326" s="6"/>
      <c r="F326" s="6"/>
      <c r="G326" s="7"/>
    </row>
    <row r="327" spans="1:7">
      <c r="A327" s="5"/>
      <c r="B327" s="6"/>
      <c r="C327" s="6"/>
      <c r="D327" s="6"/>
      <c r="E327" s="6"/>
      <c r="F327" s="6"/>
      <c r="G327" s="7"/>
    </row>
    <row r="328" spans="1:7">
      <c r="A328" s="5"/>
      <c r="B328" s="6"/>
      <c r="C328" s="6"/>
      <c r="D328" s="6"/>
      <c r="E328" s="6"/>
      <c r="F328" s="6"/>
      <c r="G328" s="7"/>
    </row>
    <row r="329" spans="1:7">
      <c r="A329" s="5"/>
      <c r="B329" s="6"/>
      <c r="C329" s="6"/>
      <c r="D329" s="6"/>
      <c r="E329" s="6"/>
      <c r="F329" s="6"/>
      <c r="G329" s="7"/>
    </row>
    <row r="330" spans="1:7">
      <c r="A330" s="5"/>
      <c r="B330" s="6"/>
      <c r="C330" s="6"/>
      <c r="D330" s="6"/>
      <c r="E330" s="6"/>
      <c r="F330" s="6"/>
      <c r="G330" s="7"/>
    </row>
    <row r="331" spans="1:7">
      <c r="A331" s="5"/>
      <c r="B331" s="6"/>
      <c r="C331" s="6"/>
      <c r="D331" s="6"/>
      <c r="E331" s="6"/>
      <c r="F331" s="6"/>
      <c r="G331" s="7"/>
    </row>
    <row r="332" spans="1:7">
      <c r="A332" s="5"/>
      <c r="B332" s="6"/>
      <c r="C332" s="6"/>
      <c r="D332" s="6"/>
      <c r="E332" s="6"/>
      <c r="F332" s="6"/>
      <c r="G332" s="7"/>
    </row>
    <row r="333" spans="1:7">
      <c r="A333" s="5"/>
      <c r="B333" s="6"/>
      <c r="C333" s="6"/>
      <c r="D333" s="6"/>
      <c r="E333" s="6"/>
      <c r="F333" s="6"/>
      <c r="G333" s="7"/>
    </row>
    <row r="334" spans="1:7">
      <c r="A334" s="5"/>
      <c r="B334" s="6"/>
      <c r="C334" s="6"/>
      <c r="D334" s="6"/>
      <c r="E334" s="6"/>
      <c r="F334" s="6"/>
      <c r="G334" s="7"/>
    </row>
    <row r="335" spans="1:7">
      <c r="A335" s="5"/>
      <c r="B335" s="6"/>
      <c r="C335" s="6"/>
      <c r="D335" s="6"/>
      <c r="E335" s="6"/>
      <c r="F335" s="6"/>
      <c r="G335" s="7"/>
    </row>
    <row r="336" spans="1:7">
      <c r="A336" s="5"/>
      <c r="B336" s="6"/>
      <c r="C336" s="6"/>
      <c r="D336" s="6"/>
      <c r="E336" s="6"/>
      <c r="F336" s="6"/>
      <c r="G336" s="7"/>
    </row>
    <row r="337" spans="1:7">
      <c r="A337" s="5"/>
      <c r="B337" s="6"/>
      <c r="C337" s="6"/>
      <c r="D337" s="6"/>
      <c r="E337" s="6"/>
      <c r="F337" s="6"/>
      <c r="G337" s="7"/>
    </row>
    <row r="338" spans="1:7">
      <c r="A338" s="5"/>
      <c r="B338" s="6"/>
      <c r="C338" s="6"/>
      <c r="D338" s="6"/>
      <c r="E338" s="6"/>
      <c r="F338" s="6"/>
      <c r="G338" s="7"/>
    </row>
    <row r="339" spans="1:7">
      <c r="A339" s="5"/>
      <c r="B339" s="6"/>
      <c r="C339" s="6"/>
      <c r="D339" s="6"/>
      <c r="E339" s="6"/>
      <c r="F339" s="6"/>
      <c r="G339" s="7"/>
    </row>
    <row r="340" spans="1:7">
      <c r="A340" s="5"/>
      <c r="B340" s="6"/>
      <c r="C340" s="6"/>
      <c r="D340" s="6"/>
      <c r="E340" s="6"/>
      <c r="F340" s="6"/>
      <c r="G340" s="7"/>
    </row>
    <row r="341" spans="1:7">
      <c r="A341" s="5"/>
      <c r="B341" s="6"/>
      <c r="C341" s="6"/>
      <c r="D341" s="6"/>
      <c r="E341" s="6"/>
      <c r="F341" s="6"/>
      <c r="G341" s="7"/>
    </row>
    <row r="342" spans="1:7">
      <c r="A342" s="5"/>
      <c r="B342" s="6"/>
      <c r="C342" s="6"/>
      <c r="D342" s="6"/>
      <c r="E342" s="6"/>
      <c r="F342" s="6"/>
      <c r="G342" s="7"/>
    </row>
    <row r="343" spans="1:7">
      <c r="A343" s="5"/>
      <c r="B343" s="6"/>
      <c r="C343" s="6"/>
      <c r="D343" s="6"/>
      <c r="E343" s="6"/>
      <c r="F343" s="6"/>
      <c r="G343" s="7"/>
    </row>
    <row r="344" spans="1:7">
      <c r="A344" s="5"/>
      <c r="B344" s="6"/>
      <c r="C344" s="6"/>
      <c r="D344" s="6"/>
      <c r="E344" s="6"/>
      <c r="F344" s="6"/>
      <c r="G344" s="7"/>
    </row>
    <row r="345" spans="1:7">
      <c r="A345" s="5"/>
      <c r="B345" s="6"/>
      <c r="C345" s="6"/>
      <c r="D345" s="6"/>
      <c r="E345" s="6"/>
      <c r="F345" s="6"/>
      <c r="G345" s="7"/>
    </row>
    <row r="346" spans="1:7">
      <c r="A346" s="5"/>
      <c r="B346" s="6"/>
      <c r="C346" s="6"/>
      <c r="D346" s="6"/>
      <c r="E346" s="6"/>
      <c r="F346" s="6"/>
      <c r="G346" s="7"/>
    </row>
    <row r="347" spans="1:7">
      <c r="A347" s="5"/>
      <c r="B347" s="6"/>
      <c r="C347" s="6"/>
      <c r="D347" s="6"/>
      <c r="E347" s="6"/>
      <c r="F347" s="6"/>
      <c r="G347" s="7"/>
    </row>
    <row r="348" spans="1:7">
      <c r="A348" s="5"/>
      <c r="B348" s="6"/>
      <c r="C348" s="6"/>
      <c r="D348" s="6"/>
      <c r="E348" s="6"/>
      <c r="F348" s="6"/>
      <c r="G348" s="7"/>
    </row>
    <row r="349" spans="1:7">
      <c r="A349" s="5"/>
      <c r="B349" s="6"/>
      <c r="C349" s="6"/>
      <c r="D349" s="6"/>
      <c r="E349" s="6"/>
      <c r="F349" s="6"/>
      <c r="G349" s="7"/>
    </row>
    <row r="350" spans="1:7">
      <c r="A350" s="5"/>
      <c r="B350" s="6"/>
      <c r="C350" s="6"/>
      <c r="D350" s="6"/>
      <c r="E350" s="6"/>
      <c r="F350" s="6"/>
      <c r="G350" s="7"/>
    </row>
    <row r="351" spans="1:7">
      <c r="A351" s="5"/>
      <c r="B351" s="6"/>
      <c r="C351" s="6"/>
      <c r="D351" s="6"/>
      <c r="E351" s="6"/>
      <c r="F351" s="6"/>
      <c r="G351" s="7"/>
    </row>
    <row r="352" spans="1:7">
      <c r="A352" s="5"/>
      <c r="B352" s="6"/>
      <c r="C352" s="6"/>
      <c r="D352" s="6"/>
      <c r="E352" s="6"/>
      <c r="F352" s="6"/>
      <c r="G352" s="7"/>
    </row>
    <row r="353" spans="1:7">
      <c r="A353" s="5"/>
      <c r="B353" s="6"/>
      <c r="C353" s="6"/>
      <c r="D353" s="6"/>
      <c r="E353" s="6"/>
      <c r="F353" s="6"/>
      <c r="G353" s="7"/>
    </row>
    <row r="354" spans="1:7">
      <c r="A354" s="5"/>
      <c r="B354" s="6"/>
      <c r="C354" s="6"/>
      <c r="D354" s="6"/>
      <c r="E354" s="6"/>
      <c r="F354" s="6"/>
      <c r="G354" s="7"/>
    </row>
    <row r="355" spans="1:7">
      <c r="A355" s="5"/>
      <c r="B355" s="6"/>
      <c r="C355" s="6"/>
      <c r="D355" s="6"/>
      <c r="E355" s="6"/>
      <c r="F355" s="6"/>
      <c r="G355" s="7"/>
    </row>
    <row r="356" spans="1:7">
      <c r="A356" s="5"/>
      <c r="B356" s="6"/>
      <c r="C356" s="6"/>
      <c r="D356" s="6"/>
      <c r="E356" s="6"/>
      <c r="F356" s="6"/>
      <c r="G356" s="7"/>
    </row>
    <row r="357" spans="1:7">
      <c r="A357" s="5"/>
      <c r="B357" s="6"/>
      <c r="C357" s="6"/>
      <c r="D357" s="6"/>
      <c r="E357" s="6"/>
      <c r="F357" s="6"/>
      <c r="G357" s="7"/>
    </row>
    <row r="358" spans="1:7">
      <c r="A358" s="5"/>
      <c r="B358" s="6"/>
      <c r="C358" s="6"/>
      <c r="D358" s="6"/>
      <c r="E358" s="6"/>
      <c r="F358" s="6"/>
      <c r="G358" s="7"/>
    </row>
    <row r="359" spans="1:7">
      <c r="A359" s="5"/>
      <c r="B359" s="6"/>
      <c r="C359" s="6"/>
      <c r="D359" s="6"/>
      <c r="E359" s="6"/>
      <c r="F359" s="6"/>
      <c r="G359" s="7"/>
    </row>
    <row r="360" spans="1:7">
      <c r="A360" s="5"/>
      <c r="B360" s="6"/>
      <c r="C360" s="6"/>
      <c r="D360" s="6"/>
      <c r="E360" s="6"/>
      <c r="F360" s="6"/>
      <c r="G360" s="7"/>
    </row>
    <row r="361" spans="1:7">
      <c r="A361" s="5"/>
      <c r="B361" s="6"/>
      <c r="C361" s="6"/>
      <c r="D361" s="6"/>
      <c r="E361" s="6"/>
      <c r="F361" s="6"/>
      <c r="G361" s="7"/>
    </row>
    <row r="362" spans="1:7">
      <c r="A362" s="5"/>
      <c r="B362" s="6"/>
      <c r="C362" s="6"/>
      <c r="D362" s="6"/>
      <c r="E362" s="6"/>
      <c r="F362" s="6"/>
      <c r="G362" s="7"/>
    </row>
    <row r="363" spans="1:7">
      <c r="A363" s="5"/>
      <c r="B363" s="6"/>
      <c r="C363" s="6"/>
      <c r="D363" s="6"/>
      <c r="E363" s="6"/>
      <c r="F363" s="6"/>
      <c r="G363" s="7"/>
    </row>
    <row r="364" spans="1:7">
      <c r="A364" s="5"/>
      <c r="B364" s="6"/>
      <c r="C364" s="6"/>
      <c r="D364" s="6"/>
      <c r="E364" s="6"/>
      <c r="F364" s="6"/>
      <c r="G364" s="7"/>
    </row>
    <row r="365" spans="1:7">
      <c r="A365" s="5"/>
      <c r="B365" s="6"/>
      <c r="C365" s="6"/>
      <c r="D365" s="6"/>
      <c r="E365" s="6"/>
      <c r="F365" s="6"/>
      <c r="G365" s="7"/>
    </row>
    <row r="366" spans="1:7">
      <c r="A366" s="5"/>
      <c r="B366" s="6"/>
      <c r="C366" s="6"/>
      <c r="D366" s="6"/>
      <c r="E366" s="6"/>
      <c r="F366" s="6"/>
      <c r="G366" s="7"/>
    </row>
    <row r="367" spans="1:7">
      <c r="A367" s="5"/>
      <c r="B367" s="6"/>
      <c r="C367" s="6"/>
      <c r="D367" s="6"/>
      <c r="E367" s="6"/>
      <c r="F367" s="6"/>
      <c r="G367" s="7"/>
    </row>
    <row r="368" spans="1:7">
      <c r="A368" s="5"/>
      <c r="B368" s="6"/>
      <c r="C368" s="6"/>
      <c r="D368" s="6"/>
      <c r="E368" s="6"/>
      <c r="F368" s="6"/>
      <c r="G368" s="7"/>
    </row>
    <row r="369" spans="1:7">
      <c r="A369" s="5"/>
      <c r="B369" s="6"/>
      <c r="C369" s="6"/>
      <c r="D369" s="6"/>
      <c r="E369" s="6"/>
      <c r="F369" s="6"/>
      <c r="G369" s="7"/>
    </row>
    <row r="370" spans="1:7">
      <c r="A370" s="5"/>
      <c r="B370" s="6"/>
      <c r="C370" s="6"/>
      <c r="D370" s="6"/>
      <c r="E370" s="6"/>
      <c r="F370" s="6"/>
      <c r="G370" s="7"/>
    </row>
    <row r="371" spans="1:7">
      <c r="A371" s="5"/>
      <c r="B371" s="6"/>
      <c r="C371" s="6"/>
      <c r="D371" s="6"/>
      <c r="E371" s="6"/>
      <c r="F371" s="6"/>
      <c r="G371" s="7"/>
    </row>
    <row r="372" spans="1:7">
      <c r="A372" s="5"/>
      <c r="B372" s="6"/>
      <c r="C372" s="6"/>
      <c r="D372" s="6"/>
      <c r="E372" s="6"/>
      <c r="F372" s="6"/>
      <c r="G372" s="7"/>
    </row>
    <row r="373" spans="1:7">
      <c r="A373" s="5"/>
      <c r="B373" s="6"/>
      <c r="C373" s="6"/>
      <c r="D373" s="6"/>
      <c r="E373" s="6"/>
      <c r="F373" s="6"/>
      <c r="G373" s="7"/>
    </row>
    <row r="374" spans="1:7">
      <c r="A374" s="5"/>
      <c r="B374" s="6"/>
      <c r="C374" s="6"/>
      <c r="D374" s="6"/>
      <c r="E374" s="6"/>
      <c r="F374" s="6"/>
      <c r="G374" s="7"/>
    </row>
    <row r="375" spans="1:7">
      <c r="A375" s="5"/>
      <c r="B375" s="6"/>
      <c r="C375" s="6"/>
      <c r="D375" s="6"/>
      <c r="E375" s="6"/>
      <c r="F375" s="6"/>
      <c r="G375" s="7"/>
    </row>
    <row r="376" spans="1:7">
      <c r="A376" s="5"/>
      <c r="B376" s="6"/>
      <c r="C376" s="6"/>
      <c r="D376" s="6"/>
      <c r="E376" s="6"/>
      <c r="F376" s="6"/>
      <c r="G376" s="7"/>
    </row>
    <row r="377" spans="1:7">
      <c r="A377" s="5"/>
      <c r="B377" s="6"/>
      <c r="C377" s="6"/>
      <c r="D377" s="6"/>
      <c r="E377" s="6"/>
      <c r="F377" s="6"/>
      <c r="G377" s="7"/>
    </row>
    <row r="378" spans="1:7">
      <c r="A378" s="5"/>
      <c r="B378" s="6"/>
      <c r="C378" s="6"/>
      <c r="D378" s="6"/>
      <c r="E378" s="6"/>
      <c r="F378" s="6"/>
      <c r="G378" s="7"/>
    </row>
    <row r="379" spans="1:7">
      <c r="A379" s="5"/>
      <c r="B379" s="6"/>
      <c r="C379" s="6"/>
      <c r="D379" s="6"/>
      <c r="E379" s="6"/>
      <c r="F379" s="6"/>
      <c r="G379" s="7"/>
    </row>
    <row r="380" spans="1:7">
      <c r="A380" s="5"/>
      <c r="B380" s="6"/>
      <c r="C380" s="6"/>
      <c r="D380" s="6"/>
      <c r="E380" s="6"/>
      <c r="F380" s="6"/>
      <c r="G380" s="7"/>
    </row>
    <row r="381" spans="1:7">
      <c r="A381" s="5"/>
      <c r="B381" s="6"/>
      <c r="C381" s="6"/>
      <c r="D381" s="6"/>
      <c r="E381" s="6"/>
      <c r="F381" s="6"/>
      <c r="G381" s="7"/>
    </row>
    <row r="382" spans="1:7">
      <c r="A382" s="5"/>
      <c r="B382" s="6"/>
      <c r="C382" s="6"/>
      <c r="D382" s="6"/>
      <c r="E382" s="6"/>
      <c r="F382" s="6"/>
      <c r="G382" s="7"/>
    </row>
    <row r="383" spans="1:7">
      <c r="A383" s="5"/>
      <c r="B383" s="6"/>
      <c r="C383" s="6"/>
      <c r="D383" s="6"/>
      <c r="E383" s="6"/>
      <c r="F383" s="6"/>
      <c r="G383" s="7"/>
    </row>
    <row r="384" spans="1:7">
      <c r="A384" s="5"/>
      <c r="B384" s="6"/>
      <c r="C384" s="6"/>
      <c r="D384" s="6"/>
      <c r="E384" s="6"/>
      <c r="F384" s="6"/>
      <c r="G384" s="7"/>
    </row>
    <row r="385" spans="1:7">
      <c r="A385" s="5"/>
      <c r="B385" s="6"/>
      <c r="C385" s="6"/>
      <c r="D385" s="6"/>
      <c r="E385" s="6"/>
      <c r="F385" s="6"/>
      <c r="G385" s="7"/>
    </row>
    <row r="386" spans="1:7">
      <c r="A386" s="5"/>
      <c r="B386" s="6"/>
      <c r="C386" s="6"/>
      <c r="D386" s="6"/>
      <c r="E386" s="6"/>
      <c r="F386" s="6"/>
      <c r="G386" s="7"/>
    </row>
    <row r="387" spans="1:7">
      <c r="A387" s="5"/>
      <c r="B387" s="6"/>
      <c r="C387" s="6"/>
      <c r="D387" s="6"/>
      <c r="E387" s="6"/>
      <c r="F387" s="6"/>
      <c r="G387" s="7"/>
    </row>
    <row r="388" spans="1:7">
      <c r="A388" s="5"/>
      <c r="B388" s="6"/>
      <c r="C388" s="6"/>
      <c r="D388" s="6"/>
      <c r="E388" s="6"/>
      <c r="F388" s="6"/>
      <c r="G388" s="7"/>
    </row>
    <row r="389" spans="1:7">
      <c r="A389" s="5"/>
      <c r="B389" s="6"/>
      <c r="C389" s="6"/>
      <c r="D389" s="6"/>
      <c r="E389" s="6"/>
      <c r="F389" s="6"/>
      <c r="G389" s="7"/>
    </row>
    <row r="390" spans="1:7">
      <c r="A390" s="5"/>
      <c r="B390" s="6"/>
      <c r="C390" s="6"/>
      <c r="D390" s="6"/>
      <c r="E390" s="6"/>
      <c r="F390" s="6"/>
      <c r="G390" s="7"/>
    </row>
    <row r="391" spans="1:7">
      <c r="A391" s="5"/>
      <c r="B391" s="6"/>
      <c r="C391" s="6"/>
      <c r="D391" s="6"/>
      <c r="E391" s="6"/>
      <c r="F391" s="6"/>
      <c r="G391" s="7"/>
    </row>
    <row r="392" spans="1:7">
      <c r="A392" s="5"/>
      <c r="B392" s="6"/>
      <c r="C392" s="6"/>
      <c r="D392" s="6"/>
      <c r="E392" s="6"/>
      <c r="F392" s="6"/>
      <c r="G392" s="7"/>
    </row>
    <row r="393" spans="1:7">
      <c r="A393" s="5"/>
      <c r="B393" s="6"/>
      <c r="C393" s="6"/>
      <c r="D393" s="6"/>
      <c r="E393" s="6"/>
      <c r="F393" s="6"/>
      <c r="G393" s="7"/>
    </row>
    <row r="394" spans="1:7">
      <c r="A394" s="5"/>
      <c r="B394" s="6"/>
      <c r="C394" s="6"/>
      <c r="D394" s="6"/>
      <c r="E394" s="6"/>
      <c r="F394" s="6"/>
      <c r="G394" s="7"/>
    </row>
    <row r="395" spans="1:7">
      <c r="A395" s="5"/>
      <c r="B395" s="6"/>
      <c r="C395" s="6"/>
      <c r="D395" s="6"/>
      <c r="E395" s="6"/>
      <c r="F395" s="6"/>
      <c r="G395" s="7"/>
    </row>
    <row r="396" spans="1:7">
      <c r="A396" s="5"/>
      <c r="B396" s="6"/>
      <c r="C396" s="6"/>
      <c r="D396" s="6"/>
      <c r="E396" s="6"/>
      <c r="F396" s="6"/>
      <c r="G396" s="7"/>
    </row>
    <row r="397" spans="1:7">
      <c r="A397" s="5"/>
      <c r="B397" s="6"/>
      <c r="C397" s="6"/>
      <c r="D397" s="6"/>
      <c r="E397" s="6"/>
      <c r="F397" s="6"/>
      <c r="G397" s="7"/>
    </row>
    <row r="398" spans="1:7">
      <c r="A398" s="5"/>
      <c r="B398" s="6"/>
      <c r="C398" s="6"/>
      <c r="D398" s="6"/>
      <c r="E398" s="6"/>
      <c r="F398" s="6"/>
      <c r="G398" s="7"/>
    </row>
    <row r="399" spans="1:7">
      <c r="A399" s="5"/>
      <c r="B399" s="6"/>
      <c r="C399" s="6"/>
      <c r="D399" s="6"/>
      <c r="E399" s="6"/>
      <c r="F399" s="6"/>
      <c r="G399" s="7"/>
    </row>
    <row r="400" spans="1:7">
      <c r="A400" s="5"/>
      <c r="B400" s="6"/>
      <c r="C400" s="6"/>
      <c r="D400" s="6"/>
      <c r="E400" s="6"/>
      <c r="F400" s="6"/>
      <c r="G400" s="7"/>
    </row>
    <row r="401" spans="1:7">
      <c r="A401" s="5"/>
      <c r="B401" s="6"/>
      <c r="C401" s="6"/>
      <c r="D401" s="6"/>
      <c r="E401" s="6"/>
      <c r="F401" s="6"/>
      <c r="G401" s="7"/>
    </row>
    <row r="402" spans="1:7">
      <c r="A402" s="5"/>
      <c r="B402" s="6"/>
      <c r="C402" s="6"/>
      <c r="D402" s="6"/>
      <c r="E402" s="6"/>
      <c r="F402" s="6"/>
      <c r="G402" s="7"/>
    </row>
    <row r="403" spans="1:7">
      <c r="A403" s="5"/>
      <c r="B403" s="6"/>
      <c r="C403" s="6"/>
      <c r="D403" s="6"/>
      <c r="E403" s="6"/>
      <c r="F403" s="6"/>
      <c r="G403" s="7"/>
    </row>
    <row r="404" spans="1:7">
      <c r="A404" s="5"/>
      <c r="B404" s="6"/>
      <c r="C404" s="6"/>
      <c r="D404" s="6"/>
      <c r="E404" s="6"/>
      <c r="F404" s="6"/>
      <c r="G404" s="7"/>
    </row>
    <row r="405" spans="1:7">
      <c r="A405" s="5"/>
      <c r="B405" s="6"/>
      <c r="C405" s="6"/>
      <c r="D405" s="6"/>
      <c r="E405" s="6"/>
      <c r="F405" s="6"/>
      <c r="G405" s="7"/>
    </row>
    <row r="406" spans="1:7">
      <c r="A406" s="5"/>
      <c r="B406" s="6"/>
      <c r="C406" s="6"/>
      <c r="D406" s="6"/>
      <c r="E406" s="6"/>
      <c r="F406" s="6"/>
      <c r="G406" s="7"/>
    </row>
    <row r="407" spans="1:7">
      <c r="A407" s="5"/>
      <c r="B407" s="6"/>
      <c r="C407" s="6"/>
      <c r="D407" s="6"/>
      <c r="E407" s="6"/>
      <c r="F407" s="6"/>
      <c r="G407" s="7"/>
    </row>
    <row r="408" spans="1:7">
      <c r="A408" s="5"/>
      <c r="B408" s="6"/>
      <c r="C408" s="6"/>
      <c r="D408" s="6"/>
      <c r="E408" s="6"/>
      <c r="F408" s="6"/>
      <c r="G408" s="7"/>
    </row>
    <row r="409" spans="1:7">
      <c r="A409" s="5"/>
      <c r="B409" s="6"/>
      <c r="C409" s="6"/>
      <c r="D409" s="6"/>
      <c r="E409" s="6"/>
      <c r="F409" s="6"/>
      <c r="G409" s="7"/>
    </row>
    <row r="410" spans="1:7">
      <c r="A410" s="5"/>
      <c r="B410" s="6"/>
      <c r="C410" s="6"/>
      <c r="D410" s="6"/>
      <c r="E410" s="6"/>
      <c r="F410" s="6"/>
      <c r="G410" s="7"/>
    </row>
    <row r="411" spans="1:7">
      <c r="A411" s="5"/>
      <c r="B411" s="6"/>
      <c r="C411" s="6"/>
      <c r="D411" s="6"/>
      <c r="E411" s="6"/>
      <c r="F411" s="6"/>
      <c r="G411" s="7"/>
    </row>
    <row r="412" spans="1:7">
      <c r="A412" s="5"/>
      <c r="B412" s="6"/>
      <c r="C412" s="6"/>
      <c r="D412" s="6"/>
      <c r="E412" s="6"/>
      <c r="F412" s="6"/>
      <c r="G412" s="7"/>
    </row>
    <row r="413" spans="1:7">
      <c r="A413" s="5"/>
      <c r="B413" s="6"/>
      <c r="C413" s="6"/>
      <c r="D413" s="6"/>
      <c r="E413" s="6"/>
      <c r="F413" s="6"/>
      <c r="G413" s="7"/>
    </row>
    <row r="414" spans="1:7">
      <c r="A414" s="5"/>
      <c r="B414" s="6"/>
      <c r="C414" s="6"/>
      <c r="D414" s="6"/>
      <c r="E414" s="6"/>
      <c r="F414" s="6"/>
      <c r="G414" s="7"/>
    </row>
    <row r="415" spans="1:7">
      <c r="A415" s="5"/>
      <c r="B415" s="6"/>
      <c r="C415" s="6"/>
      <c r="D415" s="6"/>
      <c r="E415" s="6"/>
      <c r="F415" s="6"/>
      <c r="G415" s="7"/>
    </row>
    <row r="416" spans="1:7">
      <c r="A416" s="5"/>
      <c r="B416" s="6"/>
      <c r="C416" s="6"/>
      <c r="D416" s="6"/>
      <c r="E416" s="6"/>
      <c r="F416" s="6"/>
      <c r="G416" s="7"/>
    </row>
    <row r="417" spans="1:7">
      <c r="A417" s="5"/>
      <c r="B417" s="6"/>
      <c r="C417" s="6"/>
      <c r="D417" s="6"/>
      <c r="E417" s="6"/>
      <c r="F417" s="6"/>
      <c r="G417" s="7"/>
    </row>
    <row r="418" spans="1:7">
      <c r="A418" s="5"/>
      <c r="B418" s="6"/>
      <c r="C418" s="6"/>
      <c r="D418" s="6"/>
      <c r="E418" s="6"/>
      <c r="F418" s="6"/>
      <c r="G418" s="7"/>
    </row>
    <row r="419" spans="1:7">
      <c r="A419" s="5"/>
      <c r="B419" s="6"/>
      <c r="C419" s="6"/>
      <c r="D419" s="6"/>
      <c r="E419" s="6"/>
      <c r="F419" s="6"/>
      <c r="G419" s="7"/>
    </row>
    <row r="420" spans="1:7">
      <c r="A420" s="5"/>
      <c r="B420" s="6"/>
      <c r="C420" s="6"/>
      <c r="D420" s="6"/>
      <c r="E420" s="6"/>
      <c r="F420" s="6"/>
      <c r="G420" s="7"/>
    </row>
    <row r="421" spans="1:7">
      <c r="A421" s="5"/>
      <c r="B421" s="6"/>
      <c r="C421" s="6"/>
      <c r="D421" s="6"/>
      <c r="E421" s="6"/>
      <c r="F421" s="6"/>
      <c r="G421" s="7"/>
    </row>
    <row r="422" spans="1:7">
      <c r="A422" s="5"/>
      <c r="B422" s="6"/>
      <c r="C422" s="6"/>
      <c r="D422" s="6"/>
      <c r="E422" s="6"/>
      <c r="F422" s="6"/>
      <c r="G422" s="7"/>
    </row>
    <row r="423" spans="1:7">
      <c r="A423" s="5"/>
      <c r="B423" s="6"/>
      <c r="C423" s="6"/>
      <c r="D423" s="6"/>
      <c r="E423" s="6"/>
      <c r="F423" s="6"/>
      <c r="G423" s="7"/>
    </row>
    <row r="424" spans="1:7">
      <c r="A424" s="5"/>
      <c r="B424" s="6"/>
      <c r="C424" s="6"/>
      <c r="D424" s="6"/>
      <c r="E424" s="6"/>
      <c r="F424" s="6"/>
      <c r="G424" s="7"/>
    </row>
    <row r="425" spans="1:7">
      <c r="A425" s="5"/>
      <c r="B425" s="6"/>
      <c r="C425" s="6"/>
      <c r="D425" s="6"/>
      <c r="E425" s="6"/>
      <c r="F425" s="6"/>
      <c r="G425" s="7"/>
    </row>
    <row r="426" spans="1:7">
      <c r="A426" s="5"/>
      <c r="B426" s="6"/>
      <c r="C426" s="6"/>
      <c r="D426" s="6"/>
      <c r="E426" s="6"/>
      <c r="F426" s="6"/>
      <c r="G426" s="7"/>
    </row>
    <row r="427" spans="1:7">
      <c r="A427" s="5"/>
      <c r="B427" s="6"/>
      <c r="C427" s="6"/>
      <c r="D427" s="6"/>
      <c r="E427" s="6"/>
      <c r="F427" s="6"/>
      <c r="G427" s="7"/>
    </row>
    <row r="428" spans="1:7">
      <c r="A428" s="5"/>
      <c r="B428" s="6"/>
      <c r="C428" s="6"/>
      <c r="D428" s="6"/>
      <c r="E428" s="6"/>
      <c r="F428" s="6"/>
      <c r="G428" s="7"/>
    </row>
    <row r="429" spans="1:7">
      <c r="A429" s="5"/>
      <c r="B429" s="6"/>
      <c r="C429" s="6"/>
      <c r="D429" s="6"/>
      <c r="E429" s="6"/>
      <c r="F429" s="6"/>
      <c r="G429" s="7"/>
    </row>
    <row r="430" spans="1:7">
      <c r="A430" s="5"/>
      <c r="B430" s="6"/>
      <c r="C430" s="6"/>
      <c r="D430" s="6"/>
      <c r="E430" s="6"/>
      <c r="F430" s="6"/>
      <c r="G430" s="7"/>
    </row>
    <row r="431" spans="1:7">
      <c r="A431" s="5"/>
      <c r="B431" s="6"/>
      <c r="C431" s="6"/>
      <c r="D431" s="6"/>
      <c r="E431" s="6"/>
      <c r="F431" s="6"/>
      <c r="G431" s="7"/>
    </row>
    <row r="432" spans="1:7">
      <c r="A432" s="5"/>
      <c r="B432" s="6"/>
      <c r="C432" s="6"/>
      <c r="D432" s="6"/>
      <c r="E432" s="6"/>
      <c r="F432" s="6"/>
      <c r="G432" s="7"/>
    </row>
    <row r="433" spans="1:7">
      <c r="A433" s="5"/>
      <c r="B433" s="6"/>
      <c r="C433" s="6"/>
      <c r="D433" s="6"/>
      <c r="E433" s="6"/>
      <c r="F433" s="6"/>
      <c r="G433" s="7"/>
    </row>
    <row r="434" spans="1:7">
      <c r="A434" s="5"/>
      <c r="B434" s="6"/>
      <c r="C434" s="6"/>
      <c r="D434" s="6"/>
      <c r="E434" s="6"/>
      <c r="F434" s="6"/>
      <c r="G434" s="7"/>
    </row>
    <row r="435" spans="1:7">
      <c r="A435" s="5"/>
      <c r="B435" s="6"/>
      <c r="C435" s="6"/>
      <c r="D435" s="6"/>
      <c r="E435" s="6"/>
      <c r="F435" s="6"/>
      <c r="G435" s="7"/>
    </row>
    <row r="436" spans="1:7">
      <c r="A436" s="5"/>
      <c r="B436" s="6"/>
      <c r="C436" s="6"/>
      <c r="D436" s="6"/>
      <c r="E436" s="6"/>
      <c r="F436" s="6"/>
      <c r="G436" s="7"/>
    </row>
    <row r="437" spans="1:7">
      <c r="A437" s="5"/>
      <c r="B437" s="6"/>
      <c r="C437" s="6"/>
      <c r="D437" s="6"/>
      <c r="E437" s="6"/>
      <c r="F437" s="6"/>
      <c r="G437" s="7"/>
    </row>
    <row r="438" spans="1:7">
      <c r="A438" s="5"/>
      <c r="B438" s="6"/>
      <c r="C438" s="6"/>
      <c r="D438" s="6"/>
      <c r="E438" s="6"/>
      <c r="F438" s="6"/>
      <c r="G438" s="7"/>
    </row>
    <row r="439" spans="1:7">
      <c r="A439" s="5"/>
      <c r="B439" s="6"/>
      <c r="C439" s="6"/>
      <c r="D439" s="6"/>
      <c r="E439" s="6"/>
      <c r="F439" s="6"/>
      <c r="G439" s="7"/>
    </row>
    <row r="440" spans="1:7">
      <c r="A440" s="5"/>
      <c r="B440" s="6"/>
      <c r="C440" s="6"/>
      <c r="D440" s="6"/>
      <c r="E440" s="6"/>
      <c r="F440" s="6"/>
      <c r="G440" s="7"/>
    </row>
    <row r="441" spans="1:7">
      <c r="A441" s="5"/>
      <c r="B441" s="6"/>
      <c r="C441" s="6"/>
      <c r="D441" s="6"/>
      <c r="E441" s="6"/>
      <c r="F441" s="6"/>
      <c r="G441" s="7"/>
    </row>
    <row r="442" spans="1:7">
      <c r="A442" s="5"/>
      <c r="B442" s="6"/>
      <c r="C442" s="6"/>
      <c r="D442" s="6"/>
      <c r="E442" s="6"/>
      <c r="F442" s="6"/>
      <c r="G442" s="7"/>
    </row>
    <row r="443" spans="1:7">
      <c r="A443" s="5"/>
      <c r="B443" s="6"/>
      <c r="C443" s="6"/>
      <c r="D443" s="6"/>
      <c r="E443" s="6"/>
      <c r="F443" s="6"/>
      <c r="G443" s="7"/>
    </row>
    <row r="444" spans="1:7">
      <c r="A444" s="5"/>
      <c r="B444" s="6"/>
      <c r="C444" s="6"/>
      <c r="D444" s="6"/>
      <c r="E444" s="6"/>
      <c r="F444" s="6"/>
      <c r="G444" s="7"/>
    </row>
    <row r="445" spans="1:7">
      <c r="A445" s="5"/>
      <c r="B445" s="6"/>
      <c r="C445" s="6"/>
      <c r="D445" s="6"/>
      <c r="E445" s="6"/>
      <c r="F445" s="6"/>
      <c r="G445" s="7"/>
    </row>
    <row r="446" spans="1:7">
      <c r="A446" s="5"/>
      <c r="B446" s="6"/>
      <c r="C446" s="6"/>
      <c r="D446" s="6"/>
      <c r="E446" s="6"/>
      <c r="F446" s="6"/>
      <c r="G446" s="7"/>
    </row>
    <row r="447" spans="1:7">
      <c r="A447" s="5"/>
      <c r="B447" s="6"/>
      <c r="C447" s="6"/>
      <c r="D447" s="6"/>
      <c r="E447" s="6"/>
      <c r="F447" s="6"/>
      <c r="G447" s="7"/>
    </row>
    <row r="448" spans="1:7">
      <c r="A448" s="5"/>
      <c r="B448" s="6"/>
      <c r="C448" s="6"/>
      <c r="D448" s="6"/>
      <c r="E448" s="6"/>
      <c r="F448" s="6"/>
      <c r="G448" s="7"/>
    </row>
    <row r="449" spans="1:7">
      <c r="A449" s="5"/>
      <c r="B449" s="6"/>
      <c r="C449" s="6"/>
      <c r="D449" s="6"/>
      <c r="E449" s="6"/>
      <c r="F449" s="6"/>
      <c r="G449" s="7"/>
    </row>
    <row r="450" spans="1:7">
      <c r="A450" s="5"/>
      <c r="B450" s="6"/>
      <c r="C450" s="6"/>
      <c r="D450" s="6"/>
      <c r="E450" s="6"/>
      <c r="F450" s="6"/>
      <c r="G450" s="7"/>
    </row>
    <row r="451" spans="1:7">
      <c r="A451" s="5"/>
      <c r="B451" s="6"/>
      <c r="C451" s="6"/>
      <c r="D451" s="6"/>
      <c r="E451" s="6"/>
      <c r="F451" s="6"/>
      <c r="G451" s="7"/>
    </row>
    <row r="452" spans="1:7">
      <c r="A452" s="5"/>
      <c r="B452" s="6"/>
      <c r="C452" s="6"/>
      <c r="D452" s="6"/>
      <c r="E452" s="6"/>
      <c r="F452" s="6"/>
      <c r="G452" s="7"/>
    </row>
    <row r="453" spans="1:7">
      <c r="A453" s="5"/>
      <c r="B453" s="6"/>
      <c r="C453" s="6"/>
      <c r="D453" s="6"/>
      <c r="E453" s="6"/>
      <c r="F453" s="6"/>
      <c r="G453" s="7"/>
    </row>
    <row r="454" spans="1:7">
      <c r="A454" s="5"/>
      <c r="B454" s="6"/>
      <c r="C454" s="6"/>
      <c r="D454" s="6"/>
      <c r="E454" s="6"/>
      <c r="F454" s="6"/>
      <c r="G454" s="7"/>
    </row>
    <row r="455" spans="1:7">
      <c r="A455" s="5"/>
      <c r="B455" s="6"/>
      <c r="C455" s="6"/>
      <c r="D455" s="6"/>
      <c r="E455" s="6"/>
      <c r="F455" s="6"/>
      <c r="G455" s="7"/>
    </row>
    <row r="456" spans="1:7">
      <c r="A456" s="5"/>
      <c r="B456" s="6"/>
      <c r="C456" s="6"/>
      <c r="D456" s="6"/>
      <c r="E456" s="6"/>
      <c r="F456" s="6"/>
      <c r="G456" s="7"/>
    </row>
    <row r="457" spans="1:7">
      <c r="A457" s="5"/>
      <c r="B457" s="6"/>
      <c r="C457" s="6"/>
      <c r="D457" s="6"/>
      <c r="E457" s="6"/>
      <c r="F457" s="6"/>
      <c r="G457" s="7"/>
    </row>
    <row r="458" spans="1:7">
      <c r="A458" s="5"/>
      <c r="B458" s="6"/>
      <c r="C458" s="6"/>
      <c r="D458" s="6"/>
      <c r="E458" s="6"/>
      <c r="F458" s="6"/>
      <c r="G458" s="7"/>
    </row>
    <row r="459" spans="1:7">
      <c r="A459" s="5"/>
      <c r="B459" s="6"/>
      <c r="C459" s="6"/>
      <c r="D459" s="6"/>
      <c r="E459" s="6"/>
      <c r="F459" s="6"/>
      <c r="G459" s="7"/>
    </row>
    <row r="460" spans="1:7">
      <c r="A460" s="5"/>
      <c r="B460" s="6"/>
      <c r="C460" s="6"/>
      <c r="D460" s="6"/>
      <c r="E460" s="6"/>
      <c r="F460" s="6"/>
      <c r="G460" s="7"/>
    </row>
    <row r="461" spans="1:7">
      <c r="A461" s="5"/>
      <c r="B461" s="6"/>
      <c r="C461" s="6"/>
      <c r="D461" s="6"/>
      <c r="E461" s="6"/>
      <c r="F461" s="6"/>
      <c r="G461" s="7"/>
    </row>
    <row r="462" spans="1:7">
      <c r="A462" s="5"/>
      <c r="B462" s="6"/>
      <c r="C462" s="6"/>
      <c r="D462" s="6"/>
      <c r="E462" s="6"/>
      <c r="F462" s="6"/>
      <c r="G462" s="7"/>
    </row>
    <row r="463" spans="1:7">
      <c r="A463" s="5"/>
      <c r="B463" s="6"/>
      <c r="C463" s="6"/>
      <c r="D463" s="6"/>
      <c r="E463" s="6"/>
      <c r="F463" s="6"/>
      <c r="G463" s="7"/>
    </row>
    <row r="464" spans="1:7">
      <c r="A464" s="5"/>
      <c r="B464" s="6"/>
      <c r="C464" s="6"/>
      <c r="D464" s="6"/>
      <c r="E464" s="6"/>
      <c r="F464" s="6"/>
      <c r="G464" s="7"/>
    </row>
    <row r="465" spans="1:7">
      <c r="A465" s="5"/>
      <c r="B465" s="6"/>
      <c r="C465" s="6"/>
      <c r="D465" s="6"/>
      <c r="E465" s="6"/>
      <c r="F465" s="6"/>
      <c r="G465" s="7"/>
    </row>
    <row r="466" spans="1:7">
      <c r="A466" s="5"/>
      <c r="B466" s="6"/>
      <c r="C466" s="6"/>
      <c r="D466" s="6"/>
      <c r="E466" s="6"/>
      <c r="F466" s="6"/>
      <c r="G466" s="7"/>
    </row>
    <row r="467" spans="1:7">
      <c r="A467" s="5"/>
      <c r="B467" s="6"/>
      <c r="C467" s="6"/>
      <c r="D467" s="6"/>
      <c r="E467" s="6"/>
      <c r="F467" s="6"/>
      <c r="G467" s="7"/>
    </row>
    <row r="468" spans="1:7">
      <c r="A468" s="5"/>
      <c r="B468" s="6"/>
      <c r="C468" s="6"/>
      <c r="D468" s="6"/>
      <c r="E468" s="6"/>
      <c r="F468" s="6"/>
      <c r="G468" s="7"/>
    </row>
    <row r="469" spans="1:7">
      <c r="A469" s="5"/>
      <c r="B469" s="6"/>
      <c r="C469" s="6"/>
      <c r="D469" s="6"/>
      <c r="E469" s="6"/>
      <c r="F469" s="6"/>
      <c r="G469" s="7"/>
    </row>
    <row r="470" spans="1:7">
      <c r="A470" s="5"/>
      <c r="B470" s="6"/>
      <c r="C470" s="6"/>
      <c r="D470" s="6"/>
      <c r="E470" s="6"/>
      <c r="F470" s="6"/>
      <c r="G470" s="7"/>
    </row>
    <row r="471" spans="1:7">
      <c r="A471" s="5"/>
      <c r="B471" s="6"/>
      <c r="C471" s="6"/>
      <c r="D471" s="6"/>
      <c r="E471" s="6"/>
      <c r="F471" s="6"/>
      <c r="G471" s="7"/>
    </row>
    <row r="472" spans="1:7">
      <c r="A472" s="5"/>
      <c r="B472" s="6"/>
      <c r="C472" s="6"/>
      <c r="D472" s="6"/>
      <c r="E472" s="6"/>
      <c r="F472" s="6"/>
      <c r="G472" s="7"/>
    </row>
    <row r="473" spans="1:7">
      <c r="A473" s="5"/>
      <c r="B473" s="6"/>
      <c r="C473" s="6"/>
      <c r="D473" s="6"/>
      <c r="E473" s="6"/>
      <c r="F473" s="6"/>
      <c r="G473" s="7"/>
    </row>
    <row r="474" spans="1:7">
      <c r="A474" s="5"/>
      <c r="B474" s="6"/>
      <c r="C474" s="6"/>
      <c r="D474" s="6"/>
      <c r="E474" s="6"/>
      <c r="F474" s="6"/>
      <c r="G474" s="7"/>
    </row>
    <row r="475" spans="1:7">
      <c r="A475" s="5"/>
      <c r="B475" s="6"/>
      <c r="C475" s="6"/>
      <c r="D475" s="6"/>
      <c r="E475" s="6"/>
      <c r="F475" s="6"/>
      <c r="G475" s="7"/>
    </row>
    <row r="476" spans="1:7">
      <c r="A476" s="5"/>
      <c r="B476" s="6"/>
      <c r="C476" s="6"/>
      <c r="D476" s="6"/>
      <c r="E476" s="6"/>
      <c r="F476" s="6"/>
      <c r="G476" s="7"/>
    </row>
    <row r="477" spans="1:7">
      <c r="A477" s="5"/>
      <c r="B477" s="6"/>
      <c r="C477" s="6"/>
      <c r="D477" s="6"/>
      <c r="E477" s="6"/>
      <c r="F477" s="6"/>
      <c r="G477" s="7"/>
    </row>
    <row r="478" spans="1:7">
      <c r="A478" s="5"/>
      <c r="B478" s="6"/>
      <c r="C478" s="6"/>
      <c r="D478" s="6"/>
      <c r="E478" s="6"/>
      <c r="F478" s="6"/>
      <c r="G478" s="7"/>
    </row>
    <row r="479" spans="1:7">
      <c r="A479" s="5"/>
      <c r="B479" s="6"/>
      <c r="C479" s="6"/>
      <c r="D479" s="6"/>
      <c r="E479" s="6"/>
      <c r="F479" s="6"/>
      <c r="G479" s="7"/>
    </row>
    <row r="480" spans="1:7">
      <c r="A480" s="5"/>
      <c r="B480" s="6"/>
      <c r="C480" s="6"/>
      <c r="D480" s="6"/>
      <c r="E480" s="6"/>
      <c r="F480" s="6"/>
      <c r="G480" s="7"/>
    </row>
    <row r="481" spans="1:7">
      <c r="A481" s="5"/>
      <c r="B481" s="6"/>
      <c r="C481" s="6"/>
      <c r="D481" s="6"/>
      <c r="E481" s="6"/>
      <c r="F481" s="6"/>
      <c r="G481" s="7"/>
    </row>
    <row r="482" spans="1:7">
      <c r="A482" s="5"/>
      <c r="B482" s="6"/>
      <c r="C482" s="6"/>
      <c r="D482" s="6"/>
      <c r="E482" s="6"/>
      <c r="F482" s="6"/>
      <c r="G482" s="7"/>
    </row>
    <row r="483" spans="1:7">
      <c r="A483" s="5"/>
      <c r="B483" s="6"/>
      <c r="C483" s="6"/>
      <c r="D483" s="6"/>
      <c r="E483" s="6"/>
      <c r="F483" s="6"/>
      <c r="G483" s="7"/>
    </row>
    <row r="484" spans="1:7">
      <c r="A484" s="5"/>
      <c r="B484" s="6"/>
      <c r="C484" s="6"/>
      <c r="D484" s="6"/>
      <c r="E484" s="6"/>
      <c r="F484" s="6"/>
      <c r="G484" s="7"/>
    </row>
    <row r="485" spans="1:7">
      <c r="A485" s="5"/>
      <c r="B485" s="6"/>
      <c r="C485" s="6"/>
      <c r="D485" s="6"/>
      <c r="E485" s="6"/>
      <c r="F485" s="6"/>
      <c r="G485" s="7"/>
    </row>
    <row r="486" spans="1:7">
      <c r="A486" s="5"/>
      <c r="B486" s="6"/>
      <c r="C486" s="6"/>
      <c r="D486" s="6"/>
      <c r="E486" s="6"/>
      <c r="F486" s="6"/>
      <c r="G486" s="7"/>
    </row>
    <row r="487" spans="1:7">
      <c r="A487" s="5"/>
      <c r="B487" s="6"/>
      <c r="C487" s="6"/>
      <c r="D487" s="6"/>
      <c r="E487" s="6"/>
      <c r="F487" s="6"/>
      <c r="G487" s="7"/>
    </row>
    <row r="488" spans="1:7">
      <c r="A488" s="5"/>
      <c r="B488" s="6"/>
      <c r="C488" s="6"/>
      <c r="D488" s="6"/>
      <c r="E488" s="6"/>
      <c r="F488" s="6"/>
      <c r="G488" s="7"/>
    </row>
    <row r="489" spans="1:7">
      <c r="A489" s="5"/>
      <c r="B489" s="6"/>
      <c r="C489" s="6"/>
      <c r="D489" s="6"/>
      <c r="E489" s="6"/>
      <c r="F489" s="6"/>
      <c r="G489" s="7"/>
    </row>
    <row r="490" spans="1:7">
      <c r="A490" s="5"/>
      <c r="B490" s="6"/>
      <c r="C490" s="6"/>
      <c r="D490" s="6"/>
      <c r="E490" s="6"/>
      <c r="F490" s="6"/>
      <c r="G490" s="7"/>
    </row>
    <row r="491" spans="1:7">
      <c r="A491" s="5"/>
      <c r="B491" s="6"/>
      <c r="C491" s="6"/>
      <c r="D491" s="6"/>
      <c r="E491" s="6"/>
      <c r="F491" s="6"/>
      <c r="G491" s="7"/>
    </row>
    <row r="492" spans="1:7">
      <c r="A492" s="5"/>
      <c r="B492" s="6"/>
      <c r="C492" s="6"/>
      <c r="D492" s="6"/>
      <c r="E492" s="6"/>
      <c r="F492" s="6"/>
      <c r="G492" s="7"/>
    </row>
    <row r="493" spans="1:7">
      <c r="A493" s="5"/>
      <c r="B493" s="6"/>
      <c r="C493" s="6"/>
      <c r="D493" s="6"/>
      <c r="E493" s="6"/>
      <c r="F493" s="6"/>
      <c r="G493" s="7"/>
    </row>
    <row r="494" spans="1:7">
      <c r="A494" s="5"/>
      <c r="B494" s="6"/>
      <c r="C494" s="6"/>
      <c r="D494" s="6"/>
      <c r="E494" s="6"/>
      <c r="F494" s="6"/>
      <c r="G494" s="7"/>
    </row>
    <row r="495" spans="1:7">
      <c r="A495" s="5"/>
      <c r="B495" s="6"/>
      <c r="C495" s="6"/>
      <c r="D495" s="6"/>
      <c r="E495" s="6"/>
      <c r="F495" s="6"/>
      <c r="G495" s="7"/>
    </row>
    <row r="496" spans="1:7">
      <c r="A496" s="5"/>
      <c r="B496" s="6"/>
      <c r="C496" s="6"/>
      <c r="D496" s="6"/>
      <c r="E496" s="6"/>
      <c r="F496" s="6"/>
      <c r="G496" s="7"/>
    </row>
    <row r="497" spans="1:7">
      <c r="A497" s="5"/>
      <c r="B497" s="6"/>
      <c r="C497" s="6"/>
      <c r="D497" s="6"/>
      <c r="E497" s="6"/>
      <c r="F497" s="6"/>
      <c r="G497" s="7"/>
    </row>
    <row r="498" spans="1:7">
      <c r="A498" s="5"/>
      <c r="B498" s="6"/>
      <c r="C498" s="6"/>
      <c r="D498" s="6"/>
      <c r="E498" s="6"/>
      <c r="F498" s="6"/>
      <c r="G498" s="7"/>
    </row>
    <row r="499" spans="1:7">
      <c r="A499" s="5"/>
      <c r="B499" s="6"/>
      <c r="C499" s="6"/>
      <c r="D499" s="6"/>
      <c r="E499" s="6"/>
      <c r="F499" s="6"/>
      <c r="G499" s="7"/>
    </row>
    <row r="500" spans="1:7">
      <c r="A500" s="8"/>
      <c r="B500" s="9"/>
      <c r="C500" s="9"/>
      <c r="D500" s="9"/>
      <c r="E500" s="9"/>
      <c r="F500" s="9"/>
      <c r="G500" s="10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0"/>
  <sheetViews>
    <sheetView workbookViewId="0">
      <selection sqref="A1:I1"/>
    </sheetView>
  </sheetViews>
  <sheetFormatPr baseColWidth="10" defaultColWidth="8.6640625" defaultRowHeight="14"/>
  <cols>
    <col min="1" max="1" width="22" customWidth="1"/>
    <col min="2" max="2" width="18" customWidth="1"/>
    <col min="3" max="5" width="16" customWidth="1"/>
    <col min="6" max="6" width="12" customWidth="1"/>
    <col min="7" max="7" width="42" customWidth="1"/>
  </cols>
  <sheetData>
    <row r="1" spans="1:9" ht="0.75" customHeight="1">
      <c r="A1" s="88" t="s">
        <v>124</v>
      </c>
      <c r="B1" s="89"/>
      <c r="C1" s="89"/>
      <c r="D1" s="89"/>
      <c r="E1" s="89"/>
      <c r="F1" s="92"/>
      <c r="G1" s="89"/>
      <c r="H1" s="89"/>
      <c r="I1" s="89"/>
    </row>
    <row r="2" spans="1:9" ht="0.9" customHeight="1">
      <c r="A2" s="90" t="s">
        <v>125</v>
      </c>
      <c r="B2" s="89"/>
      <c r="C2" s="89"/>
      <c r="D2" s="89"/>
      <c r="E2" s="89"/>
      <c r="F2" s="89"/>
      <c r="G2" s="89"/>
      <c r="H2" s="89"/>
      <c r="I2" s="89"/>
    </row>
    <row r="4" spans="1:9" ht="0.9" customHeight="1">
      <c r="A4" s="1" t="s">
        <v>36</v>
      </c>
      <c r="B4" s="1" t="s">
        <v>37</v>
      </c>
      <c r="C4" s="1" t="s">
        <v>38</v>
      </c>
      <c r="D4" s="1" t="s">
        <v>39</v>
      </c>
      <c r="E4" s="1" t="s">
        <v>122</v>
      </c>
      <c r="F4" s="1" t="s">
        <v>126</v>
      </c>
      <c r="G4" s="1" t="s">
        <v>103</v>
      </c>
    </row>
    <row r="5" spans="1:9">
      <c r="A5" s="2" t="s">
        <v>58</v>
      </c>
      <c r="B5" s="3" t="s">
        <v>51</v>
      </c>
      <c r="C5" s="3" t="s">
        <v>46</v>
      </c>
      <c r="D5" s="3" t="s">
        <v>47</v>
      </c>
      <c r="E5" s="3" t="s">
        <v>48</v>
      </c>
      <c r="F5" s="3">
        <v>0.24224806201550386</v>
      </c>
      <c r="G5" s="4" t="s">
        <v>127</v>
      </c>
    </row>
    <row r="6" spans="1:9">
      <c r="A6" s="2" t="s">
        <v>58</v>
      </c>
      <c r="B6" s="3" t="s">
        <v>51</v>
      </c>
      <c r="C6" s="6" t="s">
        <v>46</v>
      </c>
      <c r="D6" s="6" t="s">
        <v>47</v>
      </c>
      <c r="E6" s="6" t="s">
        <v>54</v>
      </c>
      <c r="F6" s="6">
        <v>0</v>
      </c>
      <c r="G6" s="7" t="s">
        <v>127</v>
      </c>
    </row>
    <row r="7" spans="1:9">
      <c r="A7" s="2" t="s">
        <v>58</v>
      </c>
      <c r="B7" s="3" t="s">
        <v>51</v>
      </c>
      <c r="C7" s="6" t="s">
        <v>46</v>
      </c>
      <c r="D7" s="6" t="s">
        <v>47</v>
      </c>
      <c r="E7" s="6" t="s">
        <v>57</v>
      </c>
      <c r="F7" s="6">
        <v>0.22093023255813954</v>
      </c>
      <c r="G7" s="7" t="s">
        <v>127</v>
      </c>
    </row>
    <row r="8" spans="1:9">
      <c r="A8" s="2" t="s">
        <v>58</v>
      </c>
      <c r="B8" s="3" t="s">
        <v>51</v>
      </c>
      <c r="C8" s="6" t="s">
        <v>46</v>
      </c>
      <c r="D8" s="6" t="s">
        <v>47</v>
      </c>
      <c r="E8" s="6" t="s">
        <v>59</v>
      </c>
      <c r="F8" s="6">
        <v>1.1627906976744186E-2</v>
      </c>
      <c r="G8" s="7" t="s">
        <v>127</v>
      </c>
    </row>
    <row r="9" spans="1:9">
      <c r="A9" s="2" t="s">
        <v>58</v>
      </c>
      <c r="B9" s="3" t="s">
        <v>51</v>
      </c>
      <c r="C9" s="6" t="s">
        <v>46</v>
      </c>
      <c r="D9" s="6" t="s">
        <v>47</v>
      </c>
      <c r="E9" s="6" t="s">
        <v>61</v>
      </c>
      <c r="F9" s="6">
        <v>0.25193798449612403</v>
      </c>
      <c r="G9" s="7" t="s">
        <v>127</v>
      </c>
    </row>
    <row r="10" spans="1:9">
      <c r="A10" s="2" t="s">
        <v>58</v>
      </c>
      <c r="B10" s="3" t="s">
        <v>51</v>
      </c>
      <c r="C10" s="6" t="s">
        <v>46</v>
      </c>
      <c r="D10" s="6" t="s">
        <v>47</v>
      </c>
      <c r="E10" s="6" t="s">
        <v>63</v>
      </c>
      <c r="F10" s="6">
        <v>1.7441860465116279E-2</v>
      </c>
      <c r="G10" s="7" t="s">
        <v>127</v>
      </c>
    </row>
    <row r="11" spans="1:9">
      <c r="A11" s="2" t="s">
        <v>58</v>
      </c>
      <c r="B11" s="3" t="s">
        <v>51</v>
      </c>
      <c r="C11" s="6" t="s">
        <v>46</v>
      </c>
      <c r="D11" s="6" t="s">
        <v>47</v>
      </c>
      <c r="E11" s="3" t="s">
        <v>65</v>
      </c>
      <c r="F11" s="6">
        <v>0.16666666666666666</v>
      </c>
      <c r="G11" s="7" t="s">
        <v>127</v>
      </c>
    </row>
    <row r="12" spans="1:9">
      <c r="A12" s="2" t="s">
        <v>58</v>
      </c>
      <c r="B12" s="3" t="s">
        <v>51</v>
      </c>
      <c r="C12" s="6" t="s">
        <v>46</v>
      </c>
      <c r="D12" s="6" t="s">
        <v>47</v>
      </c>
      <c r="E12" s="6" t="s">
        <v>67</v>
      </c>
      <c r="F12" s="6">
        <v>8.9147286821705432E-2</v>
      </c>
      <c r="G12" s="7" t="s">
        <v>127</v>
      </c>
    </row>
    <row r="13" spans="1:9">
      <c r="A13" s="5" t="s">
        <v>60</v>
      </c>
      <c r="B13" s="3" t="s">
        <v>51</v>
      </c>
      <c r="C13" s="6" t="s">
        <v>46</v>
      </c>
      <c r="D13" s="6" t="s">
        <v>47</v>
      </c>
      <c r="E13" s="3" t="s">
        <v>48</v>
      </c>
      <c r="F13" s="6">
        <v>0.27131782945736432</v>
      </c>
      <c r="G13" s="7" t="s">
        <v>127</v>
      </c>
    </row>
    <row r="14" spans="1:9">
      <c r="A14" s="5" t="s">
        <v>60</v>
      </c>
      <c r="B14" s="3" t="s">
        <v>51</v>
      </c>
      <c r="C14" s="6" t="s">
        <v>46</v>
      </c>
      <c r="D14" s="6" t="s">
        <v>47</v>
      </c>
      <c r="E14" s="6" t="s">
        <v>54</v>
      </c>
      <c r="F14" s="6">
        <v>0</v>
      </c>
      <c r="G14" s="7" t="s">
        <v>127</v>
      </c>
    </row>
    <row r="15" spans="1:9">
      <c r="A15" s="5" t="s">
        <v>60</v>
      </c>
      <c r="B15" s="3" t="s">
        <v>51</v>
      </c>
      <c r="C15" s="6" t="s">
        <v>46</v>
      </c>
      <c r="D15" s="6" t="s">
        <v>47</v>
      </c>
      <c r="E15" s="6" t="s">
        <v>57</v>
      </c>
      <c r="F15" s="6">
        <v>0.23643410852713179</v>
      </c>
      <c r="G15" s="7" t="s">
        <v>127</v>
      </c>
    </row>
    <row r="16" spans="1:9">
      <c r="A16" s="5" t="s">
        <v>60</v>
      </c>
      <c r="B16" s="3" t="s">
        <v>51</v>
      </c>
      <c r="C16" s="6" t="s">
        <v>46</v>
      </c>
      <c r="D16" s="6" t="s">
        <v>47</v>
      </c>
      <c r="E16" s="6" t="s">
        <v>59</v>
      </c>
      <c r="F16" s="6">
        <v>1.7441860465116279E-2</v>
      </c>
      <c r="G16" s="7" t="s">
        <v>127</v>
      </c>
    </row>
    <row r="17" spans="1:7">
      <c r="A17" s="5" t="s">
        <v>60</v>
      </c>
      <c r="B17" s="3" t="s">
        <v>51</v>
      </c>
      <c r="C17" s="6" t="s">
        <v>46</v>
      </c>
      <c r="D17" s="6" t="s">
        <v>47</v>
      </c>
      <c r="E17" s="6" t="s">
        <v>61</v>
      </c>
      <c r="F17" s="6">
        <v>0.22093023255813954</v>
      </c>
      <c r="G17" s="7" t="s">
        <v>127</v>
      </c>
    </row>
    <row r="18" spans="1:7">
      <c r="A18" s="5" t="s">
        <v>60</v>
      </c>
      <c r="B18" s="3" t="s">
        <v>51</v>
      </c>
      <c r="C18" s="3" t="s">
        <v>46</v>
      </c>
      <c r="D18" s="3" t="s">
        <v>47</v>
      </c>
      <c r="E18" s="6" t="s">
        <v>63</v>
      </c>
      <c r="F18" s="6">
        <v>1.7441860465116279E-2</v>
      </c>
      <c r="G18" s="7" t="s">
        <v>127</v>
      </c>
    </row>
    <row r="19" spans="1:7">
      <c r="A19" s="5" t="s">
        <v>60</v>
      </c>
      <c r="B19" s="3" t="s">
        <v>51</v>
      </c>
      <c r="C19" s="3" t="s">
        <v>46</v>
      </c>
      <c r="D19" s="3" t="s">
        <v>47</v>
      </c>
      <c r="E19" s="3" t="s">
        <v>65</v>
      </c>
      <c r="F19" s="6">
        <v>0.26356589147286824</v>
      </c>
      <c r="G19" s="7"/>
    </row>
    <row r="20" spans="1:7">
      <c r="A20" s="5" t="s">
        <v>60</v>
      </c>
      <c r="B20" s="3" t="s">
        <v>51</v>
      </c>
      <c r="C20" s="3" t="s">
        <v>46</v>
      </c>
      <c r="D20" s="3" t="s">
        <v>47</v>
      </c>
      <c r="E20" s="6" t="s">
        <v>67</v>
      </c>
      <c r="F20" s="6">
        <v>7.5581395348837205E-2</v>
      </c>
      <c r="G20" s="7"/>
    </row>
    <row r="21" spans="1:7">
      <c r="A21" s="5" t="s">
        <v>62</v>
      </c>
      <c r="B21" s="3" t="s">
        <v>51</v>
      </c>
      <c r="C21" s="3" t="s">
        <v>46</v>
      </c>
      <c r="D21" s="3" t="s">
        <v>47</v>
      </c>
      <c r="E21" s="3" t="s">
        <v>48</v>
      </c>
      <c r="F21" s="6">
        <v>0.23643410852713179</v>
      </c>
      <c r="G21" s="7"/>
    </row>
    <row r="22" spans="1:7">
      <c r="A22" s="5" t="s">
        <v>62</v>
      </c>
      <c r="B22" s="3" t="s">
        <v>51</v>
      </c>
      <c r="C22" s="3" t="s">
        <v>46</v>
      </c>
      <c r="D22" s="3" t="s">
        <v>47</v>
      </c>
      <c r="E22" s="6" t="s">
        <v>54</v>
      </c>
      <c r="F22" s="6">
        <v>1.937984496124031E-3</v>
      </c>
      <c r="G22" s="7"/>
    </row>
    <row r="23" spans="1:7">
      <c r="A23" s="5" t="s">
        <v>62</v>
      </c>
      <c r="B23" s="3" t="s">
        <v>51</v>
      </c>
      <c r="C23" s="3" t="s">
        <v>46</v>
      </c>
      <c r="D23" s="3" t="s">
        <v>47</v>
      </c>
      <c r="E23" s="6" t="s">
        <v>57</v>
      </c>
      <c r="F23" s="6">
        <v>0.22674418604651161</v>
      </c>
      <c r="G23" s="7"/>
    </row>
    <row r="24" spans="1:7">
      <c r="A24" s="5" t="s">
        <v>62</v>
      </c>
      <c r="B24" s="3" t="s">
        <v>51</v>
      </c>
      <c r="C24" s="3" t="s">
        <v>46</v>
      </c>
      <c r="D24" s="3" t="s">
        <v>47</v>
      </c>
      <c r="E24" s="6" t="s">
        <v>59</v>
      </c>
      <c r="F24" s="6">
        <v>3.1007751937984496E-2</v>
      </c>
      <c r="G24" s="7"/>
    </row>
    <row r="25" spans="1:7">
      <c r="A25" s="5" t="s">
        <v>62</v>
      </c>
      <c r="B25" s="3" t="s">
        <v>51</v>
      </c>
      <c r="C25" s="3" t="s">
        <v>46</v>
      </c>
      <c r="D25" s="3" t="s">
        <v>47</v>
      </c>
      <c r="E25" s="6" t="s">
        <v>61</v>
      </c>
      <c r="F25" s="6">
        <v>0.19573643410852712</v>
      </c>
      <c r="G25" s="7"/>
    </row>
    <row r="26" spans="1:7">
      <c r="A26" s="5" t="s">
        <v>62</v>
      </c>
      <c r="B26" s="3" t="s">
        <v>51</v>
      </c>
      <c r="C26" s="3" t="s">
        <v>46</v>
      </c>
      <c r="D26" s="3" t="s">
        <v>47</v>
      </c>
      <c r="E26" s="6" t="s">
        <v>63</v>
      </c>
      <c r="F26" s="6">
        <v>4.0697674418604654E-2</v>
      </c>
      <c r="G26" s="7"/>
    </row>
    <row r="27" spans="1:7">
      <c r="A27" s="5" t="s">
        <v>62</v>
      </c>
      <c r="B27" s="3" t="s">
        <v>51</v>
      </c>
      <c r="C27" s="3" t="s">
        <v>46</v>
      </c>
      <c r="D27" s="3" t="s">
        <v>47</v>
      </c>
      <c r="E27" s="3" t="s">
        <v>65</v>
      </c>
      <c r="F27" s="6">
        <v>0.15310077519379844</v>
      </c>
      <c r="G27" s="7"/>
    </row>
    <row r="28" spans="1:7">
      <c r="A28" s="5" t="s">
        <v>62</v>
      </c>
      <c r="B28" s="3" t="s">
        <v>51</v>
      </c>
      <c r="C28" s="3" t="s">
        <v>46</v>
      </c>
      <c r="D28" s="3" t="s">
        <v>47</v>
      </c>
      <c r="E28" s="6" t="s">
        <v>67</v>
      </c>
      <c r="F28" s="6">
        <v>7.3643410852713184E-2</v>
      </c>
      <c r="G28" s="7"/>
    </row>
    <row r="29" spans="1:7">
      <c r="A29" s="5" t="s">
        <v>64</v>
      </c>
      <c r="B29" s="3" t="s">
        <v>51</v>
      </c>
      <c r="C29" s="3" t="s">
        <v>46</v>
      </c>
      <c r="D29" s="3" t="s">
        <v>47</v>
      </c>
      <c r="E29" s="3" t="s">
        <v>48</v>
      </c>
      <c r="F29" s="6">
        <v>0.55813953488372092</v>
      </c>
      <c r="G29" s="7"/>
    </row>
    <row r="30" spans="1:7">
      <c r="A30" s="5" t="s">
        <v>64</v>
      </c>
      <c r="B30" s="3" t="s">
        <v>51</v>
      </c>
      <c r="C30" s="3" t="s">
        <v>46</v>
      </c>
      <c r="D30" s="3" t="s">
        <v>47</v>
      </c>
      <c r="E30" s="6" t="s">
        <v>54</v>
      </c>
      <c r="F30" s="6">
        <v>1.937984496124031E-3</v>
      </c>
      <c r="G30" s="7"/>
    </row>
    <row r="31" spans="1:7">
      <c r="A31" s="5" t="s">
        <v>64</v>
      </c>
      <c r="B31" s="3" t="s">
        <v>51</v>
      </c>
      <c r="C31" s="3" t="s">
        <v>46</v>
      </c>
      <c r="D31" s="3" t="s">
        <v>47</v>
      </c>
      <c r="E31" s="6" t="s">
        <v>57</v>
      </c>
      <c r="F31" s="6">
        <v>0.44379844961240311</v>
      </c>
      <c r="G31" s="7"/>
    </row>
    <row r="32" spans="1:7">
      <c r="A32" s="5" t="s">
        <v>64</v>
      </c>
      <c r="B32" s="3" t="s">
        <v>51</v>
      </c>
      <c r="C32" s="3" t="s">
        <v>46</v>
      </c>
      <c r="D32" s="3" t="s">
        <v>47</v>
      </c>
      <c r="E32" s="6" t="s">
        <v>59</v>
      </c>
      <c r="F32" s="6">
        <v>2.7131782945736434E-2</v>
      </c>
      <c r="G32" s="7"/>
    </row>
    <row r="33" spans="1:7">
      <c r="A33" s="5" t="s">
        <v>64</v>
      </c>
      <c r="B33" s="3" t="s">
        <v>51</v>
      </c>
      <c r="C33" s="3" t="s">
        <v>46</v>
      </c>
      <c r="D33" s="3" t="s">
        <v>47</v>
      </c>
      <c r="E33" s="6" t="s">
        <v>61</v>
      </c>
      <c r="F33" s="6">
        <v>0.37596899224806202</v>
      </c>
      <c r="G33" s="7"/>
    </row>
    <row r="34" spans="1:7">
      <c r="A34" s="5" t="s">
        <v>64</v>
      </c>
      <c r="B34" s="3" t="s">
        <v>51</v>
      </c>
      <c r="C34" s="3" t="s">
        <v>46</v>
      </c>
      <c r="D34" s="3" t="s">
        <v>47</v>
      </c>
      <c r="E34" s="6" t="s">
        <v>63</v>
      </c>
      <c r="F34" s="6">
        <v>7.5581395348837205E-2</v>
      </c>
      <c r="G34" s="7"/>
    </row>
    <row r="35" spans="1:7">
      <c r="A35" s="5" t="s">
        <v>64</v>
      </c>
      <c r="B35" s="3" t="s">
        <v>51</v>
      </c>
      <c r="C35" s="3" t="s">
        <v>46</v>
      </c>
      <c r="D35" s="3" t="s">
        <v>47</v>
      </c>
      <c r="E35" s="3" t="s">
        <v>65</v>
      </c>
      <c r="F35" s="6">
        <v>0.34302325581395349</v>
      </c>
      <c r="G35" s="7"/>
    </row>
    <row r="36" spans="1:7">
      <c r="A36" s="5" t="s">
        <v>64</v>
      </c>
      <c r="B36" s="3" t="s">
        <v>51</v>
      </c>
      <c r="C36" s="3" t="s">
        <v>46</v>
      </c>
      <c r="D36" s="3" t="s">
        <v>47</v>
      </c>
      <c r="E36" s="6" t="s">
        <v>67</v>
      </c>
      <c r="F36" s="6">
        <v>7.3643410852713184E-2</v>
      </c>
      <c r="G36" s="7"/>
    </row>
    <row r="37" spans="1:7">
      <c r="A37" s="5" t="s">
        <v>66</v>
      </c>
      <c r="B37" s="3" t="s">
        <v>51</v>
      </c>
      <c r="C37" s="3" t="s">
        <v>46</v>
      </c>
      <c r="D37" s="3" t="s">
        <v>47</v>
      </c>
      <c r="E37" s="3" t="s">
        <v>48</v>
      </c>
      <c r="F37" s="6">
        <v>0.2131782945736434</v>
      </c>
      <c r="G37" s="7"/>
    </row>
    <row r="38" spans="1:7">
      <c r="A38" s="5" t="s">
        <v>66</v>
      </c>
      <c r="B38" s="3" t="s">
        <v>51</v>
      </c>
      <c r="C38" s="3" t="s">
        <v>46</v>
      </c>
      <c r="D38" s="3" t="s">
        <v>47</v>
      </c>
      <c r="E38" s="6" t="s">
        <v>54</v>
      </c>
      <c r="F38" s="6">
        <v>0</v>
      </c>
      <c r="G38" s="7"/>
    </row>
    <row r="39" spans="1:7">
      <c r="A39" s="5" t="s">
        <v>66</v>
      </c>
      <c r="B39" s="3" t="s">
        <v>51</v>
      </c>
      <c r="C39" s="3" t="s">
        <v>46</v>
      </c>
      <c r="D39" s="3" t="s">
        <v>47</v>
      </c>
      <c r="E39" s="6" t="s">
        <v>57</v>
      </c>
      <c r="F39" s="6">
        <v>0.14728682170542637</v>
      </c>
      <c r="G39" s="7"/>
    </row>
    <row r="40" spans="1:7">
      <c r="A40" s="5" t="s">
        <v>66</v>
      </c>
      <c r="B40" s="3" t="s">
        <v>51</v>
      </c>
      <c r="C40" s="3" t="s">
        <v>46</v>
      </c>
      <c r="D40" s="3" t="s">
        <v>47</v>
      </c>
      <c r="E40" s="6" t="s">
        <v>59</v>
      </c>
      <c r="F40" s="6">
        <v>1.937984496124031E-3</v>
      </c>
      <c r="G40" s="7"/>
    </row>
    <row r="41" spans="1:7">
      <c r="A41" s="5" t="s">
        <v>66</v>
      </c>
      <c r="B41" s="3" t="s">
        <v>51</v>
      </c>
      <c r="C41" s="3" t="s">
        <v>46</v>
      </c>
      <c r="D41" s="3" t="s">
        <v>47</v>
      </c>
      <c r="E41" s="6" t="s">
        <v>61</v>
      </c>
      <c r="F41" s="6">
        <v>0.15310077519379844</v>
      </c>
      <c r="G41" s="7"/>
    </row>
    <row r="42" spans="1:7">
      <c r="A42" s="5" t="s">
        <v>66</v>
      </c>
      <c r="B42" s="3" t="s">
        <v>51</v>
      </c>
      <c r="C42" s="3" t="s">
        <v>46</v>
      </c>
      <c r="D42" s="3" t="s">
        <v>47</v>
      </c>
      <c r="E42" s="6" t="s">
        <v>63</v>
      </c>
      <c r="F42" s="6">
        <v>9.6899224806201549E-3</v>
      </c>
      <c r="G42" s="7"/>
    </row>
    <row r="43" spans="1:7">
      <c r="A43" s="5" t="s">
        <v>66</v>
      </c>
      <c r="B43" s="3" t="s">
        <v>51</v>
      </c>
      <c r="C43" s="3" t="s">
        <v>46</v>
      </c>
      <c r="D43" s="3" t="s">
        <v>47</v>
      </c>
      <c r="E43" s="3" t="s">
        <v>65</v>
      </c>
      <c r="F43" s="6">
        <v>0.13565891472868216</v>
      </c>
      <c r="G43" s="7"/>
    </row>
    <row r="44" spans="1:7">
      <c r="A44" s="5" t="s">
        <v>66</v>
      </c>
      <c r="B44" s="3" t="s">
        <v>51</v>
      </c>
      <c r="C44" s="3" t="s">
        <v>46</v>
      </c>
      <c r="D44" s="3" t="s">
        <v>47</v>
      </c>
      <c r="E44" s="6" t="s">
        <v>67</v>
      </c>
      <c r="F44" s="6">
        <v>2.5193798449612403E-2</v>
      </c>
      <c r="G44" s="7"/>
    </row>
    <row r="45" spans="1:7">
      <c r="A45" s="5" t="s">
        <v>68</v>
      </c>
      <c r="B45" s="3" t="s">
        <v>51</v>
      </c>
      <c r="C45" s="3" t="s">
        <v>46</v>
      </c>
      <c r="D45" s="3" t="s">
        <v>47</v>
      </c>
      <c r="E45" s="3" t="s">
        <v>48</v>
      </c>
      <c r="F45" s="6">
        <v>0.46124031007751937</v>
      </c>
      <c r="G45" s="7"/>
    </row>
    <row r="46" spans="1:7">
      <c r="A46" s="5" t="s">
        <v>68</v>
      </c>
      <c r="B46" s="3" t="s">
        <v>51</v>
      </c>
      <c r="C46" s="3" t="s">
        <v>46</v>
      </c>
      <c r="D46" s="3" t="s">
        <v>47</v>
      </c>
      <c r="E46" s="6" t="s">
        <v>54</v>
      </c>
      <c r="F46" s="6">
        <v>5.8139534883720929E-3</v>
      </c>
      <c r="G46" s="7"/>
    </row>
    <row r="47" spans="1:7">
      <c r="A47" s="5" t="s">
        <v>68</v>
      </c>
      <c r="B47" s="3" t="s">
        <v>51</v>
      </c>
      <c r="C47" s="3" t="s">
        <v>46</v>
      </c>
      <c r="D47" s="3" t="s">
        <v>47</v>
      </c>
      <c r="E47" s="6" t="s">
        <v>57</v>
      </c>
      <c r="F47" s="6">
        <v>0.48837209302325579</v>
      </c>
      <c r="G47" s="7"/>
    </row>
    <row r="48" spans="1:7">
      <c r="A48" s="5" t="s">
        <v>68</v>
      </c>
      <c r="B48" s="3" t="s">
        <v>51</v>
      </c>
      <c r="C48" s="3" t="s">
        <v>46</v>
      </c>
      <c r="D48" s="3" t="s">
        <v>47</v>
      </c>
      <c r="E48" s="6" t="s">
        <v>59</v>
      </c>
      <c r="F48" s="6">
        <v>2.7131782945736434E-2</v>
      </c>
      <c r="G48" s="7"/>
    </row>
    <row r="49" spans="1:7">
      <c r="A49" s="5" t="s">
        <v>68</v>
      </c>
      <c r="B49" s="3" t="s">
        <v>51</v>
      </c>
      <c r="C49" s="3" t="s">
        <v>46</v>
      </c>
      <c r="D49" s="3" t="s">
        <v>47</v>
      </c>
      <c r="E49" s="6" t="s">
        <v>61</v>
      </c>
      <c r="F49" s="6">
        <v>0.56201550387596899</v>
      </c>
      <c r="G49" s="7"/>
    </row>
    <row r="50" spans="1:7">
      <c r="A50" s="5" t="s">
        <v>68</v>
      </c>
      <c r="B50" s="3" t="s">
        <v>51</v>
      </c>
      <c r="C50" s="3" t="s">
        <v>46</v>
      </c>
      <c r="D50" s="3" t="s">
        <v>47</v>
      </c>
      <c r="E50" s="6" t="s">
        <v>63</v>
      </c>
      <c r="F50" s="6">
        <v>5.0387596899224806E-2</v>
      </c>
      <c r="G50" s="7"/>
    </row>
    <row r="51" spans="1:7">
      <c r="A51" s="5" t="s">
        <v>68</v>
      </c>
      <c r="B51" s="3" t="s">
        <v>51</v>
      </c>
      <c r="C51" s="3" t="s">
        <v>46</v>
      </c>
      <c r="D51" s="3" t="s">
        <v>47</v>
      </c>
      <c r="E51" s="3" t="s">
        <v>65</v>
      </c>
      <c r="F51" s="6">
        <v>0.36434108527131781</v>
      </c>
      <c r="G51" s="7"/>
    </row>
    <row r="52" spans="1:7">
      <c r="A52" s="5" t="s">
        <v>68</v>
      </c>
      <c r="B52" s="3" t="s">
        <v>51</v>
      </c>
      <c r="C52" s="3" t="s">
        <v>46</v>
      </c>
      <c r="D52" s="3" t="s">
        <v>47</v>
      </c>
      <c r="E52" s="6" t="s">
        <v>67</v>
      </c>
      <c r="F52" s="6">
        <v>8.7209302325581398E-2</v>
      </c>
      <c r="G52" s="7"/>
    </row>
    <row r="53" spans="1:7">
      <c r="A53" s="5" t="s">
        <v>69</v>
      </c>
      <c r="B53" s="3" t="s">
        <v>51</v>
      </c>
      <c r="C53" s="3" t="s">
        <v>46</v>
      </c>
      <c r="D53" s="3" t="s">
        <v>47</v>
      </c>
      <c r="E53" s="3" t="s">
        <v>48</v>
      </c>
      <c r="F53" s="6">
        <v>0.40891472868217055</v>
      </c>
      <c r="G53" s="7"/>
    </row>
    <row r="54" spans="1:7">
      <c r="A54" s="5" t="s">
        <v>69</v>
      </c>
      <c r="B54" s="3" t="s">
        <v>51</v>
      </c>
      <c r="C54" s="3" t="s">
        <v>46</v>
      </c>
      <c r="D54" s="3" t="s">
        <v>47</v>
      </c>
      <c r="E54" s="6" t="s">
        <v>54</v>
      </c>
      <c r="F54" s="6">
        <v>5.8139534883720929E-3</v>
      </c>
      <c r="G54" s="7"/>
    </row>
    <row r="55" spans="1:7">
      <c r="A55" s="5" t="s">
        <v>69</v>
      </c>
      <c r="B55" s="3" t="s">
        <v>51</v>
      </c>
      <c r="C55" s="3" t="s">
        <v>46</v>
      </c>
      <c r="D55" s="3" t="s">
        <v>47</v>
      </c>
      <c r="E55" s="6" t="s">
        <v>57</v>
      </c>
      <c r="F55" s="6">
        <v>0.39922480620155038</v>
      </c>
      <c r="G55" s="7"/>
    </row>
    <row r="56" spans="1:7">
      <c r="A56" s="5" t="s">
        <v>69</v>
      </c>
      <c r="B56" s="3" t="s">
        <v>51</v>
      </c>
      <c r="C56" s="3" t="s">
        <v>46</v>
      </c>
      <c r="D56" s="3" t="s">
        <v>47</v>
      </c>
      <c r="E56" s="6" t="s">
        <v>59</v>
      </c>
      <c r="F56" s="6">
        <v>2.1317829457364341E-2</v>
      </c>
      <c r="G56" s="7"/>
    </row>
    <row r="57" spans="1:7">
      <c r="A57" s="5" t="s">
        <v>69</v>
      </c>
      <c r="B57" s="3" t="s">
        <v>51</v>
      </c>
      <c r="C57" s="3" t="s">
        <v>46</v>
      </c>
      <c r="D57" s="3" t="s">
        <v>47</v>
      </c>
      <c r="E57" s="6" t="s">
        <v>61</v>
      </c>
      <c r="F57" s="6">
        <v>0.43410852713178294</v>
      </c>
      <c r="G57" s="7"/>
    </row>
    <row r="58" spans="1:7">
      <c r="A58" s="5" t="s">
        <v>69</v>
      </c>
      <c r="B58" s="3" t="s">
        <v>51</v>
      </c>
      <c r="C58" s="3" t="s">
        <v>46</v>
      </c>
      <c r="D58" s="3" t="s">
        <v>47</v>
      </c>
      <c r="E58" s="6" t="s">
        <v>63</v>
      </c>
      <c r="F58" s="6">
        <v>4.2635658914728682E-2</v>
      </c>
      <c r="G58" s="7"/>
    </row>
    <row r="59" spans="1:7">
      <c r="A59" s="5" t="s">
        <v>69</v>
      </c>
      <c r="B59" s="3" t="s">
        <v>51</v>
      </c>
      <c r="C59" s="3" t="s">
        <v>46</v>
      </c>
      <c r="D59" s="3" t="s">
        <v>47</v>
      </c>
      <c r="E59" s="3" t="s">
        <v>65</v>
      </c>
      <c r="F59" s="6">
        <v>0.2868217054263566</v>
      </c>
      <c r="G59" s="7"/>
    </row>
    <row r="60" spans="1:7">
      <c r="A60" s="5" t="s">
        <v>69</v>
      </c>
      <c r="B60" s="3" t="s">
        <v>51</v>
      </c>
      <c r="C60" s="3" t="s">
        <v>46</v>
      </c>
      <c r="D60" s="3" t="s">
        <v>47</v>
      </c>
      <c r="E60" s="6" t="s">
        <v>67</v>
      </c>
      <c r="F60" s="6">
        <v>6.589147286821706E-2</v>
      </c>
      <c r="G60" s="7"/>
    </row>
    <row r="61" spans="1:7">
      <c r="A61" s="5" t="s">
        <v>71</v>
      </c>
      <c r="B61" s="3" t="s">
        <v>51</v>
      </c>
      <c r="C61" s="3" t="s">
        <v>46</v>
      </c>
      <c r="D61" s="3" t="s">
        <v>47</v>
      </c>
      <c r="E61" s="3" t="s">
        <v>48</v>
      </c>
      <c r="F61" s="6">
        <v>0.11434108527131782</v>
      </c>
      <c r="G61" s="7"/>
    </row>
    <row r="62" spans="1:7">
      <c r="A62" s="5" t="s">
        <v>71</v>
      </c>
      <c r="B62" s="3" t="s">
        <v>51</v>
      </c>
      <c r="C62" s="3" t="s">
        <v>46</v>
      </c>
      <c r="D62" s="3" t="s">
        <v>47</v>
      </c>
      <c r="E62" s="6" t="s">
        <v>54</v>
      </c>
      <c r="F62" s="6">
        <v>0</v>
      </c>
      <c r="G62" s="7"/>
    </row>
    <row r="63" spans="1:7">
      <c r="A63" s="5" t="s">
        <v>71</v>
      </c>
      <c r="B63" s="3" t="s">
        <v>51</v>
      </c>
      <c r="C63" s="3" t="s">
        <v>46</v>
      </c>
      <c r="D63" s="3" t="s">
        <v>47</v>
      </c>
      <c r="E63" s="6" t="s">
        <v>57</v>
      </c>
      <c r="F63" s="6">
        <v>6.7829457364341081E-2</v>
      </c>
      <c r="G63" s="7"/>
    </row>
    <row r="64" spans="1:7">
      <c r="A64" s="5" t="s">
        <v>71</v>
      </c>
      <c r="B64" s="3" t="s">
        <v>51</v>
      </c>
      <c r="C64" s="3" t="s">
        <v>46</v>
      </c>
      <c r="D64" s="3" t="s">
        <v>47</v>
      </c>
      <c r="E64" s="6" t="s">
        <v>59</v>
      </c>
      <c r="F64" s="6">
        <v>3.875968992248062E-3</v>
      </c>
      <c r="G64" s="7"/>
    </row>
    <row r="65" spans="1:7">
      <c r="A65" s="5" t="s">
        <v>71</v>
      </c>
      <c r="B65" s="3" t="s">
        <v>51</v>
      </c>
      <c r="C65" s="3" t="s">
        <v>46</v>
      </c>
      <c r="D65" s="3" t="s">
        <v>47</v>
      </c>
      <c r="E65" s="6" t="s">
        <v>61</v>
      </c>
      <c r="F65" s="6">
        <v>6.9767441860465115E-2</v>
      </c>
      <c r="G65" s="7"/>
    </row>
    <row r="66" spans="1:7">
      <c r="A66" s="5" t="s">
        <v>71</v>
      </c>
      <c r="B66" s="3" t="s">
        <v>51</v>
      </c>
      <c r="C66" s="3" t="s">
        <v>46</v>
      </c>
      <c r="D66" s="3" t="s">
        <v>47</v>
      </c>
      <c r="E66" s="6" t="s">
        <v>63</v>
      </c>
      <c r="F66" s="6">
        <v>7.7519379844961239E-3</v>
      </c>
      <c r="G66" s="7"/>
    </row>
    <row r="67" spans="1:7">
      <c r="A67" s="5" t="s">
        <v>71</v>
      </c>
      <c r="B67" s="3" t="s">
        <v>51</v>
      </c>
      <c r="C67" s="3" t="s">
        <v>46</v>
      </c>
      <c r="D67" s="3" t="s">
        <v>47</v>
      </c>
      <c r="E67" s="3" t="s">
        <v>65</v>
      </c>
      <c r="F67" s="6">
        <v>8.7209302325581398E-2</v>
      </c>
      <c r="G67" s="7"/>
    </row>
    <row r="68" spans="1:7">
      <c r="A68" s="5" t="s">
        <v>71</v>
      </c>
      <c r="B68" s="3" t="s">
        <v>51</v>
      </c>
      <c r="C68" s="3" t="s">
        <v>46</v>
      </c>
      <c r="D68" s="3" t="s">
        <v>47</v>
      </c>
      <c r="E68" s="6" t="s">
        <v>67</v>
      </c>
      <c r="F68" s="6">
        <v>7.7519379844961239E-3</v>
      </c>
      <c r="G68" s="7"/>
    </row>
    <row r="69" spans="1:7">
      <c r="A69" s="5" t="s">
        <v>73</v>
      </c>
      <c r="B69" s="3" t="s">
        <v>51</v>
      </c>
      <c r="C69" s="3" t="s">
        <v>46</v>
      </c>
      <c r="D69" s="3" t="s">
        <v>47</v>
      </c>
      <c r="E69" s="3" t="s">
        <v>48</v>
      </c>
      <c r="F69" s="6">
        <v>0.57751937984496127</v>
      </c>
      <c r="G69" s="7"/>
    </row>
    <row r="70" spans="1:7">
      <c r="A70" s="5" t="s">
        <v>73</v>
      </c>
      <c r="B70" s="3" t="s">
        <v>51</v>
      </c>
      <c r="C70" s="3" t="s">
        <v>46</v>
      </c>
      <c r="D70" s="3" t="s">
        <v>47</v>
      </c>
      <c r="E70" s="6" t="s">
        <v>54</v>
      </c>
      <c r="F70" s="6">
        <v>4.0697674418604654E-2</v>
      </c>
      <c r="G70" s="7"/>
    </row>
    <row r="71" spans="1:7">
      <c r="A71" s="5" t="s">
        <v>73</v>
      </c>
      <c r="B71" s="3" t="s">
        <v>51</v>
      </c>
      <c r="C71" s="3" t="s">
        <v>46</v>
      </c>
      <c r="D71" s="3" t="s">
        <v>47</v>
      </c>
      <c r="E71" s="6" t="s">
        <v>57</v>
      </c>
      <c r="F71" s="6">
        <v>0.41666666666666669</v>
      </c>
      <c r="G71" s="7"/>
    </row>
    <row r="72" spans="1:7">
      <c r="A72" s="5" t="s">
        <v>73</v>
      </c>
      <c r="B72" s="3" t="s">
        <v>51</v>
      </c>
      <c r="C72" s="3" t="s">
        <v>46</v>
      </c>
      <c r="D72" s="3" t="s">
        <v>47</v>
      </c>
      <c r="E72" s="6" t="s">
        <v>59</v>
      </c>
      <c r="F72" s="6">
        <v>3.875968992248062E-3</v>
      </c>
      <c r="G72" s="7"/>
    </row>
    <row r="73" spans="1:7">
      <c r="A73" s="5" t="s">
        <v>73</v>
      </c>
      <c r="B73" s="3" t="s">
        <v>51</v>
      </c>
      <c r="C73" s="3" t="s">
        <v>46</v>
      </c>
      <c r="D73" s="3" t="s">
        <v>47</v>
      </c>
      <c r="E73" s="6" t="s">
        <v>61</v>
      </c>
      <c r="F73" s="6">
        <v>0.52131782945736438</v>
      </c>
      <c r="G73" s="7"/>
    </row>
    <row r="74" spans="1:7">
      <c r="A74" s="5" t="s">
        <v>73</v>
      </c>
      <c r="B74" s="3" t="s">
        <v>51</v>
      </c>
      <c r="C74" s="3" t="s">
        <v>46</v>
      </c>
      <c r="D74" s="3" t="s">
        <v>47</v>
      </c>
      <c r="E74" s="6" t="s">
        <v>63</v>
      </c>
      <c r="F74" s="6">
        <v>6.2015503875968991E-2</v>
      </c>
      <c r="G74" s="7"/>
    </row>
    <row r="75" spans="1:7">
      <c r="A75" s="5" t="s">
        <v>73</v>
      </c>
      <c r="B75" s="3" t="s">
        <v>51</v>
      </c>
      <c r="C75" s="3" t="s">
        <v>46</v>
      </c>
      <c r="D75" s="3" t="s">
        <v>47</v>
      </c>
      <c r="E75" s="3" t="s">
        <v>65</v>
      </c>
      <c r="F75" s="6">
        <v>0.37984496124031009</v>
      </c>
      <c r="G75" s="7"/>
    </row>
    <row r="76" spans="1:7">
      <c r="A76" s="5" t="s">
        <v>73</v>
      </c>
      <c r="B76" s="3" t="s">
        <v>51</v>
      </c>
      <c r="C76" s="3" t="s">
        <v>46</v>
      </c>
      <c r="D76" s="3" t="s">
        <v>47</v>
      </c>
      <c r="E76" s="6" t="s">
        <v>67</v>
      </c>
      <c r="F76" s="6">
        <v>0.16472868217054262</v>
      </c>
      <c r="G76" s="7"/>
    </row>
    <row r="77" spans="1:7">
      <c r="A77" s="5" t="s">
        <v>74</v>
      </c>
      <c r="B77" s="3" t="s">
        <v>51</v>
      </c>
      <c r="C77" s="3" t="s">
        <v>46</v>
      </c>
      <c r="D77" s="3" t="s">
        <v>47</v>
      </c>
      <c r="E77" s="3" t="s">
        <v>48</v>
      </c>
      <c r="F77" s="6">
        <v>0.23255813953488372</v>
      </c>
      <c r="G77" s="7"/>
    </row>
    <row r="78" spans="1:7">
      <c r="A78" s="5" t="s">
        <v>74</v>
      </c>
      <c r="B78" s="3" t="s">
        <v>51</v>
      </c>
      <c r="C78" s="3" t="s">
        <v>46</v>
      </c>
      <c r="D78" s="3" t="s">
        <v>47</v>
      </c>
      <c r="E78" s="6" t="s">
        <v>54</v>
      </c>
      <c r="F78" s="6">
        <v>1.937984496124031E-3</v>
      </c>
      <c r="G78" s="7"/>
    </row>
    <row r="79" spans="1:7">
      <c r="A79" s="5" t="s">
        <v>74</v>
      </c>
      <c r="B79" s="3" t="s">
        <v>51</v>
      </c>
      <c r="C79" s="3" t="s">
        <v>46</v>
      </c>
      <c r="D79" s="3" t="s">
        <v>47</v>
      </c>
      <c r="E79" s="6" t="s">
        <v>57</v>
      </c>
      <c r="F79" s="6">
        <v>0.16666666666666666</v>
      </c>
      <c r="G79" s="7"/>
    </row>
    <row r="80" spans="1:7">
      <c r="A80" s="5" t="s">
        <v>74</v>
      </c>
      <c r="B80" s="3" t="s">
        <v>51</v>
      </c>
      <c r="C80" s="3" t="s">
        <v>46</v>
      </c>
      <c r="D80" s="3" t="s">
        <v>47</v>
      </c>
      <c r="E80" s="6" t="s">
        <v>59</v>
      </c>
      <c r="F80" s="6">
        <v>1.5503875968992248E-2</v>
      </c>
      <c r="G80" s="7"/>
    </row>
    <row r="81" spans="1:7">
      <c r="A81" s="5" t="s">
        <v>74</v>
      </c>
      <c r="B81" s="3" t="s">
        <v>51</v>
      </c>
      <c r="C81" s="3" t="s">
        <v>46</v>
      </c>
      <c r="D81" s="3" t="s">
        <v>47</v>
      </c>
      <c r="E81" s="6" t="s">
        <v>61</v>
      </c>
      <c r="F81" s="6">
        <v>0.18798449612403101</v>
      </c>
      <c r="G81" s="7"/>
    </row>
    <row r="82" spans="1:7">
      <c r="A82" s="5" t="s">
        <v>74</v>
      </c>
      <c r="B82" s="3" t="s">
        <v>51</v>
      </c>
      <c r="C82" s="3" t="s">
        <v>46</v>
      </c>
      <c r="D82" s="3" t="s">
        <v>47</v>
      </c>
      <c r="E82" s="6" t="s">
        <v>63</v>
      </c>
      <c r="F82" s="6">
        <v>8.9147286821705432E-2</v>
      </c>
      <c r="G82" s="7"/>
    </row>
    <row r="83" spans="1:7">
      <c r="A83" s="5" t="s">
        <v>74</v>
      </c>
      <c r="B83" s="3" t="s">
        <v>51</v>
      </c>
      <c r="C83" s="3" t="s">
        <v>46</v>
      </c>
      <c r="D83" s="3" t="s">
        <v>47</v>
      </c>
      <c r="E83" s="3" t="s">
        <v>65</v>
      </c>
      <c r="F83" s="6">
        <v>0.17635658914728683</v>
      </c>
      <c r="G83" s="7"/>
    </row>
    <row r="84" spans="1:7">
      <c r="A84" s="5" t="s">
        <v>74</v>
      </c>
      <c r="B84" s="3" t="s">
        <v>51</v>
      </c>
      <c r="C84" s="3" t="s">
        <v>46</v>
      </c>
      <c r="D84" s="3" t="s">
        <v>47</v>
      </c>
      <c r="E84" s="6" t="s">
        <v>67</v>
      </c>
      <c r="F84" s="6">
        <v>9.3023255813953487E-2</v>
      </c>
      <c r="G84" s="7"/>
    </row>
    <row r="85" spans="1:7">
      <c r="A85" s="5" t="s">
        <v>75</v>
      </c>
      <c r="B85" s="3" t="s">
        <v>51</v>
      </c>
      <c r="C85" s="3" t="s">
        <v>46</v>
      </c>
      <c r="D85" s="3" t="s">
        <v>47</v>
      </c>
      <c r="E85" s="3" t="s">
        <v>48</v>
      </c>
      <c r="F85" s="6">
        <v>0.48449612403100772</v>
      </c>
      <c r="G85" s="7"/>
    </row>
    <row r="86" spans="1:7">
      <c r="A86" s="5" t="s">
        <v>75</v>
      </c>
      <c r="B86" s="3" t="s">
        <v>51</v>
      </c>
      <c r="C86" s="3" t="s">
        <v>46</v>
      </c>
      <c r="D86" s="3" t="s">
        <v>47</v>
      </c>
      <c r="E86" s="6" t="s">
        <v>54</v>
      </c>
      <c r="F86" s="6">
        <v>0</v>
      </c>
      <c r="G86" s="7"/>
    </row>
    <row r="87" spans="1:7">
      <c r="A87" s="5" t="s">
        <v>75</v>
      </c>
      <c r="B87" s="3" t="s">
        <v>51</v>
      </c>
      <c r="C87" s="3" t="s">
        <v>46</v>
      </c>
      <c r="D87" s="3" t="s">
        <v>47</v>
      </c>
      <c r="E87" s="6" t="s">
        <v>57</v>
      </c>
      <c r="F87" s="6">
        <v>0.36046511627906974</v>
      </c>
      <c r="G87" s="7"/>
    </row>
    <row r="88" spans="1:7">
      <c r="A88" s="5" t="s">
        <v>75</v>
      </c>
      <c r="B88" s="3" t="s">
        <v>51</v>
      </c>
      <c r="C88" s="3" t="s">
        <v>46</v>
      </c>
      <c r="D88" s="3" t="s">
        <v>47</v>
      </c>
      <c r="E88" s="6" t="s">
        <v>59</v>
      </c>
      <c r="F88" s="6">
        <v>3.875968992248062E-2</v>
      </c>
      <c r="G88" s="7"/>
    </row>
    <row r="89" spans="1:7">
      <c r="A89" s="5" t="s">
        <v>75</v>
      </c>
      <c r="B89" s="3" t="s">
        <v>51</v>
      </c>
      <c r="C89" s="3" t="s">
        <v>46</v>
      </c>
      <c r="D89" s="3" t="s">
        <v>47</v>
      </c>
      <c r="E89" s="6" t="s">
        <v>61</v>
      </c>
      <c r="F89" s="6">
        <v>0.33720930232558138</v>
      </c>
      <c r="G89" s="7"/>
    </row>
    <row r="90" spans="1:7">
      <c r="A90" s="5" t="s">
        <v>75</v>
      </c>
      <c r="B90" s="3" t="s">
        <v>51</v>
      </c>
      <c r="C90" s="3" t="s">
        <v>46</v>
      </c>
      <c r="D90" s="3" t="s">
        <v>47</v>
      </c>
      <c r="E90" s="6" t="s">
        <v>63</v>
      </c>
      <c r="F90" s="6">
        <v>9.4961240310077522E-2</v>
      </c>
      <c r="G90" s="7"/>
    </row>
    <row r="91" spans="1:7">
      <c r="A91" s="5" t="s">
        <v>75</v>
      </c>
      <c r="B91" s="3" t="s">
        <v>51</v>
      </c>
      <c r="C91" s="3" t="s">
        <v>46</v>
      </c>
      <c r="D91" s="3" t="s">
        <v>47</v>
      </c>
      <c r="E91" s="3" t="s">
        <v>65</v>
      </c>
      <c r="F91" s="6">
        <v>0.25387596899224807</v>
      </c>
      <c r="G91" s="7"/>
    </row>
    <row r="92" spans="1:7">
      <c r="A92" s="5" t="s">
        <v>75</v>
      </c>
      <c r="B92" s="3" t="s">
        <v>51</v>
      </c>
      <c r="C92" s="3" t="s">
        <v>46</v>
      </c>
      <c r="D92" s="3" t="s">
        <v>47</v>
      </c>
      <c r="E92" s="6" t="s">
        <v>67</v>
      </c>
      <c r="F92" s="6">
        <v>7.3643410852713184E-2</v>
      </c>
      <c r="G92" s="7"/>
    </row>
    <row r="93" spans="1:7">
      <c r="A93" s="5" t="s">
        <v>76</v>
      </c>
      <c r="B93" s="3" t="s">
        <v>51</v>
      </c>
      <c r="C93" s="3" t="s">
        <v>46</v>
      </c>
      <c r="D93" s="3" t="s">
        <v>47</v>
      </c>
      <c r="E93" s="3" t="s">
        <v>48</v>
      </c>
      <c r="F93" s="6">
        <v>0.1065891472868217</v>
      </c>
      <c r="G93" s="7"/>
    </row>
    <row r="94" spans="1:7">
      <c r="A94" s="5" t="s">
        <v>76</v>
      </c>
      <c r="B94" s="3" t="s">
        <v>51</v>
      </c>
      <c r="C94" s="3" t="s">
        <v>46</v>
      </c>
      <c r="D94" s="3" t="s">
        <v>47</v>
      </c>
      <c r="E94" s="6" t="s">
        <v>54</v>
      </c>
      <c r="F94" s="6">
        <v>0</v>
      </c>
      <c r="G94" s="7"/>
    </row>
    <row r="95" spans="1:7">
      <c r="A95" s="5" t="s">
        <v>76</v>
      </c>
      <c r="B95" s="3" t="s">
        <v>51</v>
      </c>
      <c r="C95" s="3" t="s">
        <v>46</v>
      </c>
      <c r="D95" s="3" t="s">
        <v>47</v>
      </c>
      <c r="E95" s="6" t="s">
        <v>57</v>
      </c>
      <c r="F95" s="6">
        <v>0.12403100775193798</v>
      </c>
      <c r="G95" s="7"/>
    </row>
    <row r="96" spans="1:7">
      <c r="A96" s="5" t="s">
        <v>76</v>
      </c>
      <c r="B96" s="3" t="s">
        <v>51</v>
      </c>
      <c r="C96" s="3" t="s">
        <v>46</v>
      </c>
      <c r="D96" s="3" t="s">
        <v>47</v>
      </c>
      <c r="E96" s="6" t="s">
        <v>59</v>
      </c>
      <c r="F96" s="6">
        <v>1.937984496124031E-3</v>
      </c>
      <c r="G96" s="7"/>
    </row>
    <row r="97" spans="1:7">
      <c r="A97" s="5" t="s">
        <v>76</v>
      </c>
      <c r="B97" s="3" t="s">
        <v>51</v>
      </c>
      <c r="C97" s="3" t="s">
        <v>46</v>
      </c>
      <c r="D97" s="3" t="s">
        <v>47</v>
      </c>
      <c r="E97" s="6" t="s">
        <v>61</v>
      </c>
      <c r="F97" s="6">
        <v>0.13953488372093023</v>
      </c>
      <c r="G97" s="7"/>
    </row>
    <row r="98" spans="1:7">
      <c r="A98" s="5" t="s">
        <v>76</v>
      </c>
      <c r="B98" s="3" t="s">
        <v>51</v>
      </c>
      <c r="C98" s="3" t="s">
        <v>46</v>
      </c>
      <c r="D98" s="3" t="s">
        <v>47</v>
      </c>
      <c r="E98" s="6" t="s">
        <v>63</v>
      </c>
      <c r="F98" s="6">
        <v>3.875968992248062E-3</v>
      </c>
      <c r="G98" s="7"/>
    </row>
    <row r="99" spans="1:7">
      <c r="A99" s="5" t="s">
        <v>76</v>
      </c>
      <c r="B99" s="3" t="s">
        <v>51</v>
      </c>
      <c r="C99" s="3" t="s">
        <v>46</v>
      </c>
      <c r="D99" s="3" t="s">
        <v>47</v>
      </c>
      <c r="E99" s="3" t="s">
        <v>65</v>
      </c>
      <c r="F99" s="6">
        <v>0.13565891472868216</v>
      </c>
      <c r="G99" s="7"/>
    </row>
    <row r="100" spans="1:7">
      <c r="A100" s="5" t="s">
        <v>76</v>
      </c>
      <c r="B100" s="3" t="s">
        <v>51</v>
      </c>
      <c r="C100" s="3" t="s">
        <v>46</v>
      </c>
      <c r="D100" s="3" t="s">
        <v>47</v>
      </c>
      <c r="E100" s="6" t="s">
        <v>67</v>
      </c>
      <c r="F100" s="6">
        <v>4.0697674418604654E-2</v>
      </c>
      <c r="G100" s="7"/>
    </row>
    <row r="101" spans="1:7">
      <c r="A101" s="5" t="s">
        <v>77</v>
      </c>
      <c r="B101" s="3" t="s">
        <v>51</v>
      </c>
      <c r="C101" s="3" t="s">
        <v>46</v>
      </c>
      <c r="D101" s="3" t="s">
        <v>47</v>
      </c>
      <c r="E101" s="3" t="s">
        <v>48</v>
      </c>
      <c r="F101" s="6">
        <v>0.39922480620155038</v>
      </c>
      <c r="G101" s="7"/>
    </row>
    <row r="102" spans="1:7">
      <c r="A102" s="5" t="s">
        <v>77</v>
      </c>
      <c r="B102" s="3" t="s">
        <v>51</v>
      </c>
      <c r="C102" s="3" t="s">
        <v>46</v>
      </c>
      <c r="D102" s="3" t="s">
        <v>47</v>
      </c>
      <c r="E102" s="6" t="s">
        <v>54</v>
      </c>
      <c r="F102" s="6">
        <v>1.5503875968992248E-2</v>
      </c>
      <c r="G102" s="7"/>
    </row>
    <row r="103" spans="1:7">
      <c r="A103" s="5" t="s">
        <v>77</v>
      </c>
      <c r="B103" s="3" t="s">
        <v>51</v>
      </c>
      <c r="C103" s="3" t="s">
        <v>46</v>
      </c>
      <c r="D103" s="3" t="s">
        <v>47</v>
      </c>
      <c r="E103" s="6" t="s">
        <v>57</v>
      </c>
      <c r="F103" s="6">
        <v>0.26356589147286824</v>
      </c>
      <c r="G103" s="7"/>
    </row>
    <row r="104" spans="1:7">
      <c r="A104" s="5" t="s">
        <v>77</v>
      </c>
      <c r="B104" s="3" t="s">
        <v>51</v>
      </c>
      <c r="C104" s="3" t="s">
        <v>46</v>
      </c>
      <c r="D104" s="3" t="s">
        <v>47</v>
      </c>
      <c r="E104" s="6" t="s">
        <v>59</v>
      </c>
      <c r="F104" s="6">
        <v>2.5193798449612403E-2</v>
      </c>
      <c r="G104" s="7"/>
    </row>
    <row r="105" spans="1:7">
      <c r="A105" s="5" t="s">
        <v>77</v>
      </c>
      <c r="B105" s="3" t="s">
        <v>51</v>
      </c>
      <c r="C105" s="3" t="s">
        <v>46</v>
      </c>
      <c r="D105" s="3" t="s">
        <v>47</v>
      </c>
      <c r="E105" s="6" t="s">
        <v>61</v>
      </c>
      <c r="F105" s="6">
        <v>0.25193798449612403</v>
      </c>
      <c r="G105" s="7"/>
    </row>
    <row r="106" spans="1:7">
      <c r="A106" s="5" t="s">
        <v>77</v>
      </c>
      <c r="B106" s="3" t="s">
        <v>51</v>
      </c>
      <c r="C106" s="3" t="s">
        <v>46</v>
      </c>
      <c r="D106" s="3" t="s">
        <v>47</v>
      </c>
      <c r="E106" s="6" t="s">
        <v>63</v>
      </c>
      <c r="F106" s="6">
        <v>3.4883720930232558E-2</v>
      </c>
      <c r="G106" s="7"/>
    </row>
    <row r="107" spans="1:7">
      <c r="A107" s="5" t="s">
        <v>77</v>
      </c>
      <c r="B107" s="3" t="s">
        <v>51</v>
      </c>
      <c r="C107" s="3" t="s">
        <v>46</v>
      </c>
      <c r="D107" s="3" t="s">
        <v>47</v>
      </c>
      <c r="E107" s="3" t="s">
        <v>65</v>
      </c>
      <c r="F107" s="6">
        <v>0.15116279069767441</v>
      </c>
      <c r="G107" s="7"/>
    </row>
    <row r="108" spans="1:7">
      <c r="A108" s="5" t="s">
        <v>77</v>
      </c>
      <c r="B108" s="3" t="s">
        <v>51</v>
      </c>
      <c r="C108" s="3" t="s">
        <v>46</v>
      </c>
      <c r="D108" s="3" t="s">
        <v>47</v>
      </c>
      <c r="E108" s="6" t="s">
        <v>67</v>
      </c>
      <c r="F108" s="6">
        <v>5.4263565891472867E-2</v>
      </c>
      <c r="G108" s="7"/>
    </row>
    <row r="109" spans="1:7">
      <c r="A109" s="5" t="s">
        <v>78</v>
      </c>
      <c r="B109" s="3" t="s">
        <v>51</v>
      </c>
      <c r="C109" s="3" t="s">
        <v>46</v>
      </c>
      <c r="D109" s="3" t="s">
        <v>47</v>
      </c>
      <c r="E109" s="3" t="s">
        <v>48</v>
      </c>
      <c r="F109" s="6">
        <v>1.7228682170542635</v>
      </c>
      <c r="G109" s="7"/>
    </row>
    <row r="110" spans="1:7">
      <c r="A110" s="5" t="s">
        <v>78</v>
      </c>
      <c r="B110" s="3" t="s">
        <v>51</v>
      </c>
      <c r="C110" s="3" t="s">
        <v>46</v>
      </c>
      <c r="D110" s="3" t="s">
        <v>47</v>
      </c>
      <c r="E110" s="6" t="s">
        <v>54</v>
      </c>
      <c r="F110" s="6">
        <v>6.3953488372093026E-2</v>
      </c>
      <c r="G110" s="7"/>
    </row>
    <row r="111" spans="1:7">
      <c r="A111" s="5" t="s">
        <v>78</v>
      </c>
      <c r="B111" s="3" t="s">
        <v>51</v>
      </c>
      <c r="C111" s="3" t="s">
        <v>46</v>
      </c>
      <c r="D111" s="3" t="s">
        <v>47</v>
      </c>
      <c r="E111" s="6" t="s">
        <v>57</v>
      </c>
      <c r="F111" s="6">
        <v>1.4069767441860466</v>
      </c>
      <c r="G111" s="7"/>
    </row>
    <row r="112" spans="1:7">
      <c r="A112" s="5" t="s">
        <v>78</v>
      </c>
      <c r="B112" s="3" t="s">
        <v>51</v>
      </c>
      <c r="C112" s="3" t="s">
        <v>46</v>
      </c>
      <c r="D112" s="3" t="s">
        <v>47</v>
      </c>
      <c r="E112" s="6" t="s">
        <v>59</v>
      </c>
      <c r="F112" s="6">
        <v>0.22480620155038761</v>
      </c>
      <c r="G112" s="7"/>
    </row>
    <row r="113" spans="1:7">
      <c r="A113" s="5" t="s">
        <v>78</v>
      </c>
      <c r="B113" s="3" t="s">
        <v>51</v>
      </c>
      <c r="C113" s="3" t="s">
        <v>46</v>
      </c>
      <c r="D113" s="3" t="s">
        <v>47</v>
      </c>
      <c r="E113" s="6" t="s">
        <v>61</v>
      </c>
      <c r="F113" s="6">
        <v>1.1686046511627908</v>
      </c>
      <c r="G113" s="7"/>
    </row>
    <row r="114" spans="1:7">
      <c r="A114" s="5" t="s">
        <v>78</v>
      </c>
      <c r="B114" s="3" t="s">
        <v>51</v>
      </c>
      <c r="C114" s="3" t="s">
        <v>46</v>
      </c>
      <c r="D114" s="3" t="s">
        <v>47</v>
      </c>
      <c r="E114" s="6" t="s">
        <v>63</v>
      </c>
      <c r="F114" s="6">
        <v>0.48449612403100772</v>
      </c>
      <c r="G114" s="7"/>
    </row>
    <row r="115" spans="1:7">
      <c r="A115" s="5" t="s">
        <v>78</v>
      </c>
      <c r="B115" s="3" t="s">
        <v>51</v>
      </c>
      <c r="C115" s="3" t="s">
        <v>46</v>
      </c>
      <c r="D115" s="3" t="s">
        <v>47</v>
      </c>
      <c r="E115" s="3" t="s">
        <v>65</v>
      </c>
      <c r="F115" s="6">
        <v>0.94573643410852715</v>
      </c>
      <c r="G115" s="7"/>
    </row>
    <row r="116" spans="1:7">
      <c r="A116" s="5" t="s">
        <v>78</v>
      </c>
      <c r="B116" s="3" t="s">
        <v>51</v>
      </c>
      <c r="C116" s="3" t="s">
        <v>46</v>
      </c>
      <c r="D116" s="3" t="s">
        <v>47</v>
      </c>
      <c r="E116" s="6" t="s">
        <v>67</v>
      </c>
      <c r="F116" s="6">
        <v>0.54844961240310075</v>
      </c>
      <c r="G116" s="7"/>
    </row>
    <row r="117" spans="1:7">
      <c r="A117" s="5" t="s">
        <v>79</v>
      </c>
      <c r="B117" s="3" t="s">
        <v>51</v>
      </c>
      <c r="C117" s="3" t="s">
        <v>46</v>
      </c>
      <c r="D117" s="3" t="s">
        <v>47</v>
      </c>
      <c r="E117" s="3" t="s">
        <v>48</v>
      </c>
      <c r="F117" s="6">
        <v>9.1085271317829453E-2</v>
      </c>
      <c r="G117" s="7"/>
    </row>
    <row r="118" spans="1:7">
      <c r="A118" s="5" t="s">
        <v>79</v>
      </c>
      <c r="B118" s="3" t="s">
        <v>51</v>
      </c>
      <c r="C118" s="3" t="s">
        <v>46</v>
      </c>
      <c r="D118" s="3" t="s">
        <v>47</v>
      </c>
      <c r="E118" s="6" t="s">
        <v>54</v>
      </c>
      <c r="F118" s="6">
        <v>0</v>
      </c>
      <c r="G118" s="7"/>
    </row>
    <row r="119" spans="1:7">
      <c r="A119" s="5" t="s">
        <v>79</v>
      </c>
      <c r="B119" s="3" t="s">
        <v>51</v>
      </c>
      <c r="C119" s="3" t="s">
        <v>46</v>
      </c>
      <c r="D119" s="3" t="s">
        <v>47</v>
      </c>
      <c r="E119" s="6" t="s">
        <v>57</v>
      </c>
      <c r="F119" s="6">
        <v>5.4263565891472867E-2</v>
      </c>
      <c r="G119" s="7"/>
    </row>
    <row r="120" spans="1:7">
      <c r="A120" s="5" t="s">
        <v>79</v>
      </c>
      <c r="B120" s="3" t="s">
        <v>51</v>
      </c>
      <c r="C120" s="3" t="s">
        <v>46</v>
      </c>
      <c r="D120" s="3" t="s">
        <v>47</v>
      </c>
      <c r="E120" s="6" t="s">
        <v>59</v>
      </c>
      <c r="F120" s="6">
        <v>0</v>
      </c>
      <c r="G120" s="7"/>
    </row>
    <row r="121" spans="1:7">
      <c r="A121" s="5" t="s">
        <v>79</v>
      </c>
      <c r="B121" s="3" t="s">
        <v>51</v>
      </c>
      <c r="C121" s="3" t="s">
        <v>46</v>
      </c>
      <c r="D121" s="3" t="s">
        <v>47</v>
      </c>
      <c r="E121" s="6" t="s">
        <v>61</v>
      </c>
      <c r="F121" s="6">
        <v>6.589147286821706E-2</v>
      </c>
      <c r="G121" s="7"/>
    </row>
    <row r="122" spans="1:7">
      <c r="A122" s="5" t="s">
        <v>79</v>
      </c>
      <c r="B122" s="3" t="s">
        <v>51</v>
      </c>
      <c r="C122" s="3" t="s">
        <v>46</v>
      </c>
      <c r="D122" s="3" t="s">
        <v>47</v>
      </c>
      <c r="E122" s="6" t="s">
        <v>63</v>
      </c>
      <c r="F122" s="6">
        <v>9.6899224806201549E-3</v>
      </c>
      <c r="G122" s="7"/>
    </row>
    <row r="123" spans="1:7">
      <c r="A123" s="5" t="s">
        <v>79</v>
      </c>
      <c r="B123" s="3" t="s">
        <v>51</v>
      </c>
      <c r="C123" s="3" t="s">
        <v>46</v>
      </c>
      <c r="D123" s="3" t="s">
        <v>47</v>
      </c>
      <c r="E123" s="3" t="s">
        <v>65</v>
      </c>
      <c r="F123" s="6">
        <v>5.6201550387596902E-2</v>
      </c>
      <c r="G123" s="7"/>
    </row>
    <row r="124" spans="1:7">
      <c r="A124" s="5" t="s">
        <v>79</v>
      </c>
      <c r="B124" s="3" t="s">
        <v>51</v>
      </c>
      <c r="C124" s="3" t="s">
        <v>46</v>
      </c>
      <c r="D124" s="3" t="s">
        <v>47</v>
      </c>
      <c r="E124" s="6" t="s">
        <v>67</v>
      </c>
      <c r="F124" s="6">
        <v>2.3255813953488372E-2</v>
      </c>
      <c r="G124" s="7"/>
    </row>
    <row r="125" spans="1:7">
      <c r="A125" s="5" t="s">
        <v>80</v>
      </c>
      <c r="B125" s="3" t="s">
        <v>51</v>
      </c>
      <c r="C125" s="3" t="s">
        <v>46</v>
      </c>
      <c r="D125" s="3" t="s">
        <v>47</v>
      </c>
      <c r="E125" s="3" t="s">
        <v>48</v>
      </c>
      <c r="F125" s="6">
        <v>0.31007751937984496</v>
      </c>
      <c r="G125" s="7"/>
    </row>
    <row r="126" spans="1:7">
      <c r="A126" s="5" t="s">
        <v>80</v>
      </c>
      <c r="B126" s="3" t="s">
        <v>51</v>
      </c>
      <c r="C126" s="3" t="s">
        <v>46</v>
      </c>
      <c r="D126" s="3" t="s">
        <v>47</v>
      </c>
      <c r="E126" s="6" t="s">
        <v>54</v>
      </c>
      <c r="F126" s="6">
        <v>0</v>
      </c>
      <c r="G126" s="7"/>
    </row>
    <row r="127" spans="1:7">
      <c r="A127" s="5" t="s">
        <v>80</v>
      </c>
      <c r="B127" s="3" t="s">
        <v>51</v>
      </c>
      <c r="C127" s="3" t="s">
        <v>46</v>
      </c>
      <c r="D127" s="3" t="s">
        <v>47</v>
      </c>
      <c r="E127" s="6" t="s">
        <v>57</v>
      </c>
      <c r="F127" s="6">
        <v>0.24224806201550386</v>
      </c>
      <c r="G127" s="7"/>
    </row>
    <row r="128" spans="1:7">
      <c r="A128" s="5" t="s">
        <v>80</v>
      </c>
      <c r="B128" s="3" t="s">
        <v>51</v>
      </c>
      <c r="C128" s="3" t="s">
        <v>46</v>
      </c>
      <c r="D128" s="3" t="s">
        <v>47</v>
      </c>
      <c r="E128" s="6" t="s">
        <v>59</v>
      </c>
      <c r="F128" s="6">
        <v>5.8139534883720929E-3</v>
      </c>
      <c r="G128" s="7"/>
    </row>
    <row r="129" spans="1:7">
      <c r="A129" s="5" t="s">
        <v>80</v>
      </c>
      <c r="B129" s="3" t="s">
        <v>51</v>
      </c>
      <c r="C129" s="3" t="s">
        <v>46</v>
      </c>
      <c r="D129" s="3" t="s">
        <v>47</v>
      </c>
      <c r="E129" s="6" t="s">
        <v>61</v>
      </c>
      <c r="F129" s="6">
        <v>0.22868217054263565</v>
      </c>
      <c r="G129" s="7"/>
    </row>
    <row r="130" spans="1:7">
      <c r="A130" s="5" t="s">
        <v>80</v>
      </c>
      <c r="B130" s="3" t="s">
        <v>51</v>
      </c>
      <c r="C130" s="3" t="s">
        <v>46</v>
      </c>
      <c r="D130" s="3" t="s">
        <v>47</v>
      </c>
      <c r="E130" s="6" t="s">
        <v>63</v>
      </c>
      <c r="F130" s="6">
        <v>2.3255813953488372E-2</v>
      </c>
      <c r="G130" s="7"/>
    </row>
    <row r="131" spans="1:7">
      <c r="A131" s="5" t="s">
        <v>80</v>
      </c>
      <c r="B131" s="3" t="s">
        <v>51</v>
      </c>
      <c r="C131" s="3" t="s">
        <v>46</v>
      </c>
      <c r="D131" s="3" t="s">
        <v>47</v>
      </c>
      <c r="E131" s="3" t="s">
        <v>65</v>
      </c>
      <c r="F131" s="6">
        <v>0.21124031007751937</v>
      </c>
      <c r="G131" s="7"/>
    </row>
    <row r="132" spans="1:7">
      <c r="A132" s="5" t="s">
        <v>80</v>
      </c>
      <c r="B132" s="3" t="s">
        <v>51</v>
      </c>
      <c r="C132" s="3" t="s">
        <v>46</v>
      </c>
      <c r="D132" s="3" t="s">
        <v>47</v>
      </c>
      <c r="E132" s="6" t="s">
        <v>67</v>
      </c>
      <c r="F132" s="6">
        <v>3.294573643410853E-2</v>
      </c>
      <c r="G132" s="7"/>
    </row>
    <row r="133" spans="1:7">
      <c r="A133" s="5" t="s">
        <v>81</v>
      </c>
      <c r="B133" s="3" t="s">
        <v>51</v>
      </c>
      <c r="C133" s="3" t="s">
        <v>46</v>
      </c>
      <c r="D133" s="3" t="s">
        <v>47</v>
      </c>
      <c r="E133" s="3" t="s">
        <v>48</v>
      </c>
      <c r="F133" s="6">
        <v>0.11046511627906977</v>
      </c>
      <c r="G133" s="7"/>
    </row>
    <row r="134" spans="1:7">
      <c r="A134" s="5" t="s">
        <v>81</v>
      </c>
      <c r="B134" s="3" t="s">
        <v>51</v>
      </c>
      <c r="C134" s="3" t="s">
        <v>46</v>
      </c>
      <c r="D134" s="3" t="s">
        <v>47</v>
      </c>
      <c r="E134" s="6" t="s">
        <v>54</v>
      </c>
      <c r="F134" s="6">
        <v>1.937984496124031E-3</v>
      </c>
      <c r="G134" s="7"/>
    </row>
    <row r="135" spans="1:7">
      <c r="A135" s="5" t="s">
        <v>81</v>
      </c>
      <c r="B135" s="3" t="s">
        <v>51</v>
      </c>
      <c r="C135" s="3" t="s">
        <v>46</v>
      </c>
      <c r="D135" s="3" t="s">
        <v>47</v>
      </c>
      <c r="E135" s="6" t="s">
        <v>57</v>
      </c>
      <c r="F135" s="6">
        <v>0.11627906976744186</v>
      </c>
      <c r="G135" s="7"/>
    </row>
    <row r="136" spans="1:7">
      <c r="A136" s="5" t="s">
        <v>81</v>
      </c>
      <c r="B136" s="3" t="s">
        <v>51</v>
      </c>
      <c r="C136" s="3" t="s">
        <v>46</v>
      </c>
      <c r="D136" s="3" t="s">
        <v>47</v>
      </c>
      <c r="E136" s="6" t="s">
        <v>59</v>
      </c>
      <c r="F136" s="6">
        <v>7.7519379844961239E-3</v>
      </c>
      <c r="G136" s="7"/>
    </row>
    <row r="137" spans="1:7">
      <c r="A137" s="5" t="s">
        <v>81</v>
      </c>
      <c r="B137" s="3" t="s">
        <v>51</v>
      </c>
      <c r="C137" s="3" t="s">
        <v>46</v>
      </c>
      <c r="D137" s="3" t="s">
        <v>47</v>
      </c>
      <c r="E137" s="6" t="s">
        <v>61</v>
      </c>
      <c r="F137" s="6">
        <v>0.10077519379844961</v>
      </c>
      <c r="G137" s="7"/>
    </row>
    <row r="138" spans="1:7">
      <c r="A138" s="5" t="s">
        <v>81</v>
      </c>
      <c r="B138" s="3" t="s">
        <v>51</v>
      </c>
      <c r="C138" s="3" t="s">
        <v>46</v>
      </c>
      <c r="D138" s="3" t="s">
        <v>47</v>
      </c>
      <c r="E138" s="6" t="s">
        <v>63</v>
      </c>
      <c r="F138" s="6">
        <v>1.1627906976744186E-2</v>
      </c>
      <c r="G138" s="7"/>
    </row>
    <row r="139" spans="1:7">
      <c r="A139" s="5" t="s">
        <v>81</v>
      </c>
      <c r="B139" s="3" t="s">
        <v>51</v>
      </c>
      <c r="C139" s="3" t="s">
        <v>46</v>
      </c>
      <c r="D139" s="3" t="s">
        <v>47</v>
      </c>
      <c r="E139" s="3" t="s">
        <v>65</v>
      </c>
      <c r="F139" s="6">
        <v>0.14147286821705427</v>
      </c>
      <c r="G139" s="7"/>
    </row>
    <row r="140" spans="1:7">
      <c r="A140" s="5" t="s">
        <v>81</v>
      </c>
      <c r="B140" s="3" t="s">
        <v>51</v>
      </c>
      <c r="C140" s="3" t="s">
        <v>46</v>
      </c>
      <c r="D140" s="3" t="s">
        <v>47</v>
      </c>
      <c r="E140" s="6" t="s">
        <v>67</v>
      </c>
      <c r="F140" s="6">
        <v>1.3565891472868217E-2</v>
      </c>
      <c r="G140" s="7"/>
    </row>
    <row r="141" spans="1:7">
      <c r="A141" s="5" t="s">
        <v>95</v>
      </c>
      <c r="B141" s="3" t="s">
        <v>51</v>
      </c>
      <c r="C141" s="3" t="s">
        <v>46</v>
      </c>
      <c r="D141" s="3" t="s">
        <v>47</v>
      </c>
      <c r="E141" s="3" t="s">
        <v>48</v>
      </c>
      <c r="F141" s="6">
        <v>0.17635658914728683</v>
      </c>
      <c r="G141" s="7"/>
    </row>
    <row r="142" spans="1:7">
      <c r="A142" s="5" t="s">
        <v>95</v>
      </c>
      <c r="B142" s="3" t="s">
        <v>51</v>
      </c>
      <c r="C142" s="3" t="s">
        <v>46</v>
      </c>
      <c r="D142" s="3" t="s">
        <v>47</v>
      </c>
      <c r="E142" s="6" t="s">
        <v>54</v>
      </c>
      <c r="F142" s="6">
        <v>0</v>
      </c>
      <c r="G142" s="7"/>
    </row>
    <row r="143" spans="1:7">
      <c r="A143" s="5" t="s">
        <v>95</v>
      </c>
      <c r="B143" s="3" t="s">
        <v>51</v>
      </c>
      <c r="C143" s="3" t="s">
        <v>46</v>
      </c>
      <c r="D143" s="3" t="s">
        <v>47</v>
      </c>
      <c r="E143" s="6" t="s">
        <v>57</v>
      </c>
      <c r="F143" s="6">
        <v>7.9457364341085274E-2</v>
      </c>
      <c r="G143" s="7"/>
    </row>
    <row r="144" spans="1:7">
      <c r="A144" s="5" t="s">
        <v>95</v>
      </c>
      <c r="B144" s="3" t="s">
        <v>51</v>
      </c>
      <c r="C144" s="3" t="s">
        <v>46</v>
      </c>
      <c r="D144" s="3" t="s">
        <v>47</v>
      </c>
      <c r="E144" s="6" t="s">
        <v>59</v>
      </c>
      <c r="F144" s="6">
        <v>0</v>
      </c>
      <c r="G144" s="7"/>
    </row>
    <row r="145" spans="1:7">
      <c r="A145" s="5" t="s">
        <v>95</v>
      </c>
      <c r="B145" s="3" t="s">
        <v>51</v>
      </c>
      <c r="C145" s="3" t="s">
        <v>46</v>
      </c>
      <c r="D145" s="3" t="s">
        <v>47</v>
      </c>
      <c r="E145" s="6" t="s">
        <v>61</v>
      </c>
      <c r="F145" s="6">
        <v>0</v>
      </c>
      <c r="G145" s="7"/>
    </row>
    <row r="146" spans="1:7">
      <c r="A146" s="5" t="s">
        <v>95</v>
      </c>
      <c r="B146" s="3" t="s">
        <v>51</v>
      </c>
      <c r="C146" s="3" t="s">
        <v>46</v>
      </c>
      <c r="D146" s="3" t="s">
        <v>47</v>
      </c>
      <c r="E146" s="6" t="s">
        <v>63</v>
      </c>
      <c r="F146" s="6">
        <v>0</v>
      </c>
      <c r="G146" s="7"/>
    </row>
    <row r="147" spans="1:7">
      <c r="A147" s="5" t="s">
        <v>95</v>
      </c>
      <c r="B147" s="3" t="s">
        <v>51</v>
      </c>
      <c r="C147" s="3" t="s">
        <v>46</v>
      </c>
      <c r="D147" s="3" t="s">
        <v>47</v>
      </c>
      <c r="E147" s="3" t="s">
        <v>65</v>
      </c>
      <c r="F147" s="6">
        <v>0</v>
      </c>
      <c r="G147" s="7"/>
    </row>
    <row r="148" spans="1:7">
      <c r="A148" s="5" t="s">
        <v>95</v>
      </c>
      <c r="B148" s="3" t="s">
        <v>51</v>
      </c>
      <c r="C148" s="3" t="s">
        <v>46</v>
      </c>
      <c r="D148" s="3" t="s">
        <v>47</v>
      </c>
      <c r="E148" s="6" t="s">
        <v>67</v>
      </c>
      <c r="F148" s="6">
        <v>0</v>
      </c>
      <c r="G148" s="7"/>
    </row>
    <row r="149" spans="1:7">
      <c r="A149" s="5" t="s">
        <v>82</v>
      </c>
      <c r="B149" s="3" t="s">
        <v>51</v>
      </c>
      <c r="C149" s="3" t="s">
        <v>46</v>
      </c>
      <c r="D149" s="3" t="s">
        <v>47</v>
      </c>
      <c r="E149" s="3" t="s">
        <v>48</v>
      </c>
      <c r="F149" s="6">
        <v>0.14922480620155038</v>
      </c>
      <c r="G149" s="7"/>
    </row>
    <row r="150" spans="1:7">
      <c r="A150" s="5" t="s">
        <v>82</v>
      </c>
      <c r="B150" s="3" t="s">
        <v>51</v>
      </c>
      <c r="C150" s="3" t="s">
        <v>46</v>
      </c>
      <c r="D150" s="3" t="s">
        <v>47</v>
      </c>
      <c r="E150" s="6" t="s">
        <v>54</v>
      </c>
      <c r="F150" s="6">
        <v>0</v>
      </c>
      <c r="G150" s="7"/>
    </row>
    <row r="151" spans="1:7">
      <c r="A151" s="5" t="s">
        <v>82</v>
      </c>
      <c r="B151" s="3" t="s">
        <v>51</v>
      </c>
      <c r="C151" s="3" t="s">
        <v>46</v>
      </c>
      <c r="D151" s="3" t="s">
        <v>47</v>
      </c>
      <c r="E151" s="6" t="s">
        <v>57</v>
      </c>
      <c r="F151" s="6">
        <v>0.13372093023255813</v>
      </c>
      <c r="G151" s="7"/>
    </row>
    <row r="152" spans="1:7">
      <c r="A152" s="5" t="s">
        <v>82</v>
      </c>
      <c r="B152" s="3" t="s">
        <v>51</v>
      </c>
      <c r="C152" s="3" t="s">
        <v>46</v>
      </c>
      <c r="D152" s="3" t="s">
        <v>47</v>
      </c>
      <c r="E152" s="6" t="s">
        <v>59</v>
      </c>
      <c r="F152" s="6">
        <v>9.6899224806201549E-3</v>
      </c>
      <c r="G152" s="7"/>
    </row>
    <row r="153" spans="1:7">
      <c r="A153" s="5" t="s">
        <v>82</v>
      </c>
      <c r="B153" s="3" t="s">
        <v>51</v>
      </c>
      <c r="C153" s="3" t="s">
        <v>46</v>
      </c>
      <c r="D153" s="3" t="s">
        <v>47</v>
      </c>
      <c r="E153" s="6" t="s">
        <v>61</v>
      </c>
      <c r="F153" s="6">
        <v>0.14534883720930233</v>
      </c>
      <c r="G153" s="7"/>
    </row>
    <row r="154" spans="1:7">
      <c r="A154" s="5" t="s">
        <v>82</v>
      </c>
      <c r="B154" s="3" t="s">
        <v>51</v>
      </c>
      <c r="C154" s="3" t="s">
        <v>46</v>
      </c>
      <c r="D154" s="3" t="s">
        <v>47</v>
      </c>
      <c r="E154" s="6" t="s">
        <v>63</v>
      </c>
      <c r="F154" s="6">
        <v>1.1627906976744186E-2</v>
      </c>
      <c r="G154" s="7"/>
    </row>
    <row r="155" spans="1:7">
      <c r="A155" s="5" t="s">
        <v>82</v>
      </c>
      <c r="B155" s="3" t="s">
        <v>51</v>
      </c>
      <c r="C155" s="3" t="s">
        <v>46</v>
      </c>
      <c r="D155" s="3" t="s">
        <v>47</v>
      </c>
      <c r="E155" s="3" t="s">
        <v>65</v>
      </c>
      <c r="F155" s="6">
        <v>0.1124031007751938</v>
      </c>
      <c r="G155" s="7"/>
    </row>
    <row r="156" spans="1:7">
      <c r="A156" s="5" t="s">
        <v>82</v>
      </c>
      <c r="B156" s="3" t="s">
        <v>51</v>
      </c>
      <c r="C156" s="3" t="s">
        <v>46</v>
      </c>
      <c r="D156" s="3" t="s">
        <v>47</v>
      </c>
      <c r="E156" s="6" t="s">
        <v>67</v>
      </c>
      <c r="F156" s="6">
        <v>2.1317829457364341E-2</v>
      </c>
      <c r="G156" s="7"/>
    </row>
    <row r="157" spans="1:7">
      <c r="A157" s="5" t="s">
        <v>84</v>
      </c>
      <c r="B157" s="3" t="s">
        <v>51</v>
      </c>
      <c r="C157" s="3" t="s">
        <v>46</v>
      </c>
      <c r="D157" s="3" t="s">
        <v>47</v>
      </c>
      <c r="E157" s="3" t="s">
        <v>48</v>
      </c>
      <c r="F157" s="6">
        <v>0.27519379844961239</v>
      </c>
      <c r="G157" s="7"/>
    </row>
    <row r="158" spans="1:7">
      <c r="A158" s="5" t="s">
        <v>84</v>
      </c>
      <c r="B158" s="3" t="s">
        <v>51</v>
      </c>
      <c r="C158" s="3" t="s">
        <v>46</v>
      </c>
      <c r="D158" s="3" t="s">
        <v>47</v>
      </c>
      <c r="E158" s="6" t="s">
        <v>54</v>
      </c>
      <c r="F158" s="6">
        <v>3.875968992248062E-3</v>
      </c>
      <c r="G158" s="7"/>
    </row>
    <row r="159" spans="1:7">
      <c r="A159" s="5" t="s">
        <v>84</v>
      </c>
      <c r="B159" s="3" t="s">
        <v>51</v>
      </c>
      <c r="C159" s="3" t="s">
        <v>46</v>
      </c>
      <c r="D159" s="3" t="s">
        <v>47</v>
      </c>
      <c r="E159" s="6" t="s">
        <v>57</v>
      </c>
      <c r="F159" s="6">
        <v>0.23255813953488372</v>
      </c>
      <c r="G159" s="7"/>
    </row>
    <row r="160" spans="1:7">
      <c r="A160" s="5" t="s">
        <v>84</v>
      </c>
      <c r="B160" s="3" t="s">
        <v>51</v>
      </c>
      <c r="C160" s="3" t="s">
        <v>46</v>
      </c>
      <c r="D160" s="3" t="s">
        <v>47</v>
      </c>
      <c r="E160" s="6" t="s">
        <v>59</v>
      </c>
      <c r="F160" s="6">
        <v>1.937984496124031E-3</v>
      </c>
      <c r="G160" s="7"/>
    </row>
    <row r="161" spans="1:7">
      <c r="A161" s="5" t="s">
        <v>84</v>
      </c>
      <c r="B161" s="3" t="s">
        <v>51</v>
      </c>
      <c r="C161" s="3" t="s">
        <v>46</v>
      </c>
      <c r="D161" s="3" t="s">
        <v>47</v>
      </c>
      <c r="E161" s="6" t="s">
        <v>61</v>
      </c>
      <c r="F161" s="6">
        <v>0.22480620155038761</v>
      </c>
      <c r="G161" s="7"/>
    </row>
    <row r="162" spans="1:7">
      <c r="A162" s="5" t="s">
        <v>84</v>
      </c>
      <c r="B162" s="3" t="s">
        <v>51</v>
      </c>
      <c r="C162" s="3" t="s">
        <v>46</v>
      </c>
      <c r="D162" s="3" t="s">
        <v>47</v>
      </c>
      <c r="E162" s="6" t="s">
        <v>63</v>
      </c>
      <c r="F162" s="6">
        <v>2.5193798449612403E-2</v>
      </c>
      <c r="G162" s="7"/>
    </row>
    <row r="163" spans="1:7">
      <c r="A163" s="5" t="s">
        <v>84</v>
      </c>
      <c r="B163" s="3" t="s">
        <v>51</v>
      </c>
      <c r="C163" s="3" t="s">
        <v>46</v>
      </c>
      <c r="D163" s="3" t="s">
        <v>47</v>
      </c>
      <c r="E163" s="3" t="s">
        <v>65</v>
      </c>
      <c r="F163" s="6">
        <v>0.15891472868217055</v>
      </c>
      <c r="G163" s="7"/>
    </row>
    <row r="164" spans="1:7">
      <c r="A164" s="5" t="s">
        <v>84</v>
      </c>
      <c r="B164" s="3" t="s">
        <v>51</v>
      </c>
      <c r="C164" s="3" t="s">
        <v>46</v>
      </c>
      <c r="D164" s="3" t="s">
        <v>47</v>
      </c>
      <c r="E164" s="6" t="s">
        <v>67</v>
      </c>
      <c r="F164" s="6">
        <v>4.4573643410852716E-2</v>
      </c>
      <c r="G164" s="7"/>
    </row>
    <row r="165" spans="1:7">
      <c r="A165" s="5" t="s">
        <v>85</v>
      </c>
      <c r="B165" s="3" t="s">
        <v>51</v>
      </c>
      <c r="C165" s="3" t="s">
        <v>46</v>
      </c>
      <c r="D165" s="3" t="s">
        <v>47</v>
      </c>
      <c r="E165" s="3" t="s">
        <v>48</v>
      </c>
      <c r="F165" s="6">
        <v>0.14922480620155038</v>
      </c>
      <c r="G165" s="7"/>
    </row>
    <row r="166" spans="1:7">
      <c r="A166" s="5" t="s">
        <v>85</v>
      </c>
      <c r="B166" s="3" t="s">
        <v>51</v>
      </c>
      <c r="C166" s="3" t="s">
        <v>46</v>
      </c>
      <c r="D166" s="3" t="s">
        <v>47</v>
      </c>
      <c r="E166" s="6" t="s">
        <v>54</v>
      </c>
      <c r="F166" s="6">
        <v>1.937984496124031E-2</v>
      </c>
      <c r="G166" s="7"/>
    </row>
    <row r="167" spans="1:7">
      <c r="A167" s="5" t="s">
        <v>85</v>
      </c>
      <c r="B167" s="3" t="s">
        <v>51</v>
      </c>
      <c r="C167" s="3" t="s">
        <v>46</v>
      </c>
      <c r="D167" s="3" t="s">
        <v>47</v>
      </c>
      <c r="E167" s="6" t="s">
        <v>57</v>
      </c>
      <c r="F167" s="6">
        <v>0.17054263565891473</v>
      </c>
      <c r="G167" s="7"/>
    </row>
    <row r="168" spans="1:7">
      <c r="A168" s="5" t="s">
        <v>85</v>
      </c>
      <c r="B168" s="3" t="s">
        <v>51</v>
      </c>
      <c r="C168" s="3" t="s">
        <v>46</v>
      </c>
      <c r="D168" s="3" t="s">
        <v>47</v>
      </c>
      <c r="E168" s="6" t="s">
        <v>59</v>
      </c>
      <c r="F168" s="6">
        <v>3.875968992248062E-3</v>
      </c>
      <c r="G168" s="7"/>
    </row>
    <row r="169" spans="1:7">
      <c r="A169" s="5" t="s">
        <v>85</v>
      </c>
      <c r="B169" s="3" t="s">
        <v>51</v>
      </c>
      <c r="C169" s="3" t="s">
        <v>46</v>
      </c>
      <c r="D169" s="3" t="s">
        <v>47</v>
      </c>
      <c r="E169" s="6" t="s">
        <v>61</v>
      </c>
      <c r="F169" s="6">
        <v>0.15116279069767441</v>
      </c>
      <c r="G169" s="7"/>
    </row>
    <row r="170" spans="1:7">
      <c r="A170" s="5" t="s">
        <v>85</v>
      </c>
      <c r="B170" s="3" t="s">
        <v>51</v>
      </c>
      <c r="C170" s="3" t="s">
        <v>46</v>
      </c>
      <c r="D170" s="3" t="s">
        <v>47</v>
      </c>
      <c r="E170" s="6" t="s">
        <v>63</v>
      </c>
      <c r="F170" s="6">
        <v>3.875968992248062E-2</v>
      </c>
      <c r="G170" s="7"/>
    </row>
    <row r="171" spans="1:7">
      <c r="A171" s="5" t="s">
        <v>85</v>
      </c>
      <c r="B171" s="3" t="s">
        <v>51</v>
      </c>
      <c r="C171" s="3" t="s">
        <v>46</v>
      </c>
      <c r="D171" s="3" t="s">
        <v>47</v>
      </c>
      <c r="E171" s="3" t="s">
        <v>65</v>
      </c>
      <c r="F171" s="6">
        <v>0.12403100775193798</v>
      </c>
      <c r="G171" s="7"/>
    </row>
    <row r="172" spans="1:7">
      <c r="A172" s="5" t="s">
        <v>85</v>
      </c>
      <c r="B172" s="3" t="s">
        <v>51</v>
      </c>
      <c r="C172" s="3" t="s">
        <v>46</v>
      </c>
      <c r="D172" s="3" t="s">
        <v>47</v>
      </c>
      <c r="E172" s="6" t="s">
        <v>67</v>
      </c>
      <c r="F172" s="6">
        <v>5.6201550387596902E-2</v>
      </c>
      <c r="G172" s="7"/>
    </row>
    <row r="173" spans="1:7">
      <c r="A173" s="5" t="s">
        <v>86</v>
      </c>
      <c r="B173" s="3" t="s">
        <v>51</v>
      </c>
      <c r="C173" s="3" t="s">
        <v>46</v>
      </c>
      <c r="D173" s="3" t="s">
        <v>47</v>
      </c>
      <c r="E173" s="3" t="s">
        <v>48</v>
      </c>
      <c r="F173" s="6">
        <v>0.31782945736434109</v>
      </c>
      <c r="G173" s="7"/>
    </row>
    <row r="174" spans="1:7">
      <c r="A174" s="5" t="s">
        <v>86</v>
      </c>
      <c r="B174" s="3" t="s">
        <v>51</v>
      </c>
      <c r="C174" s="3" t="s">
        <v>46</v>
      </c>
      <c r="D174" s="3" t="s">
        <v>47</v>
      </c>
      <c r="E174" s="6" t="s">
        <v>54</v>
      </c>
      <c r="F174" s="6">
        <v>3.875968992248062E-3</v>
      </c>
      <c r="G174" s="7"/>
    </row>
    <row r="175" spans="1:7">
      <c r="A175" s="5" t="s">
        <v>86</v>
      </c>
      <c r="B175" s="3" t="s">
        <v>51</v>
      </c>
      <c r="C175" s="3" t="s">
        <v>46</v>
      </c>
      <c r="D175" s="3" t="s">
        <v>47</v>
      </c>
      <c r="E175" s="6" t="s">
        <v>57</v>
      </c>
      <c r="F175" s="6">
        <v>0.27519379844961239</v>
      </c>
      <c r="G175" s="7"/>
    </row>
    <row r="176" spans="1:7">
      <c r="A176" s="5" t="s">
        <v>86</v>
      </c>
      <c r="B176" s="3" t="s">
        <v>51</v>
      </c>
      <c r="C176" s="3" t="s">
        <v>46</v>
      </c>
      <c r="D176" s="3" t="s">
        <v>47</v>
      </c>
      <c r="E176" s="6" t="s">
        <v>59</v>
      </c>
      <c r="F176" s="6">
        <v>1.3565891472868217E-2</v>
      </c>
      <c r="G176" s="7"/>
    </row>
    <row r="177" spans="1:7">
      <c r="A177" s="5" t="s">
        <v>86</v>
      </c>
      <c r="B177" s="3" t="s">
        <v>51</v>
      </c>
      <c r="C177" s="3" t="s">
        <v>46</v>
      </c>
      <c r="D177" s="3" t="s">
        <v>47</v>
      </c>
      <c r="E177" s="6" t="s">
        <v>61</v>
      </c>
      <c r="F177" s="6">
        <v>0.18992248062015504</v>
      </c>
      <c r="G177" s="7"/>
    </row>
    <row r="178" spans="1:7">
      <c r="A178" s="5" t="s">
        <v>86</v>
      </c>
      <c r="B178" s="3" t="s">
        <v>51</v>
      </c>
      <c r="C178" s="3" t="s">
        <v>46</v>
      </c>
      <c r="D178" s="3" t="s">
        <v>47</v>
      </c>
      <c r="E178" s="6" t="s">
        <v>63</v>
      </c>
      <c r="F178" s="6">
        <v>2.9069767441860465E-2</v>
      </c>
      <c r="G178" s="7"/>
    </row>
    <row r="179" spans="1:7">
      <c r="A179" s="5" t="s">
        <v>86</v>
      </c>
      <c r="B179" s="3" t="s">
        <v>51</v>
      </c>
      <c r="C179" s="3" t="s">
        <v>46</v>
      </c>
      <c r="D179" s="3" t="s">
        <v>47</v>
      </c>
      <c r="E179" s="3" t="s">
        <v>65</v>
      </c>
      <c r="F179" s="6">
        <v>0.15503875968992248</v>
      </c>
      <c r="G179" s="7"/>
    </row>
    <row r="180" spans="1:7">
      <c r="A180" s="5" t="s">
        <v>86</v>
      </c>
      <c r="B180" s="3" t="s">
        <v>51</v>
      </c>
      <c r="C180" s="3" t="s">
        <v>46</v>
      </c>
      <c r="D180" s="3" t="s">
        <v>47</v>
      </c>
      <c r="E180" s="6" t="s">
        <v>67</v>
      </c>
      <c r="F180" s="6">
        <v>4.8449612403100778E-2</v>
      </c>
      <c r="G180" s="7"/>
    </row>
    <row r="181" spans="1:7">
      <c r="A181" s="5" t="s">
        <v>87</v>
      </c>
      <c r="B181" s="3" t="s">
        <v>51</v>
      </c>
      <c r="C181" s="3" t="s">
        <v>46</v>
      </c>
      <c r="D181" s="3" t="s">
        <v>47</v>
      </c>
      <c r="E181" s="3" t="s">
        <v>48</v>
      </c>
      <c r="F181" s="6">
        <v>0.23255813953488372</v>
      </c>
      <c r="G181" s="7"/>
    </row>
    <row r="182" spans="1:7">
      <c r="A182" s="5" t="s">
        <v>87</v>
      </c>
      <c r="B182" s="3" t="s">
        <v>51</v>
      </c>
      <c r="C182" s="3" t="s">
        <v>46</v>
      </c>
      <c r="D182" s="3" t="s">
        <v>47</v>
      </c>
      <c r="E182" s="6" t="s">
        <v>54</v>
      </c>
      <c r="F182" s="6">
        <v>9.6899224806201549E-3</v>
      </c>
      <c r="G182" s="7"/>
    </row>
    <row r="183" spans="1:7">
      <c r="A183" s="5" t="s">
        <v>87</v>
      </c>
      <c r="B183" s="3" t="s">
        <v>51</v>
      </c>
      <c r="C183" s="3" t="s">
        <v>46</v>
      </c>
      <c r="D183" s="3" t="s">
        <v>47</v>
      </c>
      <c r="E183" s="6" t="s">
        <v>57</v>
      </c>
      <c r="F183" s="6">
        <v>0.2441860465116279</v>
      </c>
      <c r="G183" s="7"/>
    </row>
    <row r="184" spans="1:7">
      <c r="A184" s="5" t="s">
        <v>87</v>
      </c>
      <c r="B184" s="3" t="s">
        <v>51</v>
      </c>
      <c r="C184" s="3" t="s">
        <v>46</v>
      </c>
      <c r="D184" s="3" t="s">
        <v>47</v>
      </c>
      <c r="E184" s="6" t="s">
        <v>59</v>
      </c>
      <c r="F184" s="6">
        <v>4.2635658914728682E-2</v>
      </c>
      <c r="G184" s="7"/>
    </row>
    <row r="185" spans="1:7">
      <c r="A185" s="5" t="s">
        <v>87</v>
      </c>
      <c r="B185" s="3" t="s">
        <v>51</v>
      </c>
      <c r="C185" s="3" t="s">
        <v>46</v>
      </c>
      <c r="D185" s="3" t="s">
        <v>47</v>
      </c>
      <c r="E185" s="6" t="s">
        <v>61</v>
      </c>
      <c r="F185" s="6">
        <v>0.26744186046511625</v>
      </c>
      <c r="G185" s="7"/>
    </row>
    <row r="186" spans="1:7">
      <c r="A186" s="5" t="s">
        <v>87</v>
      </c>
      <c r="B186" s="3" t="s">
        <v>51</v>
      </c>
      <c r="C186" s="3" t="s">
        <v>46</v>
      </c>
      <c r="D186" s="3" t="s">
        <v>47</v>
      </c>
      <c r="E186" s="6" t="s">
        <v>63</v>
      </c>
      <c r="F186" s="6">
        <v>2.5193798449612403E-2</v>
      </c>
      <c r="G186" s="7"/>
    </row>
    <row r="187" spans="1:7">
      <c r="A187" s="5" t="s">
        <v>87</v>
      </c>
      <c r="B187" s="3" t="s">
        <v>51</v>
      </c>
      <c r="C187" s="3" t="s">
        <v>46</v>
      </c>
      <c r="D187" s="3" t="s">
        <v>47</v>
      </c>
      <c r="E187" s="3" t="s">
        <v>65</v>
      </c>
      <c r="F187" s="6">
        <v>0.20155038759689922</v>
      </c>
      <c r="G187" s="7"/>
    </row>
    <row r="188" spans="1:7">
      <c r="A188" s="5" t="s">
        <v>87</v>
      </c>
      <c r="B188" s="3" t="s">
        <v>51</v>
      </c>
      <c r="C188" s="3" t="s">
        <v>46</v>
      </c>
      <c r="D188" s="3" t="s">
        <v>47</v>
      </c>
      <c r="E188" s="6" t="s">
        <v>67</v>
      </c>
      <c r="F188" s="6">
        <v>7.7519379844961239E-2</v>
      </c>
      <c r="G188" s="7"/>
    </row>
    <row r="189" spans="1:7">
      <c r="A189" s="5" t="s">
        <v>88</v>
      </c>
      <c r="B189" s="3" t="s">
        <v>51</v>
      </c>
      <c r="C189" s="3" t="s">
        <v>46</v>
      </c>
      <c r="D189" s="3" t="s">
        <v>47</v>
      </c>
      <c r="E189" s="3" t="s">
        <v>48</v>
      </c>
      <c r="F189" s="6">
        <v>0.6763565891472868</v>
      </c>
      <c r="G189" s="7"/>
    </row>
    <row r="190" spans="1:7">
      <c r="A190" s="5" t="s">
        <v>88</v>
      </c>
      <c r="B190" s="3" t="s">
        <v>51</v>
      </c>
      <c r="C190" s="3" t="s">
        <v>46</v>
      </c>
      <c r="D190" s="3" t="s">
        <v>47</v>
      </c>
      <c r="E190" s="6" t="s">
        <v>54</v>
      </c>
      <c r="F190" s="6">
        <v>3.875968992248062E-3</v>
      </c>
      <c r="G190" s="7"/>
    </row>
    <row r="191" spans="1:7">
      <c r="A191" s="5" t="s">
        <v>88</v>
      </c>
      <c r="B191" s="3" t="s">
        <v>51</v>
      </c>
      <c r="C191" s="3" t="s">
        <v>46</v>
      </c>
      <c r="D191" s="3" t="s">
        <v>47</v>
      </c>
      <c r="E191" s="6" t="s">
        <v>57</v>
      </c>
      <c r="F191" s="6">
        <v>0.46124031007751937</v>
      </c>
      <c r="G191" s="7"/>
    </row>
    <row r="192" spans="1:7">
      <c r="A192" s="5" t="s">
        <v>88</v>
      </c>
      <c r="B192" s="3" t="s">
        <v>51</v>
      </c>
      <c r="C192" s="3" t="s">
        <v>46</v>
      </c>
      <c r="D192" s="3" t="s">
        <v>47</v>
      </c>
      <c r="E192" s="6" t="s">
        <v>59</v>
      </c>
      <c r="F192" s="6">
        <v>0.1375968992248062</v>
      </c>
      <c r="G192" s="7"/>
    </row>
    <row r="193" spans="1:7">
      <c r="A193" s="5" t="s">
        <v>88</v>
      </c>
      <c r="B193" s="3" t="s">
        <v>51</v>
      </c>
      <c r="C193" s="3" t="s">
        <v>46</v>
      </c>
      <c r="D193" s="3" t="s">
        <v>47</v>
      </c>
      <c r="E193" s="6" t="s">
        <v>61</v>
      </c>
      <c r="F193" s="6">
        <v>0.46124031007751937</v>
      </c>
      <c r="G193" s="7"/>
    </row>
    <row r="194" spans="1:7">
      <c r="A194" s="5" t="s">
        <v>88</v>
      </c>
      <c r="B194" s="3" t="s">
        <v>51</v>
      </c>
      <c r="C194" s="3" t="s">
        <v>46</v>
      </c>
      <c r="D194" s="3" t="s">
        <v>47</v>
      </c>
      <c r="E194" s="6" t="s">
        <v>63</v>
      </c>
      <c r="F194" s="6">
        <v>0.12596899224806202</v>
      </c>
      <c r="G194" s="7"/>
    </row>
    <row r="195" spans="1:7">
      <c r="A195" s="5" t="s">
        <v>88</v>
      </c>
      <c r="B195" s="3" t="s">
        <v>51</v>
      </c>
      <c r="C195" s="3" t="s">
        <v>46</v>
      </c>
      <c r="D195" s="3" t="s">
        <v>47</v>
      </c>
      <c r="E195" s="3" t="s">
        <v>65</v>
      </c>
      <c r="F195" s="6">
        <v>0.44186046511627908</v>
      </c>
      <c r="G195" s="7"/>
    </row>
    <row r="196" spans="1:7">
      <c r="A196" s="5" t="s">
        <v>88</v>
      </c>
      <c r="B196" s="3" t="s">
        <v>51</v>
      </c>
      <c r="C196" s="3" t="s">
        <v>46</v>
      </c>
      <c r="D196" s="3" t="s">
        <v>47</v>
      </c>
      <c r="E196" s="6" t="s">
        <v>67</v>
      </c>
      <c r="F196" s="6">
        <v>0.17635658914728683</v>
      </c>
      <c r="G196" s="7"/>
    </row>
    <row r="197" spans="1:7">
      <c r="A197" s="5" t="s">
        <v>94</v>
      </c>
      <c r="B197" s="3" t="s">
        <v>51</v>
      </c>
      <c r="C197" s="3" t="s">
        <v>46</v>
      </c>
      <c r="D197" s="3" t="s">
        <v>47</v>
      </c>
      <c r="E197" s="3" t="s">
        <v>48</v>
      </c>
      <c r="F197" s="6">
        <v>0.11434108527131782</v>
      </c>
      <c r="G197" s="7"/>
    </row>
    <row r="198" spans="1:7">
      <c r="A198" s="5" t="s">
        <v>94</v>
      </c>
      <c r="B198" s="3" t="s">
        <v>51</v>
      </c>
      <c r="C198" s="3" t="s">
        <v>46</v>
      </c>
      <c r="D198" s="3" t="s">
        <v>47</v>
      </c>
      <c r="E198" s="6" t="s">
        <v>54</v>
      </c>
      <c r="F198" s="6">
        <v>0</v>
      </c>
      <c r="G198" s="7"/>
    </row>
    <row r="199" spans="1:7">
      <c r="A199" s="5" t="s">
        <v>94</v>
      </c>
      <c r="B199" s="3" t="s">
        <v>51</v>
      </c>
      <c r="C199" s="3" t="s">
        <v>46</v>
      </c>
      <c r="D199" s="3" t="s">
        <v>47</v>
      </c>
      <c r="E199" s="6" t="s">
        <v>57</v>
      </c>
      <c r="F199" s="6">
        <v>0</v>
      </c>
      <c r="G199" s="7"/>
    </row>
    <row r="200" spans="1:7">
      <c r="A200" s="5" t="s">
        <v>94</v>
      </c>
      <c r="B200" s="3" t="s">
        <v>51</v>
      </c>
      <c r="C200" s="3" t="s">
        <v>46</v>
      </c>
      <c r="D200" s="3" t="s">
        <v>47</v>
      </c>
      <c r="E200" s="6" t="s">
        <v>59</v>
      </c>
      <c r="F200" s="6">
        <v>0</v>
      </c>
      <c r="G200" s="7"/>
    </row>
    <row r="201" spans="1:7">
      <c r="A201" s="5" t="s">
        <v>94</v>
      </c>
      <c r="B201" s="3" t="s">
        <v>51</v>
      </c>
      <c r="C201" s="3" t="s">
        <v>46</v>
      </c>
      <c r="D201" s="3" t="s">
        <v>47</v>
      </c>
      <c r="E201" s="6" t="s">
        <v>61</v>
      </c>
      <c r="F201" s="6">
        <v>0</v>
      </c>
      <c r="G201" s="7"/>
    </row>
    <row r="202" spans="1:7">
      <c r="A202" s="5" t="s">
        <v>94</v>
      </c>
      <c r="B202" s="3" t="s">
        <v>51</v>
      </c>
      <c r="C202" s="3" t="s">
        <v>46</v>
      </c>
      <c r="D202" s="3" t="s">
        <v>47</v>
      </c>
      <c r="E202" s="6" t="s">
        <v>63</v>
      </c>
      <c r="F202" s="6">
        <v>0</v>
      </c>
      <c r="G202" s="7"/>
    </row>
    <row r="203" spans="1:7">
      <c r="A203" s="5" t="s">
        <v>94</v>
      </c>
      <c r="B203" s="3" t="s">
        <v>51</v>
      </c>
      <c r="C203" s="3" t="s">
        <v>46</v>
      </c>
      <c r="D203" s="3" t="s">
        <v>47</v>
      </c>
      <c r="E203" s="3" t="s">
        <v>65</v>
      </c>
      <c r="F203" s="6">
        <v>0</v>
      </c>
      <c r="G203" s="7"/>
    </row>
    <row r="204" spans="1:7">
      <c r="A204" s="5" t="s">
        <v>94</v>
      </c>
      <c r="B204" s="3" t="s">
        <v>51</v>
      </c>
      <c r="C204" s="3" t="s">
        <v>46</v>
      </c>
      <c r="D204" s="3" t="s">
        <v>47</v>
      </c>
      <c r="E204" s="6" t="s">
        <v>67</v>
      </c>
      <c r="F204" s="6">
        <v>0</v>
      </c>
      <c r="G204" s="7"/>
    </row>
    <row r="205" spans="1:7">
      <c r="A205" s="5" t="s">
        <v>89</v>
      </c>
      <c r="B205" s="3" t="s">
        <v>51</v>
      </c>
      <c r="C205" s="3" t="s">
        <v>46</v>
      </c>
      <c r="D205" s="3" t="s">
        <v>47</v>
      </c>
      <c r="E205" s="3" t="s">
        <v>48</v>
      </c>
      <c r="F205" s="6">
        <v>0.42441860465116277</v>
      </c>
      <c r="G205" s="7"/>
    </row>
    <row r="206" spans="1:7">
      <c r="A206" s="5" t="s">
        <v>89</v>
      </c>
      <c r="B206" s="3" t="s">
        <v>51</v>
      </c>
      <c r="C206" s="3" t="s">
        <v>46</v>
      </c>
      <c r="D206" s="3" t="s">
        <v>47</v>
      </c>
      <c r="E206" s="6" t="s">
        <v>54</v>
      </c>
      <c r="F206" s="6">
        <v>0</v>
      </c>
      <c r="G206" s="7"/>
    </row>
    <row r="207" spans="1:7">
      <c r="A207" s="5" t="s">
        <v>89</v>
      </c>
      <c r="B207" s="3" t="s">
        <v>51</v>
      </c>
      <c r="C207" s="3" t="s">
        <v>46</v>
      </c>
      <c r="D207" s="3" t="s">
        <v>47</v>
      </c>
      <c r="E207" s="6" t="s">
        <v>57</v>
      </c>
      <c r="F207" s="6">
        <v>0.28875968992248063</v>
      </c>
      <c r="G207" s="7"/>
    </row>
    <row r="208" spans="1:7">
      <c r="A208" s="5" t="s">
        <v>89</v>
      </c>
      <c r="B208" s="3" t="s">
        <v>51</v>
      </c>
      <c r="C208" s="3" t="s">
        <v>46</v>
      </c>
      <c r="D208" s="3" t="s">
        <v>47</v>
      </c>
      <c r="E208" s="6" t="s">
        <v>59</v>
      </c>
      <c r="F208" s="6">
        <v>1.3565891472868217E-2</v>
      </c>
      <c r="G208" s="7"/>
    </row>
    <row r="209" spans="1:7">
      <c r="A209" s="5" t="s">
        <v>89</v>
      </c>
      <c r="B209" s="3" t="s">
        <v>51</v>
      </c>
      <c r="C209" s="3" t="s">
        <v>46</v>
      </c>
      <c r="D209" s="3" t="s">
        <v>47</v>
      </c>
      <c r="E209" s="6" t="s">
        <v>61</v>
      </c>
      <c r="F209" s="6">
        <v>0.34108527131782945</v>
      </c>
      <c r="G209" s="7"/>
    </row>
    <row r="210" spans="1:7">
      <c r="A210" s="5" t="s">
        <v>89</v>
      </c>
      <c r="B210" s="3" t="s">
        <v>51</v>
      </c>
      <c r="C210" s="3" t="s">
        <v>46</v>
      </c>
      <c r="D210" s="3" t="s">
        <v>47</v>
      </c>
      <c r="E210" s="6" t="s">
        <v>63</v>
      </c>
      <c r="F210" s="6">
        <v>3.6821705426356592E-2</v>
      </c>
      <c r="G210" s="7"/>
    </row>
    <row r="211" spans="1:7">
      <c r="A211" s="5" t="s">
        <v>89</v>
      </c>
      <c r="B211" s="3" t="s">
        <v>51</v>
      </c>
      <c r="C211" s="3" t="s">
        <v>46</v>
      </c>
      <c r="D211" s="3" t="s">
        <v>47</v>
      </c>
      <c r="E211" s="3" t="s">
        <v>65</v>
      </c>
      <c r="F211" s="6">
        <v>0.23255813953488372</v>
      </c>
      <c r="G211" s="7"/>
    </row>
    <row r="212" spans="1:7">
      <c r="A212" s="5" t="s">
        <v>89</v>
      </c>
      <c r="B212" s="3" t="s">
        <v>51</v>
      </c>
      <c r="C212" s="3" t="s">
        <v>46</v>
      </c>
      <c r="D212" s="3" t="s">
        <v>47</v>
      </c>
      <c r="E212" s="6" t="s">
        <v>67</v>
      </c>
      <c r="F212" s="6">
        <v>9.3023255813953487E-2</v>
      </c>
      <c r="G212" s="7"/>
    </row>
    <row r="213" spans="1:7">
      <c r="A213" s="5" t="s">
        <v>90</v>
      </c>
      <c r="B213" s="3" t="s">
        <v>51</v>
      </c>
      <c r="C213" s="3" t="s">
        <v>46</v>
      </c>
      <c r="D213" s="3" t="s">
        <v>47</v>
      </c>
      <c r="E213" s="3" t="s">
        <v>48</v>
      </c>
      <c r="F213" s="6">
        <v>0.14147286821705427</v>
      </c>
      <c r="G213" s="7"/>
    </row>
    <row r="214" spans="1:7">
      <c r="A214" s="5" t="s">
        <v>90</v>
      </c>
      <c r="B214" s="3" t="s">
        <v>51</v>
      </c>
      <c r="C214" s="3" t="s">
        <v>46</v>
      </c>
      <c r="D214" s="3" t="s">
        <v>47</v>
      </c>
      <c r="E214" s="6" t="s">
        <v>54</v>
      </c>
      <c r="F214" s="6">
        <v>0</v>
      </c>
      <c r="G214" s="7"/>
    </row>
    <row r="215" spans="1:7">
      <c r="A215" s="5" t="s">
        <v>90</v>
      </c>
      <c r="B215" s="3" t="s">
        <v>51</v>
      </c>
      <c r="C215" s="3" t="s">
        <v>46</v>
      </c>
      <c r="D215" s="3" t="s">
        <v>47</v>
      </c>
      <c r="E215" s="6" t="s">
        <v>57</v>
      </c>
      <c r="F215" s="6">
        <v>0.11627906976744186</v>
      </c>
      <c r="G215" s="7"/>
    </row>
    <row r="216" spans="1:7">
      <c r="A216" s="5" t="s">
        <v>90</v>
      </c>
      <c r="B216" s="3" t="s">
        <v>51</v>
      </c>
      <c r="C216" s="3" t="s">
        <v>46</v>
      </c>
      <c r="D216" s="3" t="s">
        <v>47</v>
      </c>
      <c r="E216" s="6" t="s">
        <v>59</v>
      </c>
      <c r="F216" s="6">
        <v>7.7519379844961239E-3</v>
      </c>
      <c r="G216" s="7"/>
    </row>
    <row r="217" spans="1:7">
      <c r="A217" s="5" t="s">
        <v>90</v>
      </c>
      <c r="B217" s="3" t="s">
        <v>51</v>
      </c>
      <c r="C217" s="3" t="s">
        <v>46</v>
      </c>
      <c r="D217" s="3" t="s">
        <v>47</v>
      </c>
      <c r="E217" s="6" t="s">
        <v>61</v>
      </c>
      <c r="F217" s="6">
        <v>0.13372093023255813</v>
      </c>
      <c r="G217" s="7"/>
    </row>
    <row r="218" spans="1:7">
      <c r="A218" s="5" t="s">
        <v>90</v>
      </c>
      <c r="B218" s="3" t="s">
        <v>51</v>
      </c>
      <c r="C218" s="3" t="s">
        <v>46</v>
      </c>
      <c r="D218" s="3" t="s">
        <v>47</v>
      </c>
      <c r="E218" s="6" t="s">
        <v>63</v>
      </c>
      <c r="F218" s="6">
        <v>1.7441860465116279E-2</v>
      </c>
      <c r="G218" s="7"/>
    </row>
    <row r="219" spans="1:7">
      <c r="A219" s="5" t="s">
        <v>90</v>
      </c>
      <c r="B219" s="3" t="s">
        <v>51</v>
      </c>
      <c r="C219" s="3" t="s">
        <v>46</v>
      </c>
      <c r="D219" s="3" t="s">
        <v>47</v>
      </c>
      <c r="E219" s="3" t="s">
        <v>65</v>
      </c>
      <c r="F219" s="6">
        <v>0.12984496124031009</v>
      </c>
      <c r="G219" s="7"/>
    </row>
    <row r="220" spans="1:7">
      <c r="A220" s="5" t="s">
        <v>90</v>
      </c>
      <c r="B220" s="3" t="s">
        <v>51</v>
      </c>
      <c r="C220" s="3" t="s">
        <v>46</v>
      </c>
      <c r="D220" s="3" t="s">
        <v>47</v>
      </c>
      <c r="E220" s="6" t="s">
        <v>67</v>
      </c>
      <c r="F220" s="6">
        <v>4.4573643410852716E-2</v>
      </c>
      <c r="G220" s="7"/>
    </row>
    <row r="221" spans="1:7">
      <c r="A221" s="5" t="s">
        <v>91</v>
      </c>
      <c r="B221" s="3" t="s">
        <v>51</v>
      </c>
      <c r="C221" s="3" t="s">
        <v>46</v>
      </c>
      <c r="D221" s="3" t="s">
        <v>47</v>
      </c>
      <c r="E221" s="3" t="s">
        <v>48</v>
      </c>
      <c r="F221" s="6">
        <v>0.23837209302325582</v>
      </c>
      <c r="G221" s="7"/>
    </row>
    <row r="222" spans="1:7">
      <c r="A222" s="5" t="s">
        <v>91</v>
      </c>
      <c r="B222" s="3" t="s">
        <v>51</v>
      </c>
      <c r="C222" s="3" t="s">
        <v>46</v>
      </c>
      <c r="D222" s="3" t="s">
        <v>47</v>
      </c>
      <c r="E222" s="6" t="s">
        <v>54</v>
      </c>
      <c r="F222" s="6">
        <v>1.937984496124031E-3</v>
      </c>
      <c r="G222" s="7"/>
    </row>
    <row r="223" spans="1:7">
      <c r="A223" s="5" t="s">
        <v>91</v>
      </c>
      <c r="B223" s="3" t="s">
        <v>51</v>
      </c>
      <c r="C223" s="3" t="s">
        <v>46</v>
      </c>
      <c r="D223" s="3" t="s">
        <v>47</v>
      </c>
      <c r="E223" s="6" t="s">
        <v>57</v>
      </c>
      <c r="F223" s="6">
        <v>0.20348837209302326</v>
      </c>
      <c r="G223" s="7"/>
    </row>
    <row r="224" spans="1:7">
      <c r="A224" s="5" t="s">
        <v>91</v>
      </c>
      <c r="B224" s="3" t="s">
        <v>51</v>
      </c>
      <c r="C224" s="3" t="s">
        <v>46</v>
      </c>
      <c r="D224" s="3" t="s">
        <v>47</v>
      </c>
      <c r="E224" s="6" t="s">
        <v>59</v>
      </c>
      <c r="F224" s="6">
        <v>5.8139534883720929E-3</v>
      </c>
      <c r="G224" s="7"/>
    </row>
    <row r="225" spans="1:7">
      <c r="A225" s="5" t="s">
        <v>91</v>
      </c>
      <c r="B225" s="3" t="s">
        <v>51</v>
      </c>
      <c r="C225" s="3" t="s">
        <v>46</v>
      </c>
      <c r="D225" s="3" t="s">
        <v>47</v>
      </c>
      <c r="E225" s="6" t="s">
        <v>61</v>
      </c>
      <c r="F225" s="6">
        <v>0.22480620155038761</v>
      </c>
      <c r="G225" s="7"/>
    </row>
    <row r="226" spans="1:7">
      <c r="A226" s="5" t="s">
        <v>91</v>
      </c>
      <c r="B226" s="3" t="s">
        <v>51</v>
      </c>
      <c r="C226" s="3" t="s">
        <v>46</v>
      </c>
      <c r="D226" s="3" t="s">
        <v>47</v>
      </c>
      <c r="E226" s="6" t="s">
        <v>63</v>
      </c>
      <c r="F226" s="6">
        <v>1.3565891472868217E-2</v>
      </c>
      <c r="G226" s="7"/>
    </row>
    <row r="227" spans="1:7">
      <c r="A227" s="5" t="s">
        <v>91</v>
      </c>
      <c r="B227" s="3" t="s">
        <v>51</v>
      </c>
      <c r="C227" s="3" t="s">
        <v>46</v>
      </c>
      <c r="D227" s="3" t="s">
        <v>47</v>
      </c>
      <c r="E227" s="3" t="s">
        <v>65</v>
      </c>
      <c r="F227" s="6">
        <v>0.20155038759689922</v>
      </c>
      <c r="G227" s="7"/>
    </row>
    <row r="228" spans="1:7">
      <c r="A228" s="5" t="s">
        <v>91</v>
      </c>
      <c r="B228" s="3" t="s">
        <v>51</v>
      </c>
      <c r="C228" s="3" t="s">
        <v>46</v>
      </c>
      <c r="D228" s="3" t="s">
        <v>47</v>
      </c>
      <c r="E228" s="6" t="s">
        <v>67</v>
      </c>
      <c r="F228" s="6">
        <v>1.1627906976744186E-2</v>
      </c>
      <c r="G228" s="7"/>
    </row>
    <row r="229" spans="1:7">
      <c r="A229" s="5" t="s">
        <v>93</v>
      </c>
      <c r="B229" s="3" t="s">
        <v>51</v>
      </c>
      <c r="C229" s="3" t="s">
        <v>46</v>
      </c>
      <c r="D229" s="3" t="s">
        <v>47</v>
      </c>
      <c r="E229" s="3" t="s">
        <v>48</v>
      </c>
      <c r="F229" s="6">
        <v>8.5271317829457363E-2</v>
      </c>
      <c r="G229" s="7"/>
    </row>
    <row r="230" spans="1:7">
      <c r="A230" s="5" t="s">
        <v>93</v>
      </c>
      <c r="B230" s="3" t="s">
        <v>51</v>
      </c>
      <c r="C230" s="3" t="s">
        <v>46</v>
      </c>
      <c r="D230" s="3" t="s">
        <v>47</v>
      </c>
      <c r="E230" s="6" t="s">
        <v>54</v>
      </c>
      <c r="F230" s="6">
        <v>0</v>
      </c>
      <c r="G230" s="7"/>
    </row>
    <row r="231" spans="1:7">
      <c r="A231" s="5" t="s">
        <v>93</v>
      </c>
      <c r="B231" s="3" t="s">
        <v>51</v>
      </c>
      <c r="C231" s="3" t="s">
        <v>46</v>
      </c>
      <c r="D231" s="3" t="s">
        <v>47</v>
      </c>
      <c r="E231" s="6" t="s">
        <v>57</v>
      </c>
      <c r="F231" s="6">
        <v>6.9767441860465115E-2</v>
      </c>
      <c r="G231" s="7"/>
    </row>
    <row r="232" spans="1:7">
      <c r="A232" s="5" t="s">
        <v>93</v>
      </c>
      <c r="B232" s="3" t="s">
        <v>51</v>
      </c>
      <c r="C232" s="3" t="s">
        <v>46</v>
      </c>
      <c r="D232" s="3" t="s">
        <v>47</v>
      </c>
      <c r="E232" s="6" t="s">
        <v>59</v>
      </c>
      <c r="F232" s="6">
        <v>1.937984496124031E-3</v>
      </c>
      <c r="G232" s="7"/>
    </row>
    <row r="233" spans="1:7">
      <c r="A233" s="5" t="s">
        <v>93</v>
      </c>
      <c r="B233" s="3" t="s">
        <v>51</v>
      </c>
      <c r="C233" s="3" t="s">
        <v>46</v>
      </c>
      <c r="D233" s="3" t="s">
        <v>47</v>
      </c>
      <c r="E233" s="6" t="s">
        <v>61</v>
      </c>
      <c r="F233" s="6">
        <v>3.1007751937984496E-2</v>
      </c>
      <c r="G233" s="7"/>
    </row>
    <row r="234" spans="1:7">
      <c r="A234" s="5" t="s">
        <v>93</v>
      </c>
      <c r="B234" s="3" t="s">
        <v>51</v>
      </c>
      <c r="C234" s="3" t="s">
        <v>46</v>
      </c>
      <c r="D234" s="3" t="s">
        <v>47</v>
      </c>
      <c r="E234" s="6" t="s">
        <v>63</v>
      </c>
      <c r="F234" s="6">
        <v>7.7519379844961239E-3</v>
      </c>
      <c r="G234" s="7"/>
    </row>
    <row r="235" spans="1:7">
      <c r="A235" s="5" t="s">
        <v>93</v>
      </c>
      <c r="B235" s="3" t="s">
        <v>51</v>
      </c>
      <c r="C235" s="3" t="s">
        <v>46</v>
      </c>
      <c r="D235" s="3" t="s">
        <v>47</v>
      </c>
      <c r="E235" s="3" t="s">
        <v>65</v>
      </c>
      <c r="F235" s="6">
        <v>1.5503875968992248E-2</v>
      </c>
      <c r="G235" s="7"/>
    </row>
    <row r="236" spans="1:7">
      <c r="A236" s="5" t="s">
        <v>93</v>
      </c>
      <c r="B236" s="3" t="s">
        <v>51</v>
      </c>
      <c r="C236" s="3" t="s">
        <v>46</v>
      </c>
      <c r="D236" s="3" t="s">
        <v>47</v>
      </c>
      <c r="E236" s="6" t="s">
        <v>67</v>
      </c>
      <c r="F236" s="6">
        <v>7.7519379844961239E-3</v>
      </c>
      <c r="G236" s="7"/>
    </row>
    <row r="237" spans="1:7">
      <c r="A237" s="5" t="s">
        <v>92</v>
      </c>
      <c r="B237" s="3" t="s">
        <v>51</v>
      </c>
      <c r="C237" s="3" t="s">
        <v>46</v>
      </c>
      <c r="D237" s="3" t="s">
        <v>47</v>
      </c>
      <c r="E237" s="3" t="s">
        <v>48</v>
      </c>
      <c r="F237" s="6">
        <v>0.27325581395348836</v>
      </c>
      <c r="G237" s="7"/>
    </row>
    <row r="238" spans="1:7">
      <c r="A238" s="5" t="s">
        <v>92</v>
      </c>
      <c r="B238" s="3" t="s">
        <v>51</v>
      </c>
      <c r="C238" s="3" t="s">
        <v>46</v>
      </c>
      <c r="D238" s="3" t="s">
        <v>47</v>
      </c>
      <c r="E238" s="6" t="s">
        <v>54</v>
      </c>
      <c r="F238" s="6">
        <v>1.937984496124031E-3</v>
      </c>
      <c r="G238" s="7"/>
    </row>
    <row r="239" spans="1:7">
      <c r="A239" s="5" t="s">
        <v>92</v>
      </c>
      <c r="B239" s="3" t="s">
        <v>51</v>
      </c>
      <c r="C239" s="3" t="s">
        <v>46</v>
      </c>
      <c r="D239" s="3" t="s">
        <v>47</v>
      </c>
      <c r="E239" s="6" t="s">
        <v>57</v>
      </c>
      <c r="F239" s="6">
        <v>0.22868217054263565</v>
      </c>
      <c r="G239" s="7"/>
    </row>
    <row r="240" spans="1:7">
      <c r="A240" s="5" t="s">
        <v>92</v>
      </c>
      <c r="B240" s="3" t="s">
        <v>51</v>
      </c>
      <c r="C240" s="3" t="s">
        <v>46</v>
      </c>
      <c r="D240" s="3" t="s">
        <v>47</v>
      </c>
      <c r="E240" s="6" t="s">
        <v>59</v>
      </c>
      <c r="F240" s="6">
        <v>0</v>
      </c>
      <c r="G240" s="7"/>
    </row>
    <row r="241" spans="1:7">
      <c r="A241" s="5" t="s">
        <v>92</v>
      </c>
      <c r="B241" s="3" t="s">
        <v>51</v>
      </c>
      <c r="C241" s="3" t="s">
        <v>46</v>
      </c>
      <c r="D241" s="3" t="s">
        <v>47</v>
      </c>
      <c r="E241" s="6" t="s">
        <v>61</v>
      </c>
      <c r="F241" s="6">
        <v>0.24612403100775193</v>
      </c>
      <c r="G241" s="7"/>
    </row>
    <row r="242" spans="1:7">
      <c r="A242" s="5" t="s">
        <v>92</v>
      </c>
      <c r="B242" s="3" t="s">
        <v>51</v>
      </c>
      <c r="C242" s="3" t="s">
        <v>46</v>
      </c>
      <c r="D242" s="3" t="s">
        <v>47</v>
      </c>
      <c r="E242" s="6" t="s">
        <v>63</v>
      </c>
      <c r="F242" s="6">
        <v>4.2635658914728682E-2</v>
      </c>
      <c r="G242" s="7"/>
    </row>
    <row r="243" spans="1:7">
      <c r="A243" s="5" t="s">
        <v>92</v>
      </c>
      <c r="B243" s="3" t="s">
        <v>51</v>
      </c>
      <c r="C243" s="3" t="s">
        <v>46</v>
      </c>
      <c r="D243" s="3" t="s">
        <v>47</v>
      </c>
      <c r="E243" s="3" t="s">
        <v>65</v>
      </c>
      <c r="F243" s="6">
        <v>0.16860465116279069</v>
      </c>
      <c r="G243" s="7"/>
    </row>
    <row r="244" spans="1:7">
      <c r="A244" s="5" t="s">
        <v>92</v>
      </c>
      <c r="B244" s="3" t="s">
        <v>51</v>
      </c>
      <c r="C244" s="3" t="s">
        <v>46</v>
      </c>
      <c r="D244" s="3" t="s">
        <v>47</v>
      </c>
      <c r="E244" s="6" t="s">
        <v>67</v>
      </c>
      <c r="F244" s="6">
        <v>4.6511627906976744E-2</v>
      </c>
      <c r="G244" s="7"/>
    </row>
    <row r="245" spans="1:7">
      <c r="A245" s="5"/>
      <c r="B245" s="6"/>
      <c r="C245" s="6"/>
      <c r="D245" s="6"/>
      <c r="E245" s="6"/>
      <c r="F245" s="6"/>
      <c r="G245" s="7"/>
    </row>
    <row r="246" spans="1:7">
      <c r="A246" s="5"/>
      <c r="B246" s="6"/>
      <c r="C246" s="6"/>
      <c r="D246" s="6"/>
      <c r="E246" s="6"/>
      <c r="F246" s="6"/>
      <c r="G246" s="7"/>
    </row>
    <row r="247" spans="1:7">
      <c r="A247" s="5"/>
      <c r="B247" s="6"/>
      <c r="C247" s="6"/>
      <c r="D247" s="6"/>
      <c r="E247" s="6"/>
      <c r="F247" s="6"/>
      <c r="G247" s="7"/>
    </row>
    <row r="248" spans="1:7">
      <c r="A248" s="5"/>
      <c r="B248" s="6"/>
      <c r="C248" s="6"/>
      <c r="D248" s="6"/>
      <c r="E248" s="6"/>
      <c r="F248" s="6"/>
      <c r="G248" s="7"/>
    </row>
    <row r="249" spans="1:7">
      <c r="A249" s="5"/>
      <c r="B249" s="6"/>
      <c r="C249" s="6"/>
      <c r="D249" s="6"/>
      <c r="E249" s="6"/>
      <c r="F249" s="6"/>
      <c r="G249" s="7"/>
    </row>
    <row r="250" spans="1:7">
      <c r="A250" s="5"/>
      <c r="B250" s="6"/>
      <c r="C250" s="6"/>
      <c r="D250" s="6"/>
      <c r="E250" s="6"/>
      <c r="F250" s="6"/>
      <c r="G250" s="7"/>
    </row>
    <row r="251" spans="1:7">
      <c r="A251" s="5"/>
      <c r="B251" s="6"/>
      <c r="C251" s="6"/>
      <c r="D251" s="6"/>
      <c r="E251" s="6"/>
      <c r="F251" s="6"/>
      <c r="G251" s="7"/>
    </row>
    <row r="252" spans="1:7">
      <c r="A252" s="5"/>
      <c r="B252" s="6"/>
      <c r="C252" s="6"/>
      <c r="D252" s="6"/>
      <c r="E252" s="6"/>
      <c r="F252" s="6"/>
      <c r="G252" s="7"/>
    </row>
    <row r="253" spans="1:7">
      <c r="A253" s="5"/>
      <c r="B253" s="6"/>
      <c r="C253" s="6"/>
      <c r="D253" s="6"/>
      <c r="E253" s="6"/>
      <c r="F253" s="6"/>
      <c r="G253" s="7"/>
    </row>
    <row r="254" spans="1:7">
      <c r="A254" s="5"/>
      <c r="B254" s="6"/>
      <c r="C254" s="6"/>
      <c r="D254" s="6"/>
      <c r="E254" s="6"/>
      <c r="F254" s="6"/>
      <c r="G254" s="7"/>
    </row>
    <row r="255" spans="1:7">
      <c r="A255" s="5"/>
      <c r="B255" s="6"/>
      <c r="C255" s="6"/>
      <c r="D255" s="6"/>
      <c r="E255" s="6"/>
      <c r="F255" s="6"/>
      <c r="G255" s="7"/>
    </row>
    <row r="256" spans="1:7">
      <c r="A256" s="5"/>
      <c r="B256" s="6"/>
      <c r="C256" s="6"/>
      <c r="D256" s="6"/>
      <c r="E256" s="6"/>
      <c r="F256" s="6"/>
      <c r="G256" s="7"/>
    </row>
    <row r="257" spans="1:7">
      <c r="A257" s="5"/>
      <c r="B257" s="6"/>
      <c r="C257" s="6"/>
      <c r="D257" s="6"/>
      <c r="E257" s="6"/>
      <c r="F257" s="6"/>
      <c r="G257" s="7"/>
    </row>
    <row r="258" spans="1:7">
      <c r="A258" s="5"/>
      <c r="B258" s="6"/>
      <c r="C258" s="6"/>
      <c r="D258" s="6"/>
      <c r="E258" s="6"/>
      <c r="F258" s="6"/>
      <c r="G258" s="7"/>
    </row>
    <row r="259" spans="1:7">
      <c r="A259" s="5"/>
      <c r="B259" s="6"/>
      <c r="C259" s="6"/>
      <c r="D259" s="6"/>
      <c r="E259" s="6"/>
      <c r="F259" s="6"/>
      <c r="G259" s="7"/>
    </row>
    <row r="260" spans="1:7">
      <c r="A260" s="5"/>
      <c r="B260" s="6"/>
      <c r="C260" s="6"/>
      <c r="D260" s="6"/>
      <c r="E260" s="6"/>
      <c r="F260" s="6"/>
      <c r="G260" s="7"/>
    </row>
    <row r="261" spans="1:7">
      <c r="A261" s="5"/>
      <c r="B261" s="6"/>
      <c r="C261" s="6"/>
      <c r="D261" s="6"/>
      <c r="E261" s="6"/>
      <c r="F261" s="6"/>
      <c r="G261" s="7"/>
    </row>
    <row r="262" spans="1:7">
      <c r="A262" s="5"/>
      <c r="B262" s="6"/>
      <c r="C262" s="6"/>
      <c r="D262" s="6"/>
      <c r="E262" s="6"/>
      <c r="F262" s="6"/>
      <c r="G262" s="7"/>
    </row>
    <row r="263" spans="1:7">
      <c r="A263" s="5"/>
      <c r="B263" s="6"/>
      <c r="C263" s="6"/>
      <c r="D263" s="6"/>
      <c r="E263" s="6"/>
      <c r="F263" s="6"/>
      <c r="G263" s="7"/>
    </row>
    <row r="264" spans="1:7">
      <c r="A264" s="5"/>
      <c r="B264" s="6"/>
      <c r="C264" s="6"/>
      <c r="D264" s="6"/>
      <c r="E264" s="6"/>
      <c r="F264" s="6"/>
      <c r="G264" s="7"/>
    </row>
    <row r="265" spans="1:7">
      <c r="A265" s="5"/>
      <c r="B265" s="6"/>
      <c r="C265" s="6"/>
      <c r="D265" s="6"/>
      <c r="E265" s="6"/>
      <c r="F265" s="6"/>
      <c r="G265" s="7"/>
    </row>
    <row r="266" spans="1:7">
      <c r="A266" s="5"/>
      <c r="B266" s="6"/>
      <c r="C266" s="6"/>
      <c r="D266" s="6"/>
      <c r="E266" s="6"/>
      <c r="F266" s="6"/>
      <c r="G266" s="7"/>
    </row>
    <row r="267" spans="1:7">
      <c r="A267" s="5"/>
      <c r="B267" s="6"/>
      <c r="C267" s="6"/>
      <c r="D267" s="6"/>
      <c r="E267" s="6"/>
      <c r="F267" s="6"/>
      <c r="G267" s="7"/>
    </row>
    <row r="268" spans="1:7">
      <c r="A268" s="5"/>
      <c r="B268" s="6"/>
      <c r="C268" s="6"/>
      <c r="D268" s="6"/>
      <c r="E268" s="6"/>
      <c r="F268" s="6"/>
      <c r="G268" s="7"/>
    </row>
    <row r="269" spans="1:7">
      <c r="A269" s="5"/>
      <c r="B269" s="6"/>
      <c r="C269" s="6"/>
      <c r="D269" s="6"/>
      <c r="E269" s="6"/>
      <c r="F269" s="6"/>
      <c r="G269" s="7"/>
    </row>
    <row r="270" spans="1:7">
      <c r="A270" s="5"/>
      <c r="B270" s="6"/>
      <c r="C270" s="6"/>
      <c r="D270" s="6"/>
      <c r="E270" s="6"/>
      <c r="F270" s="6"/>
      <c r="G270" s="7"/>
    </row>
    <row r="271" spans="1:7">
      <c r="A271" s="5"/>
      <c r="B271" s="6"/>
      <c r="C271" s="6"/>
      <c r="D271" s="6"/>
      <c r="E271" s="6"/>
      <c r="F271" s="6"/>
      <c r="G271" s="7"/>
    </row>
    <row r="272" spans="1:7">
      <c r="A272" s="5"/>
      <c r="B272" s="6"/>
      <c r="C272" s="6"/>
      <c r="D272" s="6"/>
      <c r="E272" s="6"/>
      <c r="F272" s="6"/>
      <c r="G272" s="7"/>
    </row>
    <row r="273" spans="1:7">
      <c r="A273" s="5"/>
      <c r="B273" s="6"/>
      <c r="C273" s="6"/>
      <c r="D273" s="6"/>
      <c r="E273" s="6"/>
      <c r="F273" s="6"/>
      <c r="G273" s="7"/>
    </row>
    <row r="274" spans="1:7">
      <c r="A274" s="5"/>
      <c r="B274" s="6"/>
      <c r="C274" s="6"/>
      <c r="D274" s="6"/>
      <c r="E274" s="6"/>
      <c r="F274" s="6"/>
      <c r="G274" s="7"/>
    </row>
    <row r="275" spans="1:7">
      <c r="A275" s="5"/>
      <c r="B275" s="6"/>
      <c r="C275" s="6"/>
      <c r="D275" s="6"/>
      <c r="E275" s="6"/>
      <c r="F275" s="6"/>
      <c r="G275" s="7"/>
    </row>
    <row r="276" spans="1:7">
      <c r="A276" s="5"/>
      <c r="B276" s="6"/>
      <c r="C276" s="6"/>
      <c r="D276" s="6"/>
      <c r="E276" s="6"/>
      <c r="F276" s="6"/>
      <c r="G276" s="7"/>
    </row>
    <row r="277" spans="1:7">
      <c r="A277" s="5"/>
      <c r="B277" s="6"/>
      <c r="C277" s="6"/>
      <c r="D277" s="6"/>
      <c r="E277" s="6"/>
      <c r="F277" s="6"/>
      <c r="G277" s="7"/>
    </row>
    <row r="278" spans="1:7">
      <c r="A278" s="5"/>
      <c r="B278" s="6"/>
      <c r="C278" s="6"/>
      <c r="D278" s="6"/>
      <c r="E278" s="6"/>
      <c r="F278" s="6"/>
      <c r="G278" s="7"/>
    </row>
    <row r="279" spans="1:7">
      <c r="A279" s="5"/>
      <c r="B279" s="6"/>
      <c r="C279" s="6"/>
      <c r="D279" s="6"/>
      <c r="E279" s="6"/>
      <c r="F279" s="6"/>
      <c r="G279" s="7"/>
    </row>
    <row r="280" spans="1:7">
      <c r="A280" s="5"/>
      <c r="B280" s="6"/>
      <c r="C280" s="6"/>
      <c r="D280" s="6"/>
      <c r="E280" s="6"/>
      <c r="F280" s="6"/>
      <c r="G280" s="7"/>
    </row>
    <row r="281" spans="1:7">
      <c r="A281" s="5"/>
      <c r="B281" s="6"/>
      <c r="C281" s="6"/>
      <c r="D281" s="6"/>
      <c r="E281" s="6"/>
      <c r="F281" s="6"/>
      <c r="G281" s="7"/>
    </row>
    <row r="282" spans="1:7">
      <c r="A282" s="5"/>
      <c r="B282" s="6"/>
      <c r="C282" s="6"/>
      <c r="D282" s="6"/>
      <c r="E282" s="6"/>
      <c r="F282" s="6"/>
      <c r="G282" s="7"/>
    </row>
    <row r="283" spans="1:7">
      <c r="A283" s="5"/>
      <c r="B283" s="6"/>
      <c r="C283" s="6"/>
      <c r="D283" s="6"/>
      <c r="E283" s="6"/>
      <c r="F283" s="6"/>
      <c r="G283" s="7"/>
    </row>
    <row r="284" spans="1:7">
      <c r="A284" s="5"/>
      <c r="B284" s="6"/>
      <c r="C284" s="6"/>
      <c r="D284" s="6"/>
      <c r="E284" s="6"/>
      <c r="F284" s="6"/>
      <c r="G284" s="7"/>
    </row>
    <row r="285" spans="1:7">
      <c r="A285" s="5"/>
      <c r="B285" s="6"/>
      <c r="C285" s="6"/>
      <c r="D285" s="6"/>
      <c r="E285" s="6"/>
      <c r="F285" s="6"/>
      <c r="G285" s="7"/>
    </row>
    <row r="286" spans="1:7">
      <c r="A286" s="5"/>
      <c r="B286" s="6"/>
      <c r="C286" s="6"/>
      <c r="D286" s="6"/>
      <c r="E286" s="6"/>
      <c r="F286" s="6"/>
      <c r="G286" s="7"/>
    </row>
    <row r="287" spans="1:7">
      <c r="A287" s="5"/>
      <c r="B287" s="6"/>
      <c r="C287" s="6"/>
      <c r="D287" s="6"/>
      <c r="E287" s="6"/>
      <c r="F287" s="6"/>
      <c r="G287" s="7"/>
    </row>
    <row r="288" spans="1:7">
      <c r="A288" s="5"/>
      <c r="B288" s="6"/>
      <c r="C288" s="6"/>
      <c r="D288" s="6"/>
      <c r="E288" s="6"/>
      <c r="F288" s="6"/>
      <c r="G288" s="7"/>
    </row>
    <row r="289" spans="1:7">
      <c r="A289" s="5"/>
      <c r="B289" s="6"/>
      <c r="C289" s="6"/>
      <c r="D289" s="6"/>
      <c r="E289" s="6"/>
      <c r="F289" s="6"/>
      <c r="G289" s="7"/>
    </row>
    <row r="290" spans="1:7">
      <c r="A290" s="5"/>
      <c r="B290" s="6"/>
      <c r="C290" s="6"/>
      <c r="D290" s="6"/>
      <c r="E290" s="6"/>
      <c r="F290" s="6"/>
      <c r="G290" s="7"/>
    </row>
    <row r="291" spans="1:7">
      <c r="A291" s="5"/>
      <c r="B291" s="6"/>
      <c r="C291" s="6"/>
      <c r="D291" s="6"/>
      <c r="E291" s="6"/>
      <c r="F291" s="6"/>
      <c r="G291" s="7"/>
    </row>
    <row r="292" spans="1:7">
      <c r="A292" s="5"/>
      <c r="B292" s="6"/>
      <c r="C292" s="6"/>
      <c r="D292" s="6"/>
      <c r="E292" s="6"/>
      <c r="F292" s="6"/>
      <c r="G292" s="7"/>
    </row>
    <row r="293" spans="1:7">
      <c r="A293" s="5"/>
      <c r="B293" s="6"/>
      <c r="C293" s="6"/>
      <c r="D293" s="6"/>
      <c r="E293" s="6"/>
      <c r="F293" s="6"/>
      <c r="G293" s="7"/>
    </row>
    <row r="294" spans="1:7">
      <c r="A294" s="5"/>
      <c r="B294" s="6"/>
      <c r="C294" s="6"/>
      <c r="D294" s="6"/>
      <c r="E294" s="6"/>
      <c r="F294" s="6"/>
      <c r="G294" s="7"/>
    </row>
    <row r="295" spans="1:7">
      <c r="A295" s="5"/>
      <c r="B295" s="6"/>
      <c r="C295" s="6"/>
      <c r="D295" s="6"/>
      <c r="E295" s="6"/>
      <c r="F295" s="6"/>
      <c r="G295" s="7"/>
    </row>
    <row r="296" spans="1:7">
      <c r="A296" s="5"/>
      <c r="B296" s="6"/>
      <c r="C296" s="6"/>
      <c r="D296" s="6"/>
      <c r="E296" s="6"/>
      <c r="F296" s="6"/>
      <c r="G296" s="7"/>
    </row>
    <row r="297" spans="1:7">
      <c r="A297" s="5"/>
      <c r="B297" s="6"/>
      <c r="C297" s="6"/>
      <c r="D297" s="6"/>
      <c r="E297" s="6"/>
      <c r="F297" s="6"/>
      <c r="G297" s="7"/>
    </row>
    <row r="298" spans="1:7">
      <c r="A298" s="5"/>
      <c r="B298" s="6"/>
      <c r="C298" s="6"/>
      <c r="D298" s="6"/>
      <c r="E298" s="6"/>
      <c r="F298" s="6"/>
      <c r="G298" s="7"/>
    </row>
    <row r="299" spans="1:7">
      <c r="A299" s="5"/>
      <c r="B299" s="6"/>
      <c r="C299" s="6"/>
      <c r="D299" s="6"/>
      <c r="E299" s="6"/>
      <c r="F299" s="6"/>
      <c r="G299" s="7"/>
    </row>
    <row r="300" spans="1:7">
      <c r="A300" s="5"/>
      <c r="B300" s="6"/>
      <c r="C300" s="6"/>
      <c r="D300" s="6"/>
      <c r="E300" s="6"/>
      <c r="F300" s="6"/>
      <c r="G300" s="7"/>
    </row>
    <row r="301" spans="1:7">
      <c r="A301" s="5"/>
      <c r="B301" s="6"/>
      <c r="C301" s="6"/>
      <c r="D301" s="6"/>
      <c r="E301" s="6"/>
      <c r="F301" s="6"/>
      <c r="G301" s="7"/>
    </row>
    <row r="302" spans="1:7">
      <c r="A302" s="5"/>
      <c r="B302" s="6"/>
      <c r="C302" s="6"/>
      <c r="D302" s="6"/>
      <c r="E302" s="6"/>
      <c r="F302" s="6"/>
      <c r="G302" s="7"/>
    </row>
    <row r="303" spans="1:7">
      <c r="A303" s="5"/>
      <c r="B303" s="6"/>
      <c r="C303" s="6"/>
      <c r="D303" s="6"/>
      <c r="E303" s="6"/>
      <c r="F303" s="6"/>
      <c r="G303" s="7"/>
    </row>
    <row r="304" spans="1:7">
      <c r="A304" s="5"/>
      <c r="B304" s="6"/>
      <c r="C304" s="6"/>
      <c r="D304" s="6"/>
      <c r="E304" s="6"/>
      <c r="F304" s="6"/>
      <c r="G304" s="7"/>
    </row>
    <row r="305" spans="1:7">
      <c r="A305" s="5"/>
      <c r="B305" s="6"/>
      <c r="C305" s="6"/>
      <c r="D305" s="6"/>
      <c r="E305" s="6"/>
      <c r="F305" s="6"/>
      <c r="G305" s="7"/>
    </row>
    <row r="306" spans="1:7">
      <c r="A306" s="5"/>
      <c r="B306" s="6"/>
      <c r="C306" s="6"/>
      <c r="D306" s="6"/>
      <c r="E306" s="6"/>
      <c r="F306" s="6"/>
      <c r="G306" s="7"/>
    </row>
    <row r="307" spans="1:7">
      <c r="A307" s="5"/>
      <c r="B307" s="6"/>
      <c r="C307" s="6"/>
      <c r="D307" s="6"/>
      <c r="E307" s="6"/>
      <c r="F307" s="6"/>
      <c r="G307" s="7"/>
    </row>
    <row r="308" spans="1:7">
      <c r="A308" s="5"/>
      <c r="B308" s="6"/>
      <c r="C308" s="6"/>
      <c r="D308" s="6"/>
      <c r="E308" s="6"/>
      <c r="F308" s="6"/>
      <c r="G308" s="7"/>
    </row>
    <row r="309" spans="1:7">
      <c r="A309" s="5"/>
      <c r="B309" s="6"/>
      <c r="C309" s="6"/>
      <c r="D309" s="6"/>
      <c r="E309" s="6"/>
      <c r="F309" s="6"/>
      <c r="G309" s="7"/>
    </row>
    <row r="310" spans="1:7">
      <c r="A310" s="5"/>
      <c r="B310" s="6"/>
      <c r="C310" s="6"/>
      <c r="D310" s="6"/>
      <c r="E310" s="6"/>
      <c r="F310" s="6"/>
      <c r="G310" s="7"/>
    </row>
    <row r="311" spans="1:7">
      <c r="A311" s="5"/>
      <c r="B311" s="6"/>
      <c r="C311" s="6"/>
      <c r="D311" s="6"/>
      <c r="E311" s="6"/>
      <c r="F311" s="6"/>
      <c r="G311" s="7"/>
    </row>
    <row r="312" spans="1:7">
      <c r="A312" s="5"/>
      <c r="B312" s="6"/>
      <c r="C312" s="6"/>
      <c r="D312" s="6"/>
      <c r="E312" s="6"/>
      <c r="F312" s="6"/>
      <c r="G312" s="7"/>
    </row>
    <row r="313" spans="1:7">
      <c r="A313" s="5"/>
      <c r="B313" s="6"/>
      <c r="C313" s="6"/>
      <c r="D313" s="6"/>
      <c r="E313" s="6"/>
      <c r="F313" s="6"/>
      <c r="G313" s="7"/>
    </row>
    <row r="314" spans="1:7">
      <c r="A314" s="5"/>
      <c r="B314" s="6"/>
      <c r="C314" s="6"/>
      <c r="D314" s="6"/>
      <c r="E314" s="6"/>
      <c r="F314" s="6"/>
      <c r="G314" s="7"/>
    </row>
    <row r="315" spans="1:7">
      <c r="A315" s="5"/>
      <c r="B315" s="6"/>
      <c r="C315" s="6"/>
      <c r="D315" s="6"/>
      <c r="E315" s="6"/>
      <c r="F315" s="6"/>
      <c r="G315" s="7"/>
    </row>
    <row r="316" spans="1:7">
      <c r="A316" s="5"/>
      <c r="B316" s="6"/>
      <c r="C316" s="6"/>
      <c r="D316" s="6"/>
      <c r="E316" s="6"/>
      <c r="F316" s="6"/>
      <c r="G316" s="7"/>
    </row>
    <row r="317" spans="1:7">
      <c r="A317" s="5"/>
      <c r="B317" s="6"/>
      <c r="C317" s="6"/>
      <c r="D317" s="6"/>
      <c r="E317" s="6"/>
      <c r="F317" s="6"/>
      <c r="G317" s="7"/>
    </row>
    <row r="318" spans="1:7">
      <c r="A318" s="5"/>
      <c r="B318" s="6"/>
      <c r="C318" s="6"/>
      <c r="D318" s="6"/>
      <c r="E318" s="6"/>
      <c r="F318" s="6"/>
      <c r="G318" s="7"/>
    </row>
    <row r="319" spans="1:7">
      <c r="A319" s="5"/>
      <c r="B319" s="6"/>
      <c r="C319" s="6"/>
      <c r="D319" s="6"/>
      <c r="E319" s="6"/>
      <c r="F319" s="6"/>
      <c r="G319" s="7"/>
    </row>
    <row r="320" spans="1:7">
      <c r="A320" s="5"/>
      <c r="B320" s="6"/>
      <c r="C320" s="6"/>
      <c r="D320" s="6"/>
      <c r="E320" s="6"/>
      <c r="F320" s="6"/>
      <c r="G320" s="7"/>
    </row>
    <row r="321" spans="1:7">
      <c r="A321" s="5"/>
      <c r="B321" s="6"/>
      <c r="C321" s="6"/>
      <c r="D321" s="6"/>
      <c r="E321" s="6"/>
      <c r="F321" s="6"/>
      <c r="G321" s="7"/>
    </row>
    <row r="322" spans="1:7">
      <c r="A322" s="5"/>
      <c r="B322" s="6"/>
      <c r="C322" s="6"/>
      <c r="D322" s="6"/>
      <c r="E322" s="6"/>
      <c r="F322" s="6"/>
      <c r="G322" s="7"/>
    </row>
    <row r="323" spans="1:7">
      <c r="A323" s="5"/>
      <c r="B323" s="6"/>
      <c r="C323" s="6"/>
      <c r="D323" s="6"/>
      <c r="E323" s="6"/>
      <c r="F323" s="6"/>
      <c r="G323" s="7"/>
    </row>
    <row r="324" spans="1:7">
      <c r="A324" s="5"/>
      <c r="B324" s="6"/>
      <c r="C324" s="6"/>
      <c r="D324" s="6"/>
      <c r="E324" s="6"/>
      <c r="F324" s="6"/>
      <c r="G324" s="7"/>
    </row>
    <row r="325" spans="1:7">
      <c r="A325" s="5"/>
      <c r="B325" s="6"/>
      <c r="C325" s="6"/>
      <c r="D325" s="6"/>
      <c r="E325" s="6"/>
      <c r="F325" s="6"/>
      <c r="G325" s="7"/>
    </row>
    <row r="326" spans="1:7">
      <c r="A326" s="5"/>
      <c r="B326" s="6"/>
      <c r="C326" s="6"/>
      <c r="D326" s="6"/>
      <c r="E326" s="6"/>
      <c r="F326" s="6"/>
      <c r="G326" s="7"/>
    </row>
    <row r="327" spans="1:7">
      <c r="A327" s="5"/>
      <c r="B327" s="6"/>
      <c r="C327" s="6"/>
      <c r="D327" s="6"/>
      <c r="E327" s="6"/>
      <c r="F327" s="6"/>
      <c r="G327" s="7"/>
    </row>
    <row r="328" spans="1:7">
      <c r="A328" s="5"/>
      <c r="B328" s="6"/>
      <c r="C328" s="6"/>
      <c r="D328" s="6"/>
      <c r="E328" s="6"/>
      <c r="F328" s="6"/>
      <c r="G328" s="7"/>
    </row>
    <row r="329" spans="1:7">
      <c r="A329" s="5"/>
      <c r="B329" s="6"/>
      <c r="C329" s="6"/>
      <c r="D329" s="6"/>
      <c r="E329" s="6"/>
      <c r="F329" s="6"/>
      <c r="G329" s="7"/>
    </row>
    <row r="330" spans="1:7">
      <c r="A330" s="5"/>
      <c r="B330" s="6"/>
      <c r="C330" s="6"/>
      <c r="D330" s="6"/>
      <c r="E330" s="6"/>
      <c r="F330" s="6"/>
      <c r="G330" s="7"/>
    </row>
    <row r="331" spans="1:7">
      <c r="A331" s="5"/>
      <c r="B331" s="6"/>
      <c r="C331" s="6"/>
      <c r="D331" s="6"/>
      <c r="E331" s="6"/>
      <c r="F331" s="6"/>
      <c r="G331" s="7"/>
    </row>
    <row r="332" spans="1:7">
      <c r="A332" s="5"/>
      <c r="B332" s="6"/>
      <c r="C332" s="6"/>
      <c r="D332" s="6"/>
      <c r="E332" s="6"/>
      <c r="F332" s="6"/>
      <c r="G332" s="7"/>
    </row>
    <row r="333" spans="1:7">
      <c r="A333" s="5"/>
      <c r="B333" s="6"/>
      <c r="C333" s="6"/>
      <c r="D333" s="6"/>
      <c r="E333" s="6"/>
      <c r="F333" s="6"/>
      <c r="G333" s="7"/>
    </row>
    <row r="334" spans="1:7">
      <c r="A334" s="5"/>
      <c r="B334" s="6"/>
      <c r="C334" s="6"/>
      <c r="D334" s="6"/>
      <c r="E334" s="6"/>
      <c r="F334" s="6"/>
      <c r="G334" s="7"/>
    </row>
    <row r="335" spans="1:7">
      <c r="A335" s="5"/>
      <c r="B335" s="6"/>
      <c r="C335" s="6"/>
      <c r="D335" s="6"/>
      <c r="E335" s="6"/>
      <c r="F335" s="6"/>
      <c r="G335" s="7"/>
    </row>
    <row r="336" spans="1:7">
      <c r="A336" s="5"/>
      <c r="B336" s="6"/>
      <c r="C336" s="6"/>
      <c r="D336" s="6"/>
      <c r="E336" s="6"/>
      <c r="F336" s="6"/>
      <c r="G336" s="7"/>
    </row>
    <row r="337" spans="1:7">
      <c r="A337" s="5"/>
      <c r="B337" s="6"/>
      <c r="C337" s="6"/>
      <c r="D337" s="6"/>
      <c r="E337" s="6"/>
      <c r="F337" s="6"/>
      <c r="G337" s="7"/>
    </row>
    <row r="338" spans="1:7">
      <c r="A338" s="5"/>
      <c r="B338" s="6"/>
      <c r="C338" s="6"/>
      <c r="D338" s="6"/>
      <c r="E338" s="6"/>
      <c r="F338" s="6"/>
      <c r="G338" s="7"/>
    </row>
    <row r="339" spans="1:7">
      <c r="A339" s="5"/>
      <c r="B339" s="6"/>
      <c r="C339" s="6"/>
      <c r="D339" s="6"/>
      <c r="E339" s="6"/>
      <c r="F339" s="6"/>
      <c r="G339" s="7"/>
    </row>
    <row r="340" spans="1:7">
      <c r="A340" s="5"/>
      <c r="B340" s="6"/>
      <c r="C340" s="6"/>
      <c r="D340" s="6"/>
      <c r="E340" s="6"/>
      <c r="F340" s="6"/>
      <c r="G340" s="7"/>
    </row>
    <row r="341" spans="1:7">
      <c r="A341" s="5"/>
      <c r="B341" s="6"/>
      <c r="C341" s="6"/>
      <c r="D341" s="6"/>
      <c r="E341" s="6"/>
      <c r="F341" s="6"/>
      <c r="G341" s="7"/>
    </row>
    <row r="342" spans="1:7">
      <c r="A342" s="5"/>
      <c r="B342" s="6"/>
      <c r="C342" s="6"/>
      <c r="D342" s="6"/>
      <c r="E342" s="6"/>
      <c r="F342" s="6"/>
      <c r="G342" s="7"/>
    </row>
    <row r="343" spans="1:7">
      <c r="A343" s="5"/>
      <c r="B343" s="6"/>
      <c r="C343" s="6"/>
      <c r="D343" s="6"/>
      <c r="E343" s="6"/>
      <c r="F343" s="6"/>
      <c r="G343" s="7"/>
    </row>
    <row r="344" spans="1:7">
      <c r="A344" s="5"/>
      <c r="B344" s="6"/>
      <c r="C344" s="6"/>
      <c r="D344" s="6"/>
      <c r="E344" s="6"/>
      <c r="F344" s="6"/>
      <c r="G344" s="7"/>
    </row>
    <row r="345" spans="1:7">
      <c r="A345" s="5"/>
      <c r="B345" s="6"/>
      <c r="C345" s="6"/>
      <c r="D345" s="6"/>
      <c r="E345" s="6"/>
      <c r="F345" s="6"/>
      <c r="G345" s="7"/>
    </row>
    <row r="346" spans="1:7">
      <c r="A346" s="5"/>
      <c r="B346" s="6"/>
      <c r="C346" s="6"/>
      <c r="D346" s="6"/>
      <c r="E346" s="6"/>
      <c r="F346" s="6"/>
      <c r="G346" s="7"/>
    </row>
    <row r="347" spans="1:7">
      <c r="A347" s="5"/>
      <c r="B347" s="6"/>
      <c r="C347" s="6"/>
      <c r="D347" s="6"/>
      <c r="E347" s="6"/>
      <c r="F347" s="6"/>
      <c r="G347" s="7"/>
    </row>
    <row r="348" spans="1:7">
      <c r="A348" s="5"/>
      <c r="B348" s="6"/>
      <c r="C348" s="6"/>
      <c r="D348" s="6"/>
      <c r="E348" s="6"/>
      <c r="F348" s="6"/>
      <c r="G348" s="7"/>
    </row>
    <row r="349" spans="1:7">
      <c r="A349" s="5"/>
      <c r="B349" s="6"/>
      <c r="C349" s="6"/>
      <c r="D349" s="6"/>
      <c r="E349" s="6"/>
      <c r="F349" s="6"/>
      <c r="G349" s="7"/>
    </row>
    <row r="350" spans="1:7">
      <c r="A350" s="5"/>
      <c r="B350" s="6"/>
      <c r="C350" s="6"/>
      <c r="D350" s="6"/>
      <c r="E350" s="6"/>
      <c r="F350" s="6"/>
      <c r="G350" s="7"/>
    </row>
    <row r="351" spans="1:7">
      <c r="A351" s="5"/>
      <c r="B351" s="6"/>
      <c r="C351" s="6"/>
      <c r="D351" s="6"/>
      <c r="E351" s="6"/>
      <c r="F351" s="6"/>
      <c r="G351" s="7"/>
    </row>
    <row r="352" spans="1:7">
      <c r="A352" s="5"/>
      <c r="B352" s="6"/>
      <c r="C352" s="6"/>
      <c r="D352" s="6"/>
      <c r="E352" s="6"/>
      <c r="F352" s="6"/>
      <c r="G352" s="7"/>
    </row>
    <row r="353" spans="1:7">
      <c r="A353" s="5"/>
      <c r="B353" s="6"/>
      <c r="C353" s="6"/>
      <c r="D353" s="6"/>
      <c r="E353" s="6"/>
      <c r="F353" s="6"/>
      <c r="G353" s="7"/>
    </row>
    <row r="354" spans="1:7">
      <c r="A354" s="5"/>
      <c r="B354" s="6"/>
      <c r="C354" s="6"/>
      <c r="D354" s="6"/>
      <c r="E354" s="6"/>
      <c r="F354" s="6"/>
      <c r="G354" s="7"/>
    </row>
    <row r="355" spans="1:7">
      <c r="A355" s="5"/>
      <c r="B355" s="6"/>
      <c r="C355" s="6"/>
      <c r="D355" s="6"/>
      <c r="E355" s="6"/>
      <c r="F355" s="6"/>
      <c r="G355" s="7"/>
    </row>
    <row r="356" spans="1:7">
      <c r="A356" s="5"/>
      <c r="B356" s="6"/>
      <c r="C356" s="6"/>
      <c r="D356" s="6"/>
      <c r="E356" s="6"/>
      <c r="F356" s="6"/>
      <c r="G356" s="7"/>
    </row>
    <row r="357" spans="1:7">
      <c r="A357" s="5"/>
      <c r="B357" s="6"/>
      <c r="C357" s="6"/>
      <c r="D357" s="6"/>
      <c r="E357" s="6"/>
      <c r="F357" s="6"/>
      <c r="G357" s="7"/>
    </row>
    <row r="358" spans="1:7">
      <c r="A358" s="5"/>
      <c r="B358" s="6"/>
      <c r="C358" s="6"/>
      <c r="D358" s="6"/>
      <c r="E358" s="6"/>
      <c r="F358" s="6"/>
      <c r="G358" s="7"/>
    </row>
    <row r="359" spans="1:7">
      <c r="A359" s="5"/>
      <c r="B359" s="6"/>
      <c r="C359" s="6"/>
      <c r="D359" s="6"/>
      <c r="E359" s="6"/>
      <c r="F359" s="6"/>
      <c r="G359" s="7"/>
    </row>
    <row r="360" spans="1:7">
      <c r="A360" s="5"/>
      <c r="B360" s="6"/>
      <c r="C360" s="6"/>
      <c r="D360" s="6"/>
      <c r="E360" s="6"/>
      <c r="F360" s="6"/>
      <c r="G360" s="7"/>
    </row>
    <row r="361" spans="1:7">
      <c r="A361" s="5"/>
      <c r="B361" s="6"/>
      <c r="C361" s="6"/>
      <c r="D361" s="6"/>
      <c r="E361" s="6"/>
      <c r="F361" s="6"/>
      <c r="G361" s="7"/>
    </row>
    <row r="362" spans="1:7">
      <c r="A362" s="5"/>
      <c r="B362" s="6"/>
      <c r="C362" s="6"/>
      <c r="D362" s="6"/>
      <c r="E362" s="6"/>
      <c r="F362" s="6"/>
      <c r="G362" s="7"/>
    </row>
    <row r="363" spans="1:7">
      <c r="A363" s="5"/>
      <c r="B363" s="6"/>
      <c r="C363" s="6"/>
      <c r="D363" s="6"/>
      <c r="E363" s="6"/>
      <c r="F363" s="6"/>
      <c r="G363" s="7"/>
    </row>
    <row r="364" spans="1:7">
      <c r="A364" s="5"/>
      <c r="B364" s="6"/>
      <c r="C364" s="6"/>
      <c r="D364" s="6"/>
      <c r="E364" s="6"/>
      <c r="F364" s="6"/>
      <c r="G364" s="7"/>
    </row>
    <row r="365" spans="1:7">
      <c r="A365" s="5"/>
      <c r="B365" s="6"/>
      <c r="C365" s="6"/>
      <c r="D365" s="6"/>
      <c r="E365" s="6"/>
      <c r="F365" s="6"/>
      <c r="G365" s="7"/>
    </row>
    <row r="366" spans="1:7">
      <c r="A366" s="5"/>
      <c r="B366" s="6"/>
      <c r="C366" s="6"/>
      <c r="D366" s="6"/>
      <c r="E366" s="6"/>
      <c r="F366" s="6"/>
      <c r="G366" s="7"/>
    </row>
    <row r="367" spans="1:7">
      <c r="A367" s="5"/>
      <c r="B367" s="6"/>
      <c r="C367" s="6"/>
      <c r="D367" s="6"/>
      <c r="E367" s="6"/>
      <c r="F367" s="6"/>
      <c r="G367" s="7"/>
    </row>
    <row r="368" spans="1:7">
      <c r="A368" s="5"/>
      <c r="B368" s="6"/>
      <c r="C368" s="6"/>
      <c r="D368" s="6"/>
      <c r="E368" s="6"/>
      <c r="F368" s="6"/>
      <c r="G368" s="7"/>
    </row>
    <row r="369" spans="1:7">
      <c r="A369" s="5"/>
      <c r="B369" s="6"/>
      <c r="C369" s="6"/>
      <c r="D369" s="6"/>
      <c r="E369" s="6"/>
      <c r="F369" s="6"/>
      <c r="G369" s="7"/>
    </row>
    <row r="370" spans="1:7">
      <c r="A370" s="5"/>
      <c r="B370" s="6"/>
      <c r="C370" s="6"/>
      <c r="D370" s="6"/>
      <c r="E370" s="6"/>
      <c r="F370" s="6"/>
      <c r="G370" s="7"/>
    </row>
    <row r="371" spans="1:7">
      <c r="A371" s="5"/>
      <c r="B371" s="6"/>
      <c r="C371" s="6"/>
      <c r="D371" s="6"/>
      <c r="E371" s="6"/>
      <c r="F371" s="6"/>
      <c r="G371" s="7"/>
    </row>
    <row r="372" spans="1:7">
      <c r="A372" s="5"/>
      <c r="B372" s="6"/>
      <c r="C372" s="6"/>
      <c r="D372" s="6"/>
      <c r="E372" s="6"/>
      <c r="F372" s="6"/>
      <c r="G372" s="7"/>
    </row>
    <row r="373" spans="1:7">
      <c r="A373" s="5"/>
      <c r="B373" s="6"/>
      <c r="C373" s="6"/>
      <c r="D373" s="6"/>
      <c r="E373" s="6"/>
      <c r="F373" s="6"/>
      <c r="G373" s="7"/>
    </row>
    <row r="374" spans="1:7">
      <c r="A374" s="5"/>
      <c r="B374" s="6"/>
      <c r="C374" s="6"/>
      <c r="D374" s="6"/>
      <c r="E374" s="6"/>
      <c r="F374" s="6"/>
      <c r="G374" s="7"/>
    </row>
    <row r="375" spans="1:7">
      <c r="A375" s="5"/>
      <c r="B375" s="6"/>
      <c r="C375" s="6"/>
      <c r="D375" s="6"/>
      <c r="E375" s="6"/>
      <c r="F375" s="6"/>
      <c r="G375" s="7"/>
    </row>
    <row r="376" spans="1:7">
      <c r="A376" s="5"/>
      <c r="B376" s="6"/>
      <c r="C376" s="6"/>
      <c r="D376" s="6"/>
      <c r="E376" s="6"/>
      <c r="F376" s="6"/>
      <c r="G376" s="7"/>
    </row>
    <row r="377" spans="1:7">
      <c r="A377" s="5"/>
      <c r="B377" s="6"/>
      <c r="C377" s="6"/>
      <c r="D377" s="6"/>
      <c r="E377" s="6"/>
      <c r="F377" s="6"/>
      <c r="G377" s="7"/>
    </row>
    <row r="378" spans="1:7">
      <c r="A378" s="5"/>
      <c r="B378" s="6"/>
      <c r="C378" s="6"/>
      <c r="D378" s="6"/>
      <c r="E378" s="6"/>
      <c r="F378" s="6"/>
      <c r="G378" s="7"/>
    </row>
    <row r="379" spans="1:7">
      <c r="A379" s="5"/>
      <c r="B379" s="6"/>
      <c r="C379" s="6"/>
      <c r="D379" s="6"/>
      <c r="E379" s="6"/>
      <c r="F379" s="6"/>
      <c r="G379" s="7"/>
    </row>
    <row r="380" spans="1:7">
      <c r="A380" s="5"/>
      <c r="B380" s="6"/>
      <c r="C380" s="6"/>
      <c r="D380" s="6"/>
      <c r="E380" s="6"/>
      <c r="F380" s="6"/>
      <c r="G380" s="7"/>
    </row>
    <row r="381" spans="1:7">
      <c r="A381" s="5"/>
      <c r="B381" s="6"/>
      <c r="C381" s="6"/>
      <c r="D381" s="6"/>
      <c r="E381" s="6"/>
      <c r="F381" s="6"/>
      <c r="G381" s="7"/>
    </row>
    <row r="382" spans="1:7">
      <c r="A382" s="5"/>
      <c r="B382" s="6"/>
      <c r="C382" s="6"/>
      <c r="D382" s="6"/>
      <c r="E382" s="6"/>
      <c r="F382" s="6"/>
      <c r="G382" s="7"/>
    </row>
    <row r="383" spans="1:7">
      <c r="A383" s="5"/>
      <c r="B383" s="6"/>
      <c r="C383" s="6"/>
      <c r="D383" s="6"/>
      <c r="E383" s="6"/>
      <c r="F383" s="6"/>
      <c r="G383" s="7"/>
    </row>
    <row r="384" spans="1:7">
      <c r="A384" s="5"/>
      <c r="B384" s="6"/>
      <c r="C384" s="6"/>
      <c r="D384" s="6"/>
      <c r="E384" s="6"/>
      <c r="F384" s="6"/>
      <c r="G384" s="7"/>
    </row>
    <row r="385" spans="1:7">
      <c r="A385" s="5"/>
      <c r="B385" s="6"/>
      <c r="C385" s="6"/>
      <c r="D385" s="6"/>
      <c r="E385" s="6"/>
      <c r="F385" s="6"/>
      <c r="G385" s="7"/>
    </row>
    <row r="386" spans="1:7">
      <c r="A386" s="5"/>
      <c r="B386" s="6"/>
      <c r="C386" s="6"/>
      <c r="D386" s="6"/>
      <c r="E386" s="6"/>
      <c r="F386" s="6"/>
      <c r="G386" s="7"/>
    </row>
    <row r="387" spans="1:7">
      <c r="A387" s="5"/>
      <c r="B387" s="6"/>
      <c r="C387" s="6"/>
      <c r="D387" s="6"/>
      <c r="E387" s="6"/>
      <c r="F387" s="6"/>
      <c r="G387" s="7"/>
    </row>
    <row r="388" spans="1:7">
      <c r="A388" s="5"/>
      <c r="B388" s="6"/>
      <c r="C388" s="6"/>
      <c r="D388" s="6"/>
      <c r="E388" s="6"/>
      <c r="F388" s="6"/>
      <c r="G388" s="7"/>
    </row>
    <row r="389" spans="1:7">
      <c r="A389" s="5"/>
      <c r="B389" s="6"/>
      <c r="C389" s="6"/>
      <c r="D389" s="6"/>
      <c r="E389" s="6"/>
      <c r="F389" s="6"/>
      <c r="G389" s="7"/>
    </row>
    <row r="390" spans="1:7">
      <c r="A390" s="5"/>
      <c r="B390" s="6"/>
      <c r="C390" s="6"/>
      <c r="D390" s="6"/>
      <c r="E390" s="6"/>
      <c r="F390" s="6"/>
      <c r="G390" s="7"/>
    </row>
    <row r="391" spans="1:7">
      <c r="A391" s="5"/>
      <c r="B391" s="6"/>
      <c r="C391" s="6"/>
      <c r="D391" s="6"/>
      <c r="E391" s="6"/>
      <c r="F391" s="6"/>
      <c r="G391" s="7"/>
    </row>
    <row r="392" spans="1:7">
      <c r="A392" s="5"/>
      <c r="B392" s="6"/>
      <c r="C392" s="6"/>
      <c r="D392" s="6"/>
      <c r="E392" s="6"/>
      <c r="F392" s="6"/>
      <c r="G392" s="7"/>
    </row>
    <row r="393" spans="1:7">
      <c r="A393" s="5"/>
      <c r="B393" s="6"/>
      <c r="C393" s="6"/>
      <c r="D393" s="6"/>
      <c r="E393" s="6"/>
      <c r="F393" s="6"/>
      <c r="G393" s="7"/>
    </row>
    <row r="394" spans="1:7">
      <c r="A394" s="5"/>
      <c r="B394" s="6"/>
      <c r="C394" s="6"/>
      <c r="D394" s="6"/>
      <c r="E394" s="6"/>
      <c r="F394" s="6"/>
      <c r="G394" s="7"/>
    </row>
    <row r="395" spans="1:7">
      <c r="A395" s="5"/>
      <c r="B395" s="6"/>
      <c r="C395" s="6"/>
      <c r="D395" s="6"/>
      <c r="E395" s="6"/>
      <c r="F395" s="6"/>
      <c r="G395" s="7"/>
    </row>
    <row r="396" spans="1:7">
      <c r="A396" s="5"/>
      <c r="B396" s="6"/>
      <c r="C396" s="6"/>
      <c r="D396" s="6"/>
      <c r="E396" s="6"/>
      <c r="F396" s="6"/>
      <c r="G396" s="7"/>
    </row>
    <row r="397" spans="1:7">
      <c r="A397" s="5"/>
      <c r="B397" s="6"/>
      <c r="C397" s="6"/>
      <c r="D397" s="6"/>
      <c r="E397" s="6"/>
      <c r="F397" s="6"/>
      <c r="G397" s="7"/>
    </row>
    <row r="398" spans="1:7">
      <c r="A398" s="5"/>
      <c r="B398" s="6"/>
      <c r="C398" s="6"/>
      <c r="D398" s="6"/>
      <c r="E398" s="6"/>
      <c r="F398" s="6"/>
      <c r="G398" s="7"/>
    </row>
    <row r="399" spans="1:7">
      <c r="A399" s="5"/>
      <c r="B399" s="6"/>
      <c r="C399" s="6"/>
      <c r="D399" s="6"/>
      <c r="E399" s="6"/>
      <c r="F399" s="6"/>
      <c r="G399" s="7"/>
    </row>
    <row r="400" spans="1:7">
      <c r="A400" s="5"/>
      <c r="B400" s="6"/>
      <c r="C400" s="6"/>
      <c r="D400" s="6"/>
      <c r="E400" s="6"/>
      <c r="F400" s="6"/>
      <c r="G400" s="7"/>
    </row>
    <row r="401" spans="1:7">
      <c r="A401" s="5"/>
      <c r="B401" s="6"/>
      <c r="C401" s="6"/>
      <c r="D401" s="6"/>
      <c r="E401" s="6"/>
      <c r="F401" s="6"/>
      <c r="G401" s="7"/>
    </row>
    <row r="402" spans="1:7">
      <c r="A402" s="5"/>
      <c r="B402" s="6"/>
      <c r="C402" s="6"/>
      <c r="D402" s="6"/>
      <c r="E402" s="6"/>
      <c r="F402" s="6"/>
      <c r="G402" s="7"/>
    </row>
    <row r="403" spans="1:7">
      <c r="A403" s="5"/>
      <c r="B403" s="6"/>
      <c r="C403" s="6"/>
      <c r="D403" s="6"/>
      <c r="E403" s="6"/>
      <c r="F403" s="6"/>
      <c r="G403" s="7"/>
    </row>
    <row r="404" spans="1:7">
      <c r="A404" s="5"/>
      <c r="B404" s="6"/>
      <c r="C404" s="6"/>
      <c r="D404" s="6"/>
      <c r="E404" s="6"/>
      <c r="F404" s="6"/>
      <c r="G404" s="7"/>
    </row>
    <row r="405" spans="1:7">
      <c r="A405" s="5"/>
      <c r="B405" s="6"/>
      <c r="C405" s="6"/>
      <c r="D405" s="6"/>
      <c r="E405" s="6"/>
      <c r="F405" s="6"/>
      <c r="G405" s="7"/>
    </row>
    <row r="406" spans="1:7">
      <c r="A406" s="5"/>
      <c r="B406" s="6"/>
      <c r="C406" s="6"/>
      <c r="D406" s="6"/>
      <c r="E406" s="6"/>
      <c r="F406" s="6"/>
      <c r="G406" s="7"/>
    </row>
    <row r="407" spans="1:7">
      <c r="A407" s="5"/>
      <c r="B407" s="6"/>
      <c r="C407" s="6"/>
      <c r="D407" s="6"/>
      <c r="E407" s="6"/>
      <c r="F407" s="6"/>
      <c r="G407" s="7"/>
    </row>
    <row r="408" spans="1:7">
      <c r="A408" s="5"/>
      <c r="B408" s="6"/>
      <c r="C408" s="6"/>
      <c r="D408" s="6"/>
      <c r="E408" s="6"/>
      <c r="F408" s="6"/>
      <c r="G408" s="7"/>
    </row>
    <row r="409" spans="1:7">
      <c r="A409" s="5"/>
      <c r="B409" s="6"/>
      <c r="C409" s="6"/>
      <c r="D409" s="6"/>
      <c r="E409" s="6"/>
      <c r="F409" s="6"/>
      <c r="G409" s="7"/>
    </row>
    <row r="410" spans="1:7">
      <c r="A410" s="5"/>
      <c r="B410" s="6"/>
      <c r="C410" s="6"/>
      <c r="D410" s="6"/>
      <c r="E410" s="6"/>
      <c r="F410" s="6"/>
      <c r="G410" s="7"/>
    </row>
    <row r="411" spans="1:7">
      <c r="A411" s="5"/>
      <c r="B411" s="6"/>
      <c r="C411" s="6"/>
      <c r="D411" s="6"/>
      <c r="E411" s="6"/>
      <c r="F411" s="6"/>
      <c r="G411" s="7"/>
    </row>
    <row r="412" spans="1:7">
      <c r="A412" s="5"/>
      <c r="B412" s="6"/>
      <c r="C412" s="6"/>
      <c r="D412" s="6"/>
      <c r="E412" s="6"/>
      <c r="F412" s="6"/>
      <c r="G412" s="7"/>
    </row>
    <row r="413" spans="1:7">
      <c r="A413" s="5"/>
      <c r="B413" s="6"/>
      <c r="C413" s="6"/>
      <c r="D413" s="6"/>
      <c r="E413" s="6"/>
      <c r="F413" s="6"/>
      <c r="G413" s="7"/>
    </row>
    <row r="414" spans="1:7">
      <c r="A414" s="5"/>
      <c r="B414" s="6"/>
      <c r="C414" s="6"/>
      <c r="D414" s="6"/>
      <c r="E414" s="6"/>
      <c r="F414" s="6"/>
      <c r="G414" s="7"/>
    </row>
    <row r="415" spans="1:7">
      <c r="A415" s="5"/>
      <c r="B415" s="6"/>
      <c r="C415" s="6"/>
      <c r="D415" s="6"/>
      <c r="E415" s="6"/>
      <c r="F415" s="6"/>
      <c r="G415" s="7"/>
    </row>
    <row r="416" spans="1:7">
      <c r="A416" s="5"/>
      <c r="B416" s="6"/>
      <c r="C416" s="6"/>
      <c r="D416" s="6"/>
      <c r="E416" s="6"/>
      <c r="F416" s="6"/>
      <c r="G416" s="7"/>
    </row>
    <row r="417" spans="1:7">
      <c r="A417" s="5"/>
      <c r="B417" s="6"/>
      <c r="C417" s="6"/>
      <c r="D417" s="6"/>
      <c r="E417" s="6"/>
      <c r="F417" s="6"/>
      <c r="G417" s="7"/>
    </row>
    <row r="418" spans="1:7">
      <c r="A418" s="5"/>
      <c r="B418" s="6"/>
      <c r="C418" s="6"/>
      <c r="D418" s="6"/>
      <c r="E418" s="6"/>
      <c r="F418" s="6"/>
      <c r="G418" s="7"/>
    </row>
    <row r="419" spans="1:7">
      <c r="A419" s="5"/>
      <c r="B419" s="6"/>
      <c r="C419" s="6"/>
      <c r="D419" s="6"/>
      <c r="E419" s="6"/>
      <c r="F419" s="6"/>
      <c r="G419" s="7"/>
    </row>
    <row r="420" spans="1:7">
      <c r="A420" s="5"/>
      <c r="B420" s="6"/>
      <c r="C420" s="6"/>
      <c r="D420" s="6"/>
      <c r="E420" s="6"/>
      <c r="F420" s="6"/>
      <c r="G420" s="7"/>
    </row>
    <row r="421" spans="1:7">
      <c r="A421" s="5"/>
      <c r="B421" s="6"/>
      <c r="C421" s="6"/>
      <c r="D421" s="6"/>
      <c r="E421" s="6"/>
      <c r="F421" s="6"/>
      <c r="G421" s="7"/>
    </row>
    <row r="422" spans="1:7">
      <c r="A422" s="5"/>
      <c r="B422" s="6"/>
      <c r="C422" s="6"/>
      <c r="D422" s="6"/>
      <c r="E422" s="6"/>
      <c r="F422" s="6"/>
      <c r="G422" s="7"/>
    </row>
    <row r="423" spans="1:7">
      <c r="A423" s="5"/>
      <c r="B423" s="6"/>
      <c r="C423" s="6"/>
      <c r="D423" s="6"/>
      <c r="E423" s="6"/>
      <c r="F423" s="6"/>
      <c r="G423" s="7"/>
    </row>
    <row r="424" spans="1:7">
      <c r="A424" s="5"/>
      <c r="B424" s="6"/>
      <c r="C424" s="6"/>
      <c r="D424" s="6"/>
      <c r="E424" s="6"/>
      <c r="F424" s="6"/>
      <c r="G424" s="7"/>
    </row>
    <row r="425" spans="1:7">
      <c r="A425" s="5"/>
      <c r="B425" s="6"/>
      <c r="C425" s="6"/>
      <c r="D425" s="6"/>
      <c r="E425" s="6"/>
      <c r="F425" s="6"/>
      <c r="G425" s="7"/>
    </row>
    <row r="426" spans="1:7">
      <c r="A426" s="5"/>
      <c r="B426" s="6"/>
      <c r="C426" s="6"/>
      <c r="D426" s="6"/>
      <c r="E426" s="6"/>
      <c r="F426" s="6"/>
      <c r="G426" s="7"/>
    </row>
    <row r="427" spans="1:7">
      <c r="A427" s="5"/>
      <c r="B427" s="6"/>
      <c r="C427" s="6"/>
      <c r="D427" s="6"/>
      <c r="E427" s="6"/>
      <c r="F427" s="6"/>
      <c r="G427" s="7"/>
    </row>
    <row r="428" spans="1:7">
      <c r="A428" s="5"/>
      <c r="B428" s="6"/>
      <c r="C428" s="6"/>
      <c r="D428" s="6"/>
      <c r="E428" s="6"/>
      <c r="F428" s="6"/>
      <c r="G428" s="7"/>
    </row>
    <row r="429" spans="1:7">
      <c r="A429" s="5"/>
      <c r="B429" s="6"/>
      <c r="C429" s="6"/>
      <c r="D429" s="6"/>
      <c r="E429" s="6"/>
      <c r="F429" s="6"/>
      <c r="G429" s="7"/>
    </row>
    <row r="430" spans="1:7">
      <c r="A430" s="5"/>
      <c r="B430" s="6"/>
      <c r="C430" s="6"/>
      <c r="D430" s="6"/>
      <c r="E430" s="6"/>
      <c r="F430" s="6"/>
      <c r="G430" s="7"/>
    </row>
    <row r="431" spans="1:7">
      <c r="A431" s="5"/>
      <c r="B431" s="6"/>
      <c r="C431" s="6"/>
      <c r="D431" s="6"/>
      <c r="E431" s="6"/>
      <c r="F431" s="6"/>
      <c r="G431" s="7"/>
    </row>
    <row r="432" spans="1:7">
      <c r="A432" s="5"/>
      <c r="B432" s="6"/>
      <c r="C432" s="6"/>
      <c r="D432" s="6"/>
      <c r="E432" s="6"/>
      <c r="F432" s="6"/>
      <c r="G432" s="7"/>
    </row>
    <row r="433" spans="1:7">
      <c r="A433" s="5"/>
      <c r="B433" s="6"/>
      <c r="C433" s="6"/>
      <c r="D433" s="6"/>
      <c r="E433" s="6"/>
      <c r="F433" s="6"/>
      <c r="G433" s="7"/>
    </row>
    <row r="434" spans="1:7">
      <c r="A434" s="5"/>
      <c r="B434" s="6"/>
      <c r="C434" s="6"/>
      <c r="D434" s="6"/>
      <c r="E434" s="6"/>
      <c r="F434" s="6"/>
      <c r="G434" s="7"/>
    </row>
    <row r="435" spans="1:7">
      <c r="A435" s="5"/>
      <c r="B435" s="6"/>
      <c r="C435" s="6"/>
      <c r="D435" s="6"/>
      <c r="E435" s="6"/>
      <c r="F435" s="6"/>
      <c r="G435" s="7"/>
    </row>
    <row r="436" spans="1:7">
      <c r="A436" s="5"/>
      <c r="B436" s="6"/>
      <c r="C436" s="6"/>
      <c r="D436" s="6"/>
      <c r="E436" s="6"/>
      <c r="F436" s="6"/>
      <c r="G436" s="7"/>
    </row>
    <row r="437" spans="1:7">
      <c r="A437" s="5"/>
      <c r="B437" s="6"/>
      <c r="C437" s="6"/>
      <c r="D437" s="6"/>
      <c r="E437" s="6"/>
      <c r="F437" s="6"/>
      <c r="G437" s="7"/>
    </row>
    <row r="438" spans="1:7">
      <c r="A438" s="5"/>
      <c r="B438" s="6"/>
      <c r="C438" s="6"/>
      <c r="D438" s="6"/>
      <c r="E438" s="6"/>
      <c r="F438" s="6"/>
      <c r="G438" s="7"/>
    </row>
    <row r="439" spans="1:7">
      <c r="A439" s="5"/>
      <c r="B439" s="6"/>
      <c r="C439" s="6"/>
      <c r="D439" s="6"/>
      <c r="E439" s="6"/>
      <c r="F439" s="6"/>
      <c r="G439" s="7"/>
    </row>
    <row r="440" spans="1:7">
      <c r="A440" s="5"/>
      <c r="B440" s="6"/>
      <c r="C440" s="6"/>
      <c r="D440" s="6"/>
      <c r="E440" s="6"/>
      <c r="F440" s="6"/>
      <c r="G440" s="7"/>
    </row>
    <row r="441" spans="1:7">
      <c r="A441" s="5"/>
      <c r="B441" s="6"/>
      <c r="C441" s="6"/>
      <c r="D441" s="6"/>
      <c r="E441" s="6"/>
      <c r="F441" s="6"/>
      <c r="G441" s="7"/>
    </row>
    <row r="442" spans="1:7">
      <c r="A442" s="5"/>
      <c r="B442" s="6"/>
      <c r="C442" s="6"/>
      <c r="D442" s="6"/>
      <c r="E442" s="6"/>
      <c r="F442" s="6"/>
      <c r="G442" s="7"/>
    </row>
    <row r="443" spans="1:7">
      <c r="A443" s="5"/>
      <c r="B443" s="6"/>
      <c r="C443" s="6"/>
      <c r="D443" s="6"/>
      <c r="E443" s="6"/>
      <c r="F443" s="6"/>
      <c r="G443" s="7"/>
    </row>
    <row r="444" spans="1:7">
      <c r="A444" s="5"/>
      <c r="B444" s="6"/>
      <c r="C444" s="6"/>
      <c r="D444" s="6"/>
      <c r="E444" s="6"/>
      <c r="F444" s="6"/>
      <c r="G444" s="7"/>
    </row>
    <row r="445" spans="1:7">
      <c r="A445" s="5"/>
      <c r="B445" s="6"/>
      <c r="C445" s="6"/>
      <c r="D445" s="6"/>
      <c r="E445" s="6"/>
      <c r="F445" s="6"/>
      <c r="G445" s="7"/>
    </row>
    <row r="446" spans="1:7">
      <c r="A446" s="5"/>
      <c r="B446" s="6"/>
      <c r="C446" s="6"/>
      <c r="D446" s="6"/>
      <c r="E446" s="6"/>
      <c r="F446" s="6"/>
      <c r="G446" s="7"/>
    </row>
    <row r="447" spans="1:7">
      <c r="A447" s="5"/>
      <c r="B447" s="6"/>
      <c r="C447" s="6"/>
      <c r="D447" s="6"/>
      <c r="E447" s="6"/>
      <c r="F447" s="6"/>
      <c r="G447" s="7"/>
    </row>
    <row r="448" spans="1:7">
      <c r="A448" s="5"/>
      <c r="B448" s="6"/>
      <c r="C448" s="6"/>
      <c r="D448" s="6"/>
      <c r="E448" s="6"/>
      <c r="F448" s="6"/>
      <c r="G448" s="7"/>
    </row>
    <row r="449" spans="1:7">
      <c r="A449" s="5"/>
      <c r="B449" s="6"/>
      <c r="C449" s="6"/>
      <c r="D449" s="6"/>
      <c r="E449" s="6"/>
      <c r="F449" s="6"/>
      <c r="G449" s="7"/>
    </row>
    <row r="450" spans="1:7">
      <c r="A450" s="5"/>
      <c r="B450" s="6"/>
      <c r="C450" s="6"/>
      <c r="D450" s="6"/>
      <c r="E450" s="6"/>
      <c r="F450" s="6"/>
      <c r="G450" s="7"/>
    </row>
    <row r="451" spans="1:7">
      <c r="A451" s="5"/>
      <c r="B451" s="6"/>
      <c r="C451" s="6"/>
      <c r="D451" s="6"/>
      <c r="E451" s="6"/>
      <c r="F451" s="6"/>
      <c r="G451" s="7"/>
    </row>
    <row r="452" spans="1:7">
      <c r="A452" s="5"/>
      <c r="B452" s="6"/>
      <c r="C452" s="6"/>
      <c r="D452" s="6"/>
      <c r="E452" s="6"/>
      <c r="F452" s="6"/>
      <c r="G452" s="7"/>
    </row>
    <row r="453" spans="1:7">
      <c r="A453" s="5"/>
      <c r="B453" s="6"/>
      <c r="C453" s="6"/>
      <c r="D453" s="6"/>
      <c r="E453" s="6"/>
      <c r="F453" s="6"/>
      <c r="G453" s="7"/>
    </row>
    <row r="454" spans="1:7">
      <c r="A454" s="5"/>
      <c r="B454" s="6"/>
      <c r="C454" s="6"/>
      <c r="D454" s="6"/>
      <c r="E454" s="6"/>
      <c r="F454" s="6"/>
      <c r="G454" s="7"/>
    </row>
    <row r="455" spans="1:7">
      <c r="A455" s="5"/>
      <c r="B455" s="6"/>
      <c r="C455" s="6"/>
      <c r="D455" s="6"/>
      <c r="E455" s="6"/>
      <c r="F455" s="6"/>
      <c r="G455" s="7"/>
    </row>
    <row r="456" spans="1:7">
      <c r="A456" s="5"/>
      <c r="B456" s="6"/>
      <c r="C456" s="6"/>
      <c r="D456" s="6"/>
      <c r="E456" s="6"/>
      <c r="F456" s="6"/>
      <c r="G456" s="7"/>
    </row>
    <row r="457" spans="1:7">
      <c r="A457" s="5"/>
      <c r="B457" s="6"/>
      <c r="C457" s="6"/>
      <c r="D457" s="6"/>
      <c r="E457" s="6"/>
      <c r="F457" s="6"/>
      <c r="G457" s="7"/>
    </row>
    <row r="458" spans="1:7">
      <c r="A458" s="5"/>
      <c r="B458" s="6"/>
      <c r="C458" s="6"/>
      <c r="D458" s="6"/>
      <c r="E458" s="6"/>
      <c r="F458" s="6"/>
      <c r="G458" s="7"/>
    </row>
    <row r="459" spans="1:7">
      <c r="A459" s="5"/>
      <c r="B459" s="6"/>
      <c r="C459" s="6"/>
      <c r="D459" s="6"/>
      <c r="E459" s="6"/>
      <c r="F459" s="6"/>
      <c r="G459" s="7"/>
    </row>
    <row r="460" spans="1:7">
      <c r="A460" s="5"/>
      <c r="B460" s="6"/>
      <c r="C460" s="6"/>
      <c r="D460" s="6"/>
      <c r="E460" s="6"/>
      <c r="F460" s="6"/>
      <c r="G460" s="7"/>
    </row>
    <row r="461" spans="1:7">
      <c r="A461" s="5"/>
      <c r="B461" s="6"/>
      <c r="C461" s="6"/>
      <c r="D461" s="6"/>
      <c r="E461" s="6"/>
      <c r="F461" s="6"/>
      <c r="G461" s="7"/>
    </row>
    <row r="462" spans="1:7">
      <c r="A462" s="5"/>
      <c r="B462" s="6"/>
      <c r="C462" s="6"/>
      <c r="D462" s="6"/>
      <c r="E462" s="6"/>
      <c r="F462" s="6"/>
      <c r="G462" s="7"/>
    </row>
    <row r="463" spans="1:7">
      <c r="A463" s="5"/>
      <c r="B463" s="6"/>
      <c r="C463" s="6"/>
      <c r="D463" s="6"/>
      <c r="E463" s="6"/>
      <c r="F463" s="6"/>
      <c r="G463" s="7"/>
    </row>
    <row r="464" spans="1:7">
      <c r="A464" s="5"/>
      <c r="B464" s="6"/>
      <c r="C464" s="6"/>
      <c r="D464" s="6"/>
      <c r="E464" s="6"/>
      <c r="F464" s="6"/>
      <c r="G464" s="7"/>
    </row>
    <row r="465" spans="1:7">
      <c r="A465" s="5"/>
      <c r="B465" s="6"/>
      <c r="C465" s="6"/>
      <c r="D465" s="6"/>
      <c r="E465" s="6"/>
      <c r="F465" s="6"/>
      <c r="G465" s="7"/>
    </row>
    <row r="466" spans="1:7">
      <c r="A466" s="5"/>
      <c r="B466" s="6"/>
      <c r="C466" s="6"/>
      <c r="D466" s="6"/>
      <c r="E466" s="6"/>
      <c r="F466" s="6"/>
      <c r="G466" s="7"/>
    </row>
    <row r="467" spans="1:7">
      <c r="A467" s="5"/>
      <c r="B467" s="6"/>
      <c r="C467" s="6"/>
      <c r="D467" s="6"/>
      <c r="E467" s="6"/>
      <c r="F467" s="6"/>
      <c r="G467" s="7"/>
    </row>
    <row r="468" spans="1:7">
      <c r="A468" s="5"/>
      <c r="B468" s="6"/>
      <c r="C468" s="6"/>
      <c r="D468" s="6"/>
      <c r="E468" s="6"/>
      <c r="F468" s="6"/>
      <c r="G468" s="7"/>
    </row>
    <row r="469" spans="1:7">
      <c r="A469" s="5"/>
      <c r="B469" s="6"/>
      <c r="C469" s="6"/>
      <c r="D469" s="6"/>
      <c r="E469" s="6"/>
      <c r="F469" s="6"/>
      <c r="G469" s="7"/>
    </row>
    <row r="470" spans="1:7">
      <c r="A470" s="5"/>
      <c r="B470" s="6"/>
      <c r="C470" s="6"/>
      <c r="D470" s="6"/>
      <c r="E470" s="6"/>
      <c r="F470" s="6"/>
      <c r="G470" s="7"/>
    </row>
    <row r="471" spans="1:7">
      <c r="A471" s="5"/>
      <c r="B471" s="6"/>
      <c r="C471" s="6"/>
      <c r="D471" s="6"/>
      <c r="E471" s="6"/>
      <c r="F471" s="6"/>
      <c r="G471" s="7"/>
    </row>
    <row r="472" spans="1:7">
      <c r="A472" s="5"/>
      <c r="B472" s="6"/>
      <c r="C472" s="6"/>
      <c r="D472" s="6"/>
      <c r="E472" s="6"/>
      <c r="F472" s="6"/>
      <c r="G472" s="7"/>
    </row>
    <row r="473" spans="1:7">
      <c r="A473" s="5"/>
      <c r="B473" s="6"/>
      <c r="C473" s="6"/>
      <c r="D473" s="6"/>
      <c r="E473" s="6"/>
      <c r="F473" s="6"/>
      <c r="G473" s="7"/>
    </row>
    <row r="474" spans="1:7">
      <c r="A474" s="5"/>
      <c r="B474" s="6"/>
      <c r="C474" s="6"/>
      <c r="D474" s="6"/>
      <c r="E474" s="6"/>
      <c r="F474" s="6"/>
      <c r="G474" s="7"/>
    </row>
    <row r="475" spans="1:7">
      <c r="A475" s="5"/>
      <c r="B475" s="6"/>
      <c r="C475" s="6"/>
      <c r="D475" s="6"/>
      <c r="E475" s="6"/>
      <c r="F475" s="6"/>
      <c r="G475" s="7"/>
    </row>
    <row r="476" spans="1:7">
      <c r="A476" s="5"/>
      <c r="B476" s="6"/>
      <c r="C476" s="6"/>
      <c r="D476" s="6"/>
      <c r="E476" s="6"/>
      <c r="F476" s="6"/>
      <c r="G476" s="7"/>
    </row>
    <row r="477" spans="1:7">
      <c r="A477" s="5"/>
      <c r="B477" s="6"/>
      <c r="C477" s="6"/>
      <c r="D477" s="6"/>
      <c r="E477" s="6"/>
      <c r="F477" s="6"/>
      <c r="G477" s="7"/>
    </row>
    <row r="478" spans="1:7">
      <c r="A478" s="5"/>
      <c r="B478" s="6"/>
      <c r="C478" s="6"/>
      <c r="D478" s="6"/>
      <c r="E478" s="6"/>
      <c r="F478" s="6"/>
      <c r="G478" s="7"/>
    </row>
    <row r="479" spans="1:7">
      <c r="A479" s="5"/>
      <c r="B479" s="6"/>
      <c r="C479" s="6"/>
      <c r="D479" s="6"/>
      <c r="E479" s="6"/>
      <c r="F479" s="6"/>
      <c r="G479" s="7"/>
    </row>
    <row r="480" spans="1:7">
      <c r="A480" s="5"/>
      <c r="B480" s="6"/>
      <c r="C480" s="6"/>
      <c r="D480" s="6"/>
      <c r="E480" s="6"/>
      <c r="F480" s="6"/>
      <c r="G480" s="7"/>
    </row>
    <row r="481" spans="1:7">
      <c r="A481" s="5"/>
      <c r="B481" s="6"/>
      <c r="C481" s="6"/>
      <c r="D481" s="6"/>
      <c r="E481" s="6"/>
      <c r="F481" s="6"/>
      <c r="G481" s="7"/>
    </row>
    <row r="482" spans="1:7">
      <c r="A482" s="5"/>
      <c r="B482" s="6"/>
      <c r="C482" s="6"/>
      <c r="D482" s="6"/>
      <c r="E482" s="6"/>
      <c r="F482" s="6"/>
      <c r="G482" s="7"/>
    </row>
    <row r="483" spans="1:7">
      <c r="A483" s="5"/>
      <c r="B483" s="6"/>
      <c r="C483" s="6"/>
      <c r="D483" s="6"/>
      <c r="E483" s="6"/>
      <c r="F483" s="6"/>
      <c r="G483" s="7"/>
    </row>
    <row r="484" spans="1:7">
      <c r="A484" s="5"/>
      <c r="B484" s="6"/>
      <c r="C484" s="6"/>
      <c r="D484" s="6"/>
      <c r="E484" s="6"/>
      <c r="F484" s="6"/>
      <c r="G484" s="7"/>
    </row>
    <row r="485" spans="1:7">
      <c r="A485" s="5"/>
      <c r="B485" s="6"/>
      <c r="C485" s="6"/>
      <c r="D485" s="6"/>
      <c r="E485" s="6"/>
      <c r="F485" s="6"/>
      <c r="G485" s="7"/>
    </row>
    <row r="486" spans="1:7">
      <c r="A486" s="5"/>
      <c r="B486" s="6"/>
      <c r="C486" s="6"/>
      <c r="D486" s="6"/>
      <c r="E486" s="6"/>
      <c r="F486" s="6"/>
      <c r="G486" s="7"/>
    </row>
    <row r="487" spans="1:7">
      <c r="A487" s="5"/>
      <c r="B487" s="6"/>
      <c r="C487" s="6"/>
      <c r="D487" s="6"/>
      <c r="E487" s="6"/>
      <c r="F487" s="6"/>
      <c r="G487" s="7"/>
    </row>
    <row r="488" spans="1:7">
      <c r="A488" s="5"/>
      <c r="B488" s="6"/>
      <c r="C488" s="6"/>
      <c r="D488" s="6"/>
      <c r="E488" s="6"/>
      <c r="F488" s="6"/>
      <c r="G488" s="7"/>
    </row>
    <row r="489" spans="1:7">
      <c r="A489" s="5"/>
      <c r="B489" s="6"/>
      <c r="C489" s="6"/>
      <c r="D489" s="6"/>
      <c r="E489" s="6"/>
      <c r="F489" s="6"/>
      <c r="G489" s="7"/>
    </row>
    <row r="490" spans="1:7">
      <c r="A490" s="5"/>
      <c r="B490" s="6"/>
      <c r="C490" s="6"/>
      <c r="D490" s="6"/>
      <c r="E490" s="6"/>
      <c r="F490" s="6"/>
      <c r="G490" s="7"/>
    </row>
    <row r="491" spans="1:7">
      <c r="A491" s="5"/>
      <c r="B491" s="6"/>
      <c r="C491" s="6"/>
      <c r="D491" s="6"/>
      <c r="E491" s="6"/>
      <c r="F491" s="6"/>
      <c r="G491" s="7"/>
    </row>
    <row r="492" spans="1:7">
      <c r="A492" s="5"/>
      <c r="B492" s="6"/>
      <c r="C492" s="6"/>
      <c r="D492" s="6"/>
      <c r="E492" s="6"/>
      <c r="F492" s="6"/>
      <c r="G492" s="7"/>
    </row>
    <row r="493" spans="1:7">
      <c r="A493" s="5"/>
      <c r="B493" s="6"/>
      <c r="C493" s="6"/>
      <c r="D493" s="6"/>
      <c r="E493" s="6"/>
      <c r="F493" s="6"/>
      <c r="G493" s="7"/>
    </row>
    <row r="494" spans="1:7">
      <c r="A494" s="5"/>
      <c r="B494" s="6"/>
      <c r="C494" s="6"/>
      <c r="D494" s="6"/>
      <c r="E494" s="6"/>
      <c r="F494" s="6"/>
      <c r="G494" s="7"/>
    </row>
    <row r="495" spans="1:7">
      <c r="A495" s="5"/>
      <c r="B495" s="6"/>
      <c r="C495" s="6"/>
      <c r="D495" s="6"/>
      <c r="E495" s="6"/>
      <c r="F495" s="6"/>
      <c r="G495" s="7"/>
    </row>
    <row r="496" spans="1:7">
      <c r="A496" s="5"/>
      <c r="B496" s="6"/>
      <c r="C496" s="6"/>
      <c r="D496" s="6"/>
      <c r="E496" s="6"/>
      <c r="F496" s="6"/>
      <c r="G496" s="7"/>
    </row>
    <row r="497" spans="1:7">
      <c r="A497" s="5"/>
      <c r="B497" s="6"/>
      <c r="C497" s="6"/>
      <c r="D497" s="6"/>
      <c r="E497" s="6"/>
      <c r="F497" s="6"/>
      <c r="G497" s="7"/>
    </row>
    <row r="498" spans="1:7">
      <c r="A498" s="5"/>
      <c r="B498" s="6"/>
      <c r="C498" s="6"/>
      <c r="D498" s="6"/>
      <c r="E498" s="6"/>
      <c r="F498" s="6"/>
      <c r="G498" s="7"/>
    </row>
    <row r="499" spans="1:7">
      <c r="A499" s="5"/>
      <c r="B499" s="6"/>
      <c r="C499" s="6"/>
      <c r="D499" s="6"/>
      <c r="E499" s="6"/>
      <c r="F499" s="6"/>
      <c r="G499" s="7"/>
    </row>
    <row r="500" spans="1:7">
      <c r="A500" s="8"/>
      <c r="B500" s="9"/>
      <c r="C500" s="9"/>
      <c r="D500" s="9"/>
      <c r="E500" s="9"/>
      <c r="F500" s="9"/>
      <c r="G500" s="10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sqref="A1:H1"/>
    </sheetView>
  </sheetViews>
  <sheetFormatPr baseColWidth="10" defaultColWidth="8.6640625" defaultRowHeight="14"/>
  <cols>
    <col min="1" max="1" width="42" customWidth="1"/>
    <col min="2" max="2" width="36" customWidth="1"/>
    <col min="3" max="3" width="70" customWidth="1"/>
  </cols>
  <sheetData>
    <row r="1" spans="1:8" ht="0.75" customHeight="1">
      <c r="A1" s="88" t="s">
        <v>128</v>
      </c>
      <c r="B1" s="89"/>
      <c r="C1" s="89"/>
      <c r="D1" s="89"/>
      <c r="E1" s="89"/>
      <c r="F1" s="89"/>
      <c r="G1" s="89"/>
      <c r="H1" s="89"/>
    </row>
    <row r="2" spans="1:8" ht="0.9" customHeight="1">
      <c r="A2" s="90" t="s">
        <v>129</v>
      </c>
      <c r="B2" s="89"/>
      <c r="C2" s="89"/>
      <c r="D2" s="89"/>
      <c r="E2" s="89"/>
      <c r="F2" s="89"/>
      <c r="G2" s="89"/>
      <c r="H2" s="89"/>
    </row>
    <row r="4" spans="1:8" ht="0.9" customHeight="1">
      <c r="A4" s="1" t="s">
        <v>130</v>
      </c>
      <c r="B4" s="1" t="s">
        <v>131</v>
      </c>
      <c r="C4" s="1" t="s">
        <v>132</v>
      </c>
    </row>
    <row r="5" spans="1:8">
      <c r="A5" s="2" t="s">
        <v>133</v>
      </c>
      <c r="B5" s="3" t="s">
        <v>134</v>
      </c>
      <c r="C5" s="4" t="s">
        <v>135</v>
      </c>
    </row>
    <row r="6" spans="1:8" ht="28">
      <c r="A6" s="5" t="s">
        <v>136</v>
      </c>
      <c r="B6" s="6" t="s">
        <v>137</v>
      </c>
      <c r="C6" s="7" t="s">
        <v>138</v>
      </c>
    </row>
    <row r="7" spans="1:8" ht="28">
      <c r="A7" s="5" t="s">
        <v>139</v>
      </c>
      <c r="B7" s="6" t="s">
        <v>140</v>
      </c>
      <c r="C7" s="7" t="s">
        <v>141</v>
      </c>
    </row>
    <row r="8" spans="1:8" ht="28">
      <c r="A8" s="8" t="s">
        <v>142</v>
      </c>
      <c r="B8" s="9" t="s">
        <v>143</v>
      </c>
      <c r="C8" s="10" t="s">
        <v>144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1"/>
  <sheetViews>
    <sheetView workbookViewId="0">
      <selection sqref="A1:C1"/>
    </sheetView>
  </sheetViews>
  <sheetFormatPr baseColWidth="10" defaultColWidth="8.6640625" defaultRowHeight="14"/>
  <cols>
    <col min="1" max="1" width="110.4140625" customWidth="1"/>
    <col min="2" max="2" width="4.4140625" customWidth="1"/>
    <col min="3" max="3" width="48.75" customWidth="1"/>
    <col min="5" max="7" width="24" customWidth="1"/>
  </cols>
  <sheetData>
    <row r="1" spans="1:7" ht="0.65" customHeight="1">
      <c r="A1" s="94" t="s">
        <v>145</v>
      </c>
      <c r="B1" s="95"/>
      <c r="C1" s="95"/>
      <c r="E1" s="30" t="s">
        <v>146</v>
      </c>
      <c r="F1" s="30"/>
      <c r="G1" s="30"/>
    </row>
    <row r="2" spans="1:7" ht="28">
      <c r="A2" s="18" t="s">
        <v>147</v>
      </c>
      <c r="B2" s="18"/>
      <c r="C2" s="18"/>
      <c r="E2" s="18" t="s">
        <v>148</v>
      </c>
      <c r="F2" s="18" t="s">
        <v>149</v>
      </c>
      <c r="G2" s="18"/>
    </row>
    <row r="3" spans="1:7" ht="0.65" customHeight="1">
      <c r="A3" s="27" t="s">
        <v>150</v>
      </c>
      <c r="B3" s="27" t="s">
        <v>151</v>
      </c>
      <c r="C3" s="27" t="s">
        <v>152</v>
      </c>
      <c r="E3" s="18" t="s">
        <v>153</v>
      </c>
      <c r="F3" s="18" t="s">
        <v>154</v>
      </c>
      <c r="G3" s="18"/>
    </row>
    <row r="4" spans="1:7" ht="0.65" customHeight="1">
      <c r="A4" s="19" t="s">
        <v>155</v>
      </c>
      <c r="B4" s="21">
        <v>4</v>
      </c>
      <c r="C4" s="19" t="s">
        <v>156</v>
      </c>
      <c r="E4" s="18" t="s">
        <v>157</v>
      </c>
      <c r="F4" s="18" t="s">
        <v>158</v>
      </c>
      <c r="G4" s="18"/>
    </row>
    <row r="5" spans="1:7" ht="0.65" customHeight="1">
      <c r="A5" s="19" t="s">
        <v>159</v>
      </c>
      <c r="B5" s="21">
        <v>11</v>
      </c>
      <c r="C5" s="19" t="s">
        <v>160</v>
      </c>
      <c r="E5" s="18" t="s">
        <v>161</v>
      </c>
      <c r="F5" s="18" t="s">
        <v>162</v>
      </c>
      <c r="G5" s="18"/>
    </row>
    <row r="6" spans="1:7" ht="0.65" customHeight="1">
      <c r="A6" s="19" t="s">
        <v>163</v>
      </c>
      <c r="B6" s="21">
        <v>4</v>
      </c>
      <c r="C6" s="19" t="s">
        <v>164</v>
      </c>
    </row>
    <row r="7" spans="1:7" ht="0.65" customHeight="1">
      <c r="A7" s="19" t="s">
        <v>165</v>
      </c>
      <c r="B7" s="21">
        <v>12</v>
      </c>
      <c r="C7" s="19" t="s">
        <v>166</v>
      </c>
      <c r="E7" s="31" t="s">
        <v>167</v>
      </c>
      <c r="F7" s="31"/>
      <c r="G7" s="31"/>
    </row>
    <row r="8" spans="1:7" ht="0.65" customHeight="1">
      <c r="A8" s="19" t="s">
        <v>168</v>
      </c>
      <c r="B8" s="21">
        <v>25</v>
      </c>
      <c r="C8" s="19" t="s">
        <v>169</v>
      </c>
      <c r="E8" s="18" t="s">
        <v>170</v>
      </c>
      <c r="F8" s="18" t="s">
        <v>171</v>
      </c>
      <c r="G8" s="18"/>
    </row>
    <row r="9" spans="1:7" ht="0.65" customHeight="1">
      <c r="A9" s="19" t="s">
        <v>172</v>
      </c>
      <c r="B9" s="21">
        <v>1</v>
      </c>
      <c r="C9" s="19" t="s">
        <v>173</v>
      </c>
      <c r="E9" s="18" t="s">
        <v>174</v>
      </c>
      <c r="F9" s="18" t="s">
        <v>175</v>
      </c>
      <c r="G9" s="18"/>
    </row>
    <row r="10" spans="1:7" ht="42">
      <c r="A10" s="18" t="s">
        <v>176</v>
      </c>
      <c r="B10" s="22">
        <v>8</v>
      </c>
      <c r="C10" s="18" t="s">
        <v>177</v>
      </c>
      <c r="E10" s="18" t="s">
        <v>178</v>
      </c>
      <c r="F10" s="18" t="s">
        <v>179</v>
      </c>
      <c r="G10" s="18"/>
    </row>
    <row r="11" spans="1:7">
      <c r="A11" s="18" t="s">
        <v>180</v>
      </c>
      <c r="B11" s="22">
        <v>6</v>
      </c>
      <c r="C11" s="18" t="s">
        <v>181</v>
      </c>
    </row>
    <row r="12" spans="1:7">
      <c r="A12" s="18" t="s">
        <v>182</v>
      </c>
      <c r="B12" s="22">
        <v>7</v>
      </c>
      <c r="C12" s="18" t="s">
        <v>183</v>
      </c>
      <c r="E12" s="32" t="s">
        <v>184</v>
      </c>
      <c r="F12" s="32"/>
      <c r="G12" s="32"/>
    </row>
    <row r="13" spans="1:7" ht="28">
      <c r="A13" s="18" t="s">
        <v>185</v>
      </c>
      <c r="B13" s="22">
        <v>10</v>
      </c>
      <c r="C13" s="18" t="s">
        <v>186</v>
      </c>
      <c r="E13" s="18" t="s">
        <v>48</v>
      </c>
      <c r="F13" s="18" t="s">
        <v>187</v>
      </c>
      <c r="G13" s="18"/>
    </row>
    <row r="14" spans="1:7" ht="56">
      <c r="E14" s="18" t="s">
        <v>188</v>
      </c>
      <c r="F14" s="18" t="s">
        <v>189</v>
      </c>
      <c r="G14" s="18"/>
    </row>
    <row r="15" spans="1:7" ht="42">
      <c r="E15" s="18" t="s">
        <v>130</v>
      </c>
      <c r="F15" s="18" t="s">
        <v>190</v>
      </c>
      <c r="G15" s="18"/>
    </row>
    <row r="16" spans="1:7" ht="42">
      <c r="E16" s="18" t="s">
        <v>191</v>
      </c>
      <c r="F16" s="18" t="s">
        <v>192</v>
      </c>
      <c r="G16" s="18"/>
    </row>
    <row r="18" spans="5:7">
      <c r="E18" s="33" t="s">
        <v>193</v>
      </c>
      <c r="F18" s="33"/>
      <c r="G18" s="33"/>
    </row>
    <row r="19" spans="5:7" ht="42">
      <c r="E19" s="18" t="s">
        <v>194</v>
      </c>
      <c r="F19" s="18" t="s">
        <v>195</v>
      </c>
      <c r="G19" s="18"/>
    </row>
    <row r="20" spans="5:7" ht="28">
      <c r="E20" s="18" t="s">
        <v>48</v>
      </c>
      <c r="F20" s="18" t="s">
        <v>196</v>
      </c>
      <c r="G20" s="18"/>
    </row>
    <row r="21" spans="5:7" ht="42">
      <c r="E21" s="18" t="s">
        <v>188</v>
      </c>
      <c r="F21" s="18" t="s">
        <v>197</v>
      </c>
      <c r="G21" s="18"/>
    </row>
    <row r="22" spans="5:7" ht="42">
      <c r="E22" s="18" t="s">
        <v>67</v>
      </c>
      <c r="F22" s="18" t="s">
        <v>198</v>
      </c>
      <c r="G22" s="18"/>
    </row>
    <row r="23" spans="5:7">
      <c r="E23" s="18" t="s">
        <v>199</v>
      </c>
      <c r="F23" s="18" t="s">
        <v>200</v>
      </c>
      <c r="G23" s="18"/>
    </row>
    <row r="24" spans="5:7" ht="42">
      <c r="E24" s="18" t="s">
        <v>201</v>
      </c>
      <c r="F24" s="18" t="s">
        <v>202</v>
      </c>
      <c r="G24" s="18"/>
    </row>
    <row r="26" spans="5:7">
      <c r="E26" s="34" t="s">
        <v>203</v>
      </c>
      <c r="F26" s="34"/>
      <c r="G26" s="34"/>
    </row>
    <row r="27" spans="5:7" ht="42">
      <c r="E27" s="18" t="s">
        <v>67</v>
      </c>
      <c r="F27" s="18" t="s">
        <v>204</v>
      </c>
      <c r="G27" s="18"/>
    </row>
    <row r="28" spans="5:7" ht="28">
      <c r="E28" s="18" t="s">
        <v>205</v>
      </c>
      <c r="F28" s="18" t="s">
        <v>206</v>
      </c>
      <c r="G28" s="18"/>
    </row>
    <row r="29" spans="5:7" ht="56">
      <c r="E29" s="18" t="s">
        <v>207</v>
      </c>
      <c r="F29" s="18" t="s">
        <v>208</v>
      </c>
      <c r="G29" s="18"/>
    </row>
    <row r="30" spans="5:7" ht="42">
      <c r="E30" s="18" t="s">
        <v>209</v>
      </c>
      <c r="F30" s="18" t="s">
        <v>210</v>
      </c>
      <c r="G30" s="18"/>
    </row>
    <row r="31" spans="5:7" ht="28">
      <c r="E31" s="18" t="s">
        <v>211</v>
      </c>
      <c r="F31" s="18" t="s">
        <v>212</v>
      </c>
      <c r="G31" s="18"/>
    </row>
    <row r="32" spans="5:7" ht="28">
      <c r="E32" s="18" t="s">
        <v>213</v>
      </c>
      <c r="F32" s="18" t="s">
        <v>214</v>
      </c>
      <c r="G32" s="18"/>
    </row>
    <row r="33" spans="5:7" ht="70">
      <c r="E33" s="18" t="s">
        <v>215</v>
      </c>
      <c r="F33" s="18" t="s">
        <v>216</v>
      </c>
      <c r="G33" s="18"/>
    </row>
    <row r="35" spans="5:7">
      <c r="E35" s="35" t="s">
        <v>217</v>
      </c>
      <c r="F35" s="35"/>
      <c r="G35" s="35"/>
    </row>
    <row r="36" spans="5:7" ht="42">
      <c r="E36" s="18" t="s">
        <v>218</v>
      </c>
      <c r="F36" s="18" t="s">
        <v>219</v>
      </c>
      <c r="G36" s="18"/>
    </row>
    <row r="37" spans="5:7" ht="42">
      <c r="E37" s="18" t="s">
        <v>220</v>
      </c>
      <c r="F37" s="18" t="s">
        <v>221</v>
      </c>
      <c r="G37" s="18"/>
    </row>
    <row r="38" spans="5:7" ht="28">
      <c r="E38" s="18" t="s">
        <v>222</v>
      </c>
      <c r="F38" s="18" t="s">
        <v>223</v>
      </c>
      <c r="G38" s="18"/>
    </row>
    <row r="39" spans="5:7" ht="28">
      <c r="E39" s="18" t="s">
        <v>224</v>
      </c>
      <c r="F39" s="18" t="s">
        <v>225</v>
      </c>
      <c r="G39" s="18"/>
    </row>
    <row r="40" spans="5:7" ht="42">
      <c r="E40" s="18" t="s">
        <v>67</v>
      </c>
      <c r="F40" s="18" t="s">
        <v>226</v>
      </c>
      <c r="G40" s="18"/>
    </row>
    <row r="41" spans="5:7" ht="42">
      <c r="E41" s="18" t="s">
        <v>227</v>
      </c>
      <c r="F41" s="18" t="s">
        <v>228</v>
      </c>
      <c r="G41" s="18"/>
    </row>
    <row r="42" spans="5:7" ht="56">
      <c r="E42" s="18" t="s">
        <v>229</v>
      </c>
      <c r="F42" s="18" t="s">
        <v>230</v>
      </c>
      <c r="G42" s="18"/>
    </row>
    <row r="44" spans="5:7">
      <c r="E44" s="36" t="s">
        <v>231</v>
      </c>
      <c r="F44" s="36"/>
      <c r="G44" s="36"/>
    </row>
    <row r="45" spans="5:7" ht="42">
      <c r="E45" s="18" t="s">
        <v>232</v>
      </c>
      <c r="F45" s="18" t="s">
        <v>233</v>
      </c>
      <c r="G45" s="18"/>
    </row>
    <row r="46" spans="5:7" ht="28">
      <c r="E46" s="18" t="s">
        <v>218</v>
      </c>
      <c r="F46" s="18" t="s">
        <v>234</v>
      </c>
      <c r="G46" s="18"/>
    </row>
    <row r="47" spans="5:7" ht="28">
      <c r="E47" s="18" t="s">
        <v>220</v>
      </c>
      <c r="F47" s="18" t="s">
        <v>235</v>
      </c>
      <c r="G47" s="18"/>
    </row>
    <row r="48" spans="5:7" ht="28">
      <c r="E48" s="18" t="s">
        <v>224</v>
      </c>
      <c r="F48" s="18" t="s">
        <v>236</v>
      </c>
      <c r="G48" s="18"/>
    </row>
    <row r="49" spans="5:7" ht="28">
      <c r="E49" s="18" t="s">
        <v>67</v>
      </c>
      <c r="F49" s="18" t="s">
        <v>237</v>
      </c>
      <c r="G49" s="18"/>
    </row>
    <row r="50" spans="5:7" ht="42">
      <c r="E50" s="18" t="s">
        <v>227</v>
      </c>
      <c r="F50" s="18" t="s">
        <v>238</v>
      </c>
      <c r="G50" s="18"/>
    </row>
    <row r="51" spans="5:7" ht="42">
      <c r="E51" s="18" t="s">
        <v>130</v>
      </c>
      <c r="F51" s="18" t="s">
        <v>239</v>
      </c>
      <c r="G51" s="18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39"/>
  <sheetViews>
    <sheetView workbookViewId="0">
      <selection sqref="A1:F1"/>
    </sheetView>
  </sheetViews>
  <sheetFormatPr baseColWidth="10" defaultColWidth="8.6640625" defaultRowHeight="14"/>
  <cols>
    <col min="1" max="2" width="34" customWidth="1"/>
    <col min="3" max="3" width="24" customWidth="1"/>
    <col min="4" max="4" width="14" customWidth="1"/>
    <col min="5" max="5" width="18" customWidth="1"/>
    <col min="6" max="6" width="60" customWidth="1"/>
  </cols>
  <sheetData>
    <row r="1" spans="1:6" ht="0.65" customHeight="1">
      <c r="A1" s="96" t="s">
        <v>240</v>
      </c>
      <c r="B1" s="89"/>
      <c r="C1" s="89"/>
      <c r="D1" s="89"/>
      <c r="E1" s="89"/>
      <c r="F1" s="89"/>
    </row>
    <row r="3" spans="1:6" ht="0.65" customHeight="1">
      <c r="A3" s="17" t="s">
        <v>241</v>
      </c>
      <c r="B3" s="17" t="s">
        <v>242</v>
      </c>
      <c r="C3" s="17" t="s">
        <v>243</v>
      </c>
      <c r="D3" s="17" t="s">
        <v>244</v>
      </c>
      <c r="E3" s="17" t="s">
        <v>245</v>
      </c>
      <c r="F3" s="17" t="s">
        <v>246</v>
      </c>
    </row>
    <row r="4" spans="1:6" ht="1.1499999999999999" customHeight="1">
      <c r="A4" s="19" t="s">
        <v>247</v>
      </c>
      <c r="B4" s="19" t="s">
        <v>248</v>
      </c>
      <c r="C4" s="19" t="s">
        <v>249</v>
      </c>
      <c r="D4" s="19">
        <v>1</v>
      </c>
      <c r="E4" s="19">
        <v>1</v>
      </c>
      <c r="F4" s="19" t="s">
        <v>250</v>
      </c>
    </row>
    <row r="5" spans="1:6">
      <c r="A5" t="s">
        <v>247</v>
      </c>
      <c r="B5" t="s">
        <v>251</v>
      </c>
      <c r="D5">
        <v>3</v>
      </c>
      <c r="E5">
        <v>1</v>
      </c>
    </row>
    <row r="6" spans="1:6">
      <c r="A6" t="s">
        <v>247</v>
      </c>
      <c r="B6" t="s">
        <v>252</v>
      </c>
      <c r="D6">
        <v>2</v>
      </c>
      <c r="E6">
        <v>1</v>
      </c>
    </row>
    <row r="7" spans="1:6">
      <c r="A7" t="s">
        <v>247</v>
      </c>
      <c r="B7" t="s">
        <v>253</v>
      </c>
      <c r="D7">
        <v>4</v>
      </c>
      <c r="E7">
        <v>1</v>
      </c>
    </row>
    <row r="8" spans="1:6">
      <c r="A8" t="s">
        <v>247</v>
      </c>
      <c r="B8" t="s">
        <v>254</v>
      </c>
      <c r="D8">
        <v>6</v>
      </c>
      <c r="E8">
        <v>2</v>
      </c>
    </row>
    <row r="9" spans="1:6">
      <c r="A9" t="s">
        <v>247</v>
      </c>
      <c r="B9" t="s">
        <v>255</v>
      </c>
      <c r="D9">
        <v>7</v>
      </c>
      <c r="E9">
        <v>2</v>
      </c>
    </row>
    <row r="10" spans="1:6">
      <c r="A10" t="s">
        <v>247</v>
      </c>
      <c r="B10" t="s">
        <v>256</v>
      </c>
      <c r="D10">
        <v>5</v>
      </c>
      <c r="E10">
        <v>2</v>
      </c>
    </row>
    <row r="11" spans="1:6">
      <c r="A11" t="s">
        <v>247</v>
      </c>
      <c r="B11" t="s">
        <v>257</v>
      </c>
      <c r="D11">
        <v>8</v>
      </c>
      <c r="E11">
        <v>2</v>
      </c>
    </row>
    <row r="12" spans="1:6">
      <c r="A12" t="s">
        <v>247</v>
      </c>
      <c r="B12" t="s">
        <v>258</v>
      </c>
      <c r="D12">
        <v>9</v>
      </c>
      <c r="E12">
        <v>3</v>
      </c>
    </row>
    <row r="13" spans="1:6">
      <c r="A13" t="s">
        <v>247</v>
      </c>
      <c r="B13" t="s">
        <v>259</v>
      </c>
      <c r="D13">
        <v>11</v>
      </c>
      <c r="E13">
        <v>3</v>
      </c>
    </row>
    <row r="14" spans="1:6">
      <c r="A14" t="s">
        <v>247</v>
      </c>
      <c r="B14" t="s">
        <v>260</v>
      </c>
      <c r="D14">
        <v>10</v>
      </c>
      <c r="E14">
        <v>3</v>
      </c>
    </row>
    <row r="15" spans="1:6">
      <c r="A15" t="s">
        <v>247</v>
      </c>
      <c r="B15" t="s">
        <v>261</v>
      </c>
      <c r="D15">
        <v>12</v>
      </c>
      <c r="E15">
        <v>3</v>
      </c>
    </row>
    <row r="16" spans="1:6">
      <c r="A16" t="s">
        <v>247</v>
      </c>
      <c r="B16" t="s">
        <v>262</v>
      </c>
      <c r="D16">
        <v>15</v>
      </c>
      <c r="E16">
        <v>4</v>
      </c>
    </row>
    <row r="17" spans="1:5">
      <c r="A17" t="s">
        <v>247</v>
      </c>
      <c r="B17" t="s">
        <v>263</v>
      </c>
      <c r="D17">
        <v>14</v>
      </c>
      <c r="E17">
        <v>4</v>
      </c>
    </row>
    <row r="18" spans="1:5">
      <c r="A18" t="s">
        <v>247</v>
      </c>
      <c r="B18" t="s">
        <v>264</v>
      </c>
      <c r="D18">
        <v>13</v>
      </c>
      <c r="E18">
        <v>4</v>
      </c>
    </row>
    <row r="19" spans="1:5">
      <c r="A19" t="s">
        <v>247</v>
      </c>
      <c r="B19" t="s">
        <v>265</v>
      </c>
      <c r="D19">
        <v>16</v>
      </c>
      <c r="E19">
        <v>4</v>
      </c>
    </row>
    <row r="20" spans="1:5">
      <c r="A20" t="s">
        <v>247</v>
      </c>
      <c r="B20" t="s">
        <v>266</v>
      </c>
      <c r="D20">
        <v>17</v>
      </c>
      <c r="E20">
        <v>5</v>
      </c>
    </row>
    <row r="21" spans="1:5">
      <c r="A21" t="s">
        <v>247</v>
      </c>
      <c r="B21" t="s">
        <v>267</v>
      </c>
      <c r="D21">
        <v>19</v>
      </c>
      <c r="E21">
        <v>5</v>
      </c>
    </row>
    <row r="22" spans="1:5">
      <c r="A22" t="s">
        <v>247</v>
      </c>
      <c r="B22" t="s">
        <v>268</v>
      </c>
      <c r="D22">
        <v>18</v>
      </c>
      <c r="E22">
        <v>5</v>
      </c>
    </row>
    <row r="23" spans="1:5">
      <c r="A23" t="s">
        <v>247</v>
      </c>
      <c r="B23" t="s">
        <v>269</v>
      </c>
      <c r="D23">
        <v>20</v>
      </c>
      <c r="E23">
        <v>5</v>
      </c>
    </row>
    <row r="24" spans="1:5">
      <c r="A24" t="s">
        <v>247</v>
      </c>
      <c r="B24" t="s">
        <v>270</v>
      </c>
      <c r="D24">
        <v>21</v>
      </c>
      <c r="E24">
        <v>6</v>
      </c>
    </row>
    <row r="25" spans="1:5">
      <c r="A25" t="s">
        <v>247</v>
      </c>
      <c r="B25" t="s">
        <v>271</v>
      </c>
      <c r="D25">
        <v>22</v>
      </c>
      <c r="E25">
        <v>6</v>
      </c>
    </row>
    <row r="26" spans="1:5">
      <c r="A26" t="s">
        <v>247</v>
      </c>
      <c r="B26" t="s">
        <v>272</v>
      </c>
      <c r="D26">
        <v>23</v>
      </c>
      <c r="E26">
        <v>6</v>
      </c>
    </row>
    <row r="27" spans="1:5">
      <c r="A27" t="s">
        <v>247</v>
      </c>
      <c r="B27" t="s">
        <v>273</v>
      </c>
      <c r="D27">
        <v>24</v>
      </c>
      <c r="E27">
        <v>6</v>
      </c>
    </row>
    <row r="28" spans="1:5">
      <c r="A28" t="s">
        <v>247</v>
      </c>
      <c r="B28" t="s">
        <v>274</v>
      </c>
      <c r="D28">
        <v>25</v>
      </c>
      <c r="E28">
        <v>7</v>
      </c>
    </row>
    <row r="29" spans="1:5">
      <c r="A29" t="s">
        <v>247</v>
      </c>
      <c r="B29" t="s">
        <v>275</v>
      </c>
      <c r="D29">
        <v>26</v>
      </c>
      <c r="E29">
        <v>7</v>
      </c>
    </row>
    <row r="30" spans="1:5">
      <c r="A30" t="s">
        <v>247</v>
      </c>
      <c r="B30" t="s">
        <v>276</v>
      </c>
      <c r="D30">
        <v>27</v>
      </c>
      <c r="E30">
        <v>7</v>
      </c>
    </row>
    <row r="31" spans="1:5">
      <c r="A31" t="s">
        <v>247</v>
      </c>
      <c r="B31" t="s">
        <v>277</v>
      </c>
      <c r="D31">
        <v>28</v>
      </c>
      <c r="E31">
        <v>7</v>
      </c>
    </row>
    <row r="32" spans="1:5">
      <c r="A32" t="s">
        <v>278</v>
      </c>
      <c r="B32" t="s">
        <v>248</v>
      </c>
      <c r="D32">
        <v>1</v>
      </c>
      <c r="E32">
        <v>1</v>
      </c>
    </row>
    <row r="33" spans="1:5">
      <c r="A33" t="s">
        <v>278</v>
      </c>
      <c r="B33" t="s">
        <v>251</v>
      </c>
      <c r="D33">
        <v>3</v>
      </c>
      <c r="E33">
        <v>1</v>
      </c>
    </row>
    <row r="34" spans="1:5">
      <c r="A34" t="s">
        <v>278</v>
      </c>
      <c r="B34" t="s">
        <v>252</v>
      </c>
      <c r="D34">
        <v>2</v>
      </c>
      <c r="E34">
        <v>1</v>
      </c>
    </row>
    <row r="35" spans="1:5">
      <c r="A35" t="s">
        <v>278</v>
      </c>
      <c r="B35" t="s">
        <v>253</v>
      </c>
      <c r="D35">
        <v>4</v>
      </c>
      <c r="E35">
        <v>1</v>
      </c>
    </row>
    <row r="36" spans="1:5">
      <c r="A36" t="s">
        <v>278</v>
      </c>
      <c r="B36" t="s">
        <v>254</v>
      </c>
      <c r="D36">
        <v>6</v>
      </c>
      <c r="E36">
        <v>2</v>
      </c>
    </row>
    <row r="37" spans="1:5">
      <c r="A37" t="s">
        <v>278</v>
      </c>
      <c r="B37" t="s">
        <v>255</v>
      </c>
      <c r="D37">
        <v>7</v>
      </c>
      <c r="E37">
        <v>2</v>
      </c>
    </row>
    <row r="38" spans="1:5">
      <c r="A38" t="s">
        <v>278</v>
      </c>
      <c r="B38" t="s">
        <v>256</v>
      </c>
      <c r="D38">
        <v>5</v>
      </c>
      <c r="E38">
        <v>2</v>
      </c>
    </row>
    <row r="39" spans="1:5">
      <c r="A39" t="s">
        <v>278</v>
      </c>
      <c r="B39" t="s">
        <v>257</v>
      </c>
      <c r="D39">
        <v>8</v>
      </c>
      <c r="E39">
        <v>2</v>
      </c>
    </row>
    <row r="40" spans="1:5">
      <c r="A40" t="s">
        <v>278</v>
      </c>
      <c r="B40" t="s">
        <v>279</v>
      </c>
      <c r="D40">
        <v>10</v>
      </c>
      <c r="E40">
        <v>3</v>
      </c>
    </row>
    <row r="41" spans="1:5">
      <c r="A41" t="s">
        <v>278</v>
      </c>
      <c r="B41" t="s">
        <v>280</v>
      </c>
      <c r="D41">
        <v>11</v>
      </c>
      <c r="E41">
        <v>3</v>
      </c>
    </row>
    <row r="42" spans="1:5">
      <c r="A42" t="s">
        <v>278</v>
      </c>
      <c r="B42" t="s">
        <v>281</v>
      </c>
      <c r="D42">
        <v>9</v>
      </c>
      <c r="E42">
        <v>3</v>
      </c>
    </row>
    <row r="43" spans="1:5">
      <c r="A43" t="s">
        <v>278</v>
      </c>
      <c r="B43" t="s">
        <v>261</v>
      </c>
      <c r="D43">
        <v>12</v>
      </c>
      <c r="E43">
        <v>3</v>
      </c>
    </row>
    <row r="44" spans="1:5">
      <c r="A44" t="s">
        <v>278</v>
      </c>
      <c r="B44" t="s">
        <v>282</v>
      </c>
      <c r="D44">
        <v>13</v>
      </c>
      <c r="E44">
        <v>4</v>
      </c>
    </row>
    <row r="45" spans="1:5">
      <c r="A45" t="s">
        <v>278</v>
      </c>
      <c r="B45" t="s">
        <v>283</v>
      </c>
      <c r="D45">
        <v>14</v>
      </c>
      <c r="E45">
        <v>4</v>
      </c>
    </row>
    <row r="46" spans="1:5">
      <c r="A46" t="s">
        <v>278</v>
      </c>
      <c r="B46" t="s">
        <v>284</v>
      </c>
      <c r="D46">
        <v>15</v>
      </c>
      <c r="E46">
        <v>4</v>
      </c>
    </row>
    <row r="47" spans="1:5">
      <c r="A47" t="s">
        <v>278</v>
      </c>
      <c r="B47" t="s">
        <v>265</v>
      </c>
      <c r="D47">
        <v>16</v>
      </c>
      <c r="E47">
        <v>4</v>
      </c>
    </row>
    <row r="48" spans="1:5">
      <c r="A48" t="s">
        <v>278</v>
      </c>
      <c r="B48" t="s">
        <v>285</v>
      </c>
      <c r="D48">
        <v>17</v>
      </c>
      <c r="E48">
        <v>5</v>
      </c>
    </row>
    <row r="49" spans="1:5">
      <c r="A49" t="s">
        <v>278</v>
      </c>
      <c r="B49" t="s">
        <v>286</v>
      </c>
      <c r="D49">
        <v>18</v>
      </c>
      <c r="E49">
        <v>5</v>
      </c>
    </row>
    <row r="50" spans="1:5">
      <c r="A50" t="s">
        <v>278</v>
      </c>
      <c r="B50" t="s">
        <v>267</v>
      </c>
      <c r="D50">
        <v>19</v>
      </c>
      <c r="E50">
        <v>5</v>
      </c>
    </row>
    <row r="51" spans="1:5">
      <c r="A51" t="s">
        <v>278</v>
      </c>
      <c r="B51" t="s">
        <v>269</v>
      </c>
      <c r="D51">
        <v>20</v>
      </c>
      <c r="E51">
        <v>5</v>
      </c>
    </row>
    <row r="52" spans="1:5">
      <c r="A52" t="s">
        <v>278</v>
      </c>
      <c r="B52" t="s">
        <v>287</v>
      </c>
      <c r="D52">
        <v>21</v>
      </c>
      <c r="E52">
        <v>6</v>
      </c>
    </row>
    <row r="53" spans="1:5">
      <c r="A53" t="s">
        <v>278</v>
      </c>
      <c r="B53" t="s">
        <v>288</v>
      </c>
      <c r="D53">
        <v>22</v>
      </c>
      <c r="E53">
        <v>6</v>
      </c>
    </row>
    <row r="54" spans="1:5">
      <c r="A54" t="s">
        <v>278</v>
      </c>
      <c r="B54" t="s">
        <v>289</v>
      </c>
      <c r="D54">
        <v>23</v>
      </c>
      <c r="E54">
        <v>6</v>
      </c>
    </row>
    <row r="55" spans="1:5">
      <c r="A55" t="s">
        <v>278</v>
      </c>
      <c r="B55" t="s">
        <v>273</v>
      </c>
      <c r="D55">
        <v>24</v>
      </c>
      <c r="E55">
        <v>6</v>
      </c>
    </row>
    <row r="56" spans="1:5">
      <c r="A56" t="s">
        <v>278</v>
      </c>
      <c r="B56" t="s">
        <v>290</v>
      </c>
      <c r="D56">
        <v>25</v>
      </c>
      <c r="E56">
        <v>7</v>
      </c>
    </row>
    <row r="57" spans="1:5">
      <c r="A57" t="s">
        <v>278</v>
      </c>
      <c r="B57" t="s">
        <v>291</v>
      </c>
      <c r="D57">
        <v>26</v>
      </c>
      <c r="E57">
        <v>7</v>
      </c>
    </row>
    <row r="58" spans="1:5">
      <c r="A58" t="s">
        <v>278</v>
      </c>
      <c r="B58" t="s">
        <v>292</v>
      </c>
      <c r="D58">
        <v>27</v>
      </c>
      <c r="E58">
        <v>7</v>
      </c>
    </row>
    <row r="59" spans="1:5">
      <c r="A59" t="s">
        <v>278</v>
      </c>
      <c r="B59" t="s">
        <v>277</v>
      </c>
      <c r="D59">
        <v>28</v>
      </c>
      <c r="E59">
        <v>7</v>
      </c>
    </row>
    <row r="60" spans="1:5">
      <c r="A60" t="s">
        <v>293</v>
      </c>
      <c r="B60" t="s">
        <v>248</v>
      </c>
      <c r="D60">
        <v>1</v>
      </c>
      <c r="E60">
        <v>1</v>
      </c>
    </row>
    <row r="61" spans="1:5">
      <c r="A61" t="s">
        <v>293</v>
      </c>
      <c r="B61" t="s">
        <v>251</v>
      </c>
      <c r="D61">
        <v>3</v>
      </c>
      <c r="E61">
        <v>1</v>
      </c>
    </row>
    <row r="62" spans="1:5">
      <c r="A62" t="s">
        <v>293</v>
      </c>
      <c r="B62" t="s">
        <v>252</v>
      </c>
      <c r="D62">
        <v>2</v>
      </c>
      <c r="E62">
        <v>1</v>
      </c>
    </row>
    <row r="63" spans="1:5">
      <c r="A63" t="s">
        <v>293</v>
      </c>
      <c r="B63" t="s">
        <v>253</v>
      </c>
      <c r="D63">
        <v>4</v>
      </c>
      <c r="E63">
        <v>1</v>
      </c>
    </row>
    <row r="64" spans="1:5">
      <c r="A64" t="s">
        <v>293</v>
      </c>
      <c r="B64" t="s">
        <v>254</v>
      </c>
      <c r="D64">
        <v>6</v>
      </c>
      <c r="E64">
        <v>2</v>
      </c>
    </row>
    <row r="65" spans="1:5">
      <c r="A65" t="s">
        <v>293</v>
      </c>
      <c r="B65" t="s">
        <v>255</v>
      </c>
      <c r="D65">
        <v>7</v>
      </c>
      <c r="E65">
        <v>2</v>
      </c>
    </row>
    <row r="66" spans="1:5">
      <c r="A66" t="s">
        <v>293</v>
      </c>
      <c r="B66" t="s">
        <v>256</v>
      </c>
      <c r="D66">
        <v>5</v>
      </c>
      <c r="E66">
        <v>2</v>
      </c>
    </row>
    <row r="67" spans="1:5">
      <c r="A67" t="s">
        <v>293</v>
      </c>
      <c r="B67" t="s">
        <v>257</v>
      </c>
      <c r="D67">
        <v>8</v>
      </c>
      <c r="E67">
        <v>2</v>
      </c>
    </row>
    <row r="68" spans="1:5">
      <c r="A68" t="s">
        <v>293</v>
      </c>
      <c r="B68" t="s">
        <v>294</v>
      </c>
      <c r="D68">
        <v>11</v>
      </c>
      <c r="E68">
        <v>3</v>
      </c>
    </row>
    <row r="69" spans="1:5">
      <c r="A69" t="s">
        <v>293</v>
      </c>
      <c r="B69" t="s">
        <v>295</v>
      </c>
      <c r="D69">
        <v>10</v>
      </c>
      <c r="E69">
        <v>3</v>
      </c>
    </row>
    <row r="70" spans="1:5">
      <c r="A70" t="s">
        <v>293</v>
      </c>
      <c r="B70" t="s">
        <v>296</v>
      </c>
      <c r="D70">
        <v>9</v>
      </c>
      <c r="E70">
        <v>3</v>
      </c>
    </row>
    <row r="71" spans="1:5">
      <c r="A71" t="s">
        <v>293</v>
      </c>
      <c r="B71" t="s">
        <v>261</v>
      </c>
      <c r="D71">
        <v>12</v>
      </c>
      <c r="E71">
        <v>3</v>
      </c>
    </row>
    <row r="72" spans="1:5">
      <c r="A72" t="s">
        <v>293</v>
      </c>
      <c r="B72" t="s">
        <v>297</v>
      </c>
      <c r="D72">
        <v>13</v>
      </c>
      <c r="E72">
        <v>4</v>
      </c>
    </row>
    <row r="73" spans="1:5">
      <c r="A73" t="s">
        <v>293</v>
      </c>
      <c r="B73" t="s">
        <v>298</v>
      </c>
      <c r="D73">
        <v>15</v>
      </c>
      <c r="E73">
        <v>4</v>
      </c>
    </row>
    <row r="74" spans="1:5">
      <c r="A74" t="s">
        <v>293</v>
      </c>
      <c r="B74" t="s">
        <v>264</v>
      </c>
      <c r="D74">
        <v>14</v>
      </c>
      <c r="E74">
        <v>4</v>
      </c>
    </row>
    <row r="75" spans="1:5">
      <c r="A75" t="s">
        <v>293</v>
      </c>
      <c r="B75" t="s">
        <v>265</v>
      </c>
      <c r="D75">
        <v>16</v>
      </c>
      <c r="E75">
        <v>4</v>
      </c>
    </row>
    <row r="76" spans="1:5">
      <c r="A76" t="s">
        <v>293</v>
      </c>
      <c r="B76" t="s">
        <v>299</v>
      </c>
      <c r="D76">
        <v>17</v>
      </c>
      <c r="E76">
        <v>5</v>
      </c>
    </row>
    <row r="77" spans="1:5">
      <c r="A77" t="s">
        <v>293</v>
      </c>
      <c r="B77" t="s">
        <v>300</v>
      </c>
      <c r="D77">
        <v>18</v>
      </c>
      <c r="E77">
        <v>5</v>
      </c>
    </row>
    <row r="78" spans="1:5">
      <c r="A78" t="s">
        <v>293</v>
      </c>
      <c r="B78" t="s">
        <v>301</v>
      </c>
      <c r="D78">
        <v>19</v>
      </c>
      <c r="E78">
        <v>5</v>
      </c>
    </row>
    <row r="79" spans="1:5">
      <c r="A79" t="s">
        <v>293</v>
      </c>
      <c r="B79" t="s">
        <v>269</v>
      </c>
      <c r="D79">
        <v>20</v>
      </c>
      <c r="E79">
        <v>5</v>
      </c>
    </row>
    <row r="80" spans="1:5">
      <c r="A80" t="s">
        <v>293</v>
      </c>
      <c r="B80" t="s">
        <v>287</v>
      </c>
      <c r="D80">
        <v>21</v>
      </c>
      <c r="E80">
        <v>6</v>
      </c>
    </row>
    <row r="81" spans="1:5">
      <c r="A81" t="s">
        <v>293</v>
      </c>
      <c r="B81" t="s">
        <v>288</v>
      </c>
      <c r="D81">
        <v>22</v>
      </c>
      <c r="E81">
        <v>6</v>
      </c>
    </row>
    <row r="82" spans="1:5">
      <c r="A82" t="s">
        <v>293</v>
      </c>
      <c r="B82" t="s">
        <v>289</v>
      </c>
      <c r="D82">
        <v>23</v>
      </c>
      <c r="E82">
        <v>6</v>
      </c>
    </row>
    <row r="83" spans="1:5">
      <c r="A83" t="s">
        <v>293</v>
      </c>
      <c r="B83" t="s">
        <v>273</v>
      </c>
      <c r="D83">
        <v>24</v>
      </c>
      <c r="E83">
        <v>6</v>
      </c>
    </row>
    <row r="84" spans="1:5">
      <c r="A84" t="s">
        <v>293</v>
      </c>
      <c r="B84" t="s">
        <v>290</v>
      </c>
      <c r="D84">
        <v>25</v>
      </c>
      <c r="E84">
        <v>7</v>
      </c>
    </row>
    <row r="85" spans="1:5">
      <c r="A85" t="s">
        <v>293</v>
      </c>
      <c r="B85" t="s">
        <v>291</v>
      </c>
      <c r="D85">
        <v>26</v>
      </c>
      <c r="E85">
        <v>7</v>
      </c>
    </row>
    <row r="86" spans="1:5">
      <c r="A86" t="s">
        <v>293</v>
      </c>
      <c r="B86" t="s">
        <v>292</v>
      </c>
      <c r="D86">
        <v>27</v>
      </c>
      <c r="E86">
        <v>7</v>
      </c>
    </row>
    <row r="87" spans="1:5">
      <c r="A87" t="s">
        <v>293</v>
      </c>
      <c r="B87" t="s">
        <v>277</v>
      </c>
      <c r="D87">
        <v>28</v>
      </c>
      <c r="E87">
        <v>7</v>
      </c>
    </row>
    <row r="88" spans="1:5">
      <c r="A88" t="s">
        <v>302</v>
      </c>
      <c r="B88" t="s">
        <v>248</v>
      </c>
      <c r="D88">
        <v>1</v>
      </c>
      <c r="E88">
        <v>1</v>
      </c>
    </row>
    <row r="89" spans="1:5">
      <c r="A89" t="s">
        <v>302</v>
      </c>
      <c r="B89" t="s">
        <v>251</v>
      </c>
      <c r="D89">
        <v>3</v>
      </c>
      <c r="E89">
        <v>1</v>
      </c>
    </row>
    <row r="90" spans="1:5">
      <c r="A90" t="s">
        <v>302</v>
      </c>
      <c r="B90" t="s">
        <v>252</v>
      </c>
      <c r="D90">
        <v>2</v>
      </c>
      <c r="E90">
        <v>1</v>
      </c>
    </row>
    <row r="91" spans="1:5">
      <c r="A91" t="s">
        <v>302</v>
      </c>
      <c r="B91" t="s">
        <v>253</v>
      </c>
      <c r="D91">
        <v>4</v>
      </c>
      <c r="E91">
        <v>1</v>
      </c>
    </row>
    <row r="92" spans="1:5">
      <c r="A92" t="s">
        <v>302</v>
      </c>
      <c r="B92" t="s">
        <v>254</v>
      </c>
      <c r="D92">
        <v>6</v>
      </c>
      <c r="E92">
        <v>2</v>
      </c>
    </row>
    <row r="93" spans="1:5">
      <c r="A93" t="s">
        <v>302</v>
      </c>
      <c r="B93" t="s">
        <v>255</v>
      </c>
      <c r="D93">
        <v>7</v>
      </c>
      <c r="E93">
        <v>2</v>
      </c>
    </row>
    <row r="94" spans="1:5">
      <c r="A94" t="s">
        <v>302</v>
      </c>
      <c r="B94" t="s">
        <v>256</v>
      </c>
      <c r="D94">
        <v>5</v>
      </c>
      <c r="E94">
        <v>2</v>
      </c>
    </row>
    <row r="95" spans="1:5">
      <c r="A95" t="s">
        <v>302</v>
      </c>
      <c r="B95" t="s">
        <v>257</v>
      </c>
      <c r="D95">
        <v>8</v>
      </c>
      <c r="E95">
        <v>2</v>
      </c>
    </row>
    <row r="96" spans="1:5">
      <c r="A96" t="s">
        <v>302</v>
      </c>
      <c r="B96" t="s">
        <v>303</v>
      </c>
      <c r="D96">
        <v>11</v>
      </c>
      <c r="E96">
        <v>3</v>
      </c>
    </row>
    <row r="97" spans="1:5">
      <c r="A97" t="s">
        <v>302</v>
      </c>
      <c r="B97" t="s">
        <v>304</v>
      </c>
      <c r="D97">
        <v>9</v>
      </c>
      <c r="E97">
        <v>3</v>
      </c>
    </row>
    <row r="98" spans="1:5">
      <c r="A98" t="s">
        <v>302</v>
      </c>
      <c r="B98" t="s">
        <v>305</v>
      </c>
      <c r="D98">
        <v>10</v>
      </c>
      <c r="E98">
        <v>3</v>
      </c>
    </row>
    <row r="99" spans="1:5">
      <c r="A99" t="s">
        <v>302</v>
      </c>
      <c r="B99" t="s">
        <v>261</v>
      </c>
      <c r="D99">
        <v>12</v>
      </c>
      <c r="E99">
        <v>3</v>
      </c>
    </row>
    <row r="100" spans="1:5">
      <c r="A100" t="s">
        <v>302</v>
      </c>
      <c r="B100" t="s">
        <v>306</v>
      </c>
      <c r="D100">
        <v>15</v>
      </c>
      <c r="E100">
        <v>4</v>
      </c>
    </row>
    <row r="101" spans="1:5">
      <c r="A101" t="s">
        <v>302</v>
      </c>
      <c r="B101" t="s">
        <v>307</v>
      </c>
      <c r="D101">
        <v>17</v>
      </c>
      <c r="E101">
        <v>5</v>
      </c>
    </row>
    <row r="102" spans="1:5">
      <c r="A102" t="s">
        <v>302</v>
      </c>
      <c r="B102" t="s">
        <v>308</v>
      </c>
      <c r="D102">
        <v>18</v>
      </c>
      <c r="E102">
        <v>5</v>
      </c>
    </row>
    <row r="103" spans="1:5">
      <c r="A103" t="s">
        <v>302</v>
      </c>
      <c r="B103" t="s">
        <v>309</v>
      </c>
      <c r="D103">
        <v>13</v>
      </c>
      <c r="E103">
        <v>4</v>
      </c>
    </row>
    <row r="104" spans="1:5">
      <c r="A104" t="s">
        <v>302</v>
      </c>
      <c r="B104" t="s">
        <v>310</v>
      </c>
      <c r="D104">
        <v>19</v>
      </c>
      <c r="E104">
        <v>5</v>
      </c>
    </row>
    <row r="105" spans="1:5">
      <c r="A105" t="s">
        <v>302</v>
      </c>
      <c r="B105" t="s">
        <v>269</v>
      </c>
      <c r="D105">
        <v>20</v>
      </c>
      <c r="E105">
        <v>5</v>
      </c>
    </row>
    <row r="106" spans="1:5">
      <c r="A106" t="s">
        <v>302</v>
      </c>
      <c r="B106" t="s">
        <v>260</v>
      </c>
      <c r="D106">
        <v>14</v>
      </c>
      <c r="E106">
        <v>4</v>
      </c>
    </row>
    <row r="107" spans="1:5">
      <c r="A107" t="s">
        <v>302</v>
      </c>
      <c r="B107" t="s">
        <v>265</v>
      </c>
      <c r="D107">
        <v>16</v>
      </c>
      <c r="E107">
        <v>4</v>
      </c>
    </row>
    <row r="108" spans="1:5">
      <c r="A108" t="s">
        <v>302</v>
      </c>
      <c r="B108" t="s">
        <v>270</v>
      </c>
      <c r="D108">
        <v>21</v>
      </c>
      <c r="E108">
        <v>6</v>
      </c>
    </row>
    <row r="109" spans="1:5">
      <c r="A109" t="s">
        <v>302</v>
      </c>
      <c r="B109" t="s">
        <v>271</v>
      </c>
      <c r="D109">
        <v>22</v>
      </c>
      <c r="E109">
        <v>6</v>
      </c>
    </row>
    <row r="110" spans="1:5">
      <c r="A110" t="s">
        <v>302</v>
      </c>
      <c r="B110" t="s">
        <v>272</v>
      </c>
      <c r="D110">
        <v>23</v>
      </c>
      <c r="E110">
        <v>6</v>
      </c>
    </row>
    <row r="111" spans="1:5">
      <c r="A111" t="s">
        <v>302</v>
      </c>
      <c r="B111" t="s">
        <v>273</v>
      </c>
      <c r="D111">
        <v>24</v>
      </c>
      <c r="E111">
        <v>6</v>
      </c>
    </row>
    <row r="112" spans="1:5">
      <c r="A112" t="s">
        <v>302</v>
      </c>
      <c r="B112" t="s">
        <v>274</v>
      </c>
      <c r="D112">
        <v>25</v>
      </c>
      <c r="E112">
        <v>7</v>
      </c>
    </row>
    <row r="113" spans="1:5">
      <c r="A113" t="s">
        <v>302</v>
      </c>
      <c r="B113" t="s">
        <v>275</v>
      </c>
      <c r="D113">
        <v>26</v>
      </c>
      <c r="E113">
        <v>7</v>
      </c>
    </row>
    <row r="114" spans="1:5">
      <c r="A114" t="s">
        <v>302</v>
      </c>
      <c r="B114" t="s">
        <v>276</v>
      </c>
      <c r="D114">
        <v>27</v>
      </c>
      <c r="E114">
        <v>7</v>
      </c>
    </row>
    <row r="115" spans="1:5">
      <c r="A115" t="s">
        <v>302</v>
      </c>
      <c r="B115" t="s">
        <v>277</v>
      </c>
      <c r="D115">
        <v>28</v>
      </c>
      <c r="E115">
        <v>7</v>
      </c>
    </row>
    <row r="116" spans="1:5">
      <c r="A116" t="s">
        <v>311</v>
      </c>
      <c r="B116" t="s">
        <v>312</v>
      </c>
      <c r="D116">
        <v>3</v>
      </c>
      <c r="E116">
        <v>1</v>
      </c>
    </row>
    <row r="117" spans="1:5">
      <c r="A117" t="s">
        <v>311</v>
      </c>
      <c r="B117" t="s">
        <v>313</v>
      </c>
      <c r="D117">
        <v>1</v>
      </c>
      <c r="E117">
        <v>1</v>
      </c>
    </row>
    <row r="118" spans="1:5">
      <c r="A118" t="s">
        <v>311</v>
      </c>
      <c r="B118" t="s">
        <v>314</v>
      </c>
      <c r="D118">
        <v>2</v>
      </c>
      <c r="E118">
        <v>1</v>
      </c>
    </row>
    <row r="119" spans="1:5">
      <c r="A119" t="s">
        <v>311</v>
      </c>
      <c r="B119" t="s">
        <v>253</v>
      </c>
      <c r="D119">
        <v>4</v>
      </c>
      <c r="E119">
        <v>1</v>
      </c>
    </row>
    <row r="120" spans="1:5">
      <c r="A120" t="s">
        <v>311</v>
      </c>
      <c r="B120" t="s">
        <v>315</v>
      </c>
      <c r="D120">
        <v>6</v>
      </c>
      <c r="E120">
        <v>2</v>
      </c>
    </row>
    <row r="121" spans="1:5">
      <c r="A121" t="s">
        <v>311</v>
      </c>
      <c r="B121" t="s">
        <v>316</v>
      </c>
      <c r="D121">
        <v>5</v>
      </c>
      <c r="E121">
        <v>2</v>
      </c>
    </row>
    <row r="122" spans="1:5">
      <c r="A122" t="s">
        <v>311</v>
      </c>
      <c r="B122" t="s">
        <v>317</v>
      </c>
      <c r="D122">
        <v>7</v>
      </c>
      <c r="E122">
        <v>2</v>
      </c>
    </row>
    <row r="123" spans="1:5">
      <c r="A123" t="s">
        <v>311</v>
      </c>
      <c r="B123" t="s">
        <v>257</v>
      </c>
      <c r="D123">
        <v>8</v>
      </c>
      <c r="E123">
        <v>2</v>
      </c>
    </row>
    <row r="124" spans="1:5">
      <c r="A124" t="s">
        <v>311</v>
      </c>
      <c r="B124" t="s">
        <v>318</v>
      </c>
      <c r="D124">
        <v>10</v>
      </c>
      <c r="E124">
        <v>3</v>
      </c>
    </row>
    <row r="125" spans="1:5">
      <c r="A125" t="s">
        <v>311</v>
      </c>
      <c r="B125" t="s">
        <v>319</v>
      </c>
      <c r="D125">
        <v>11</v>
      </c>
      <c r="E125">
        <v>3</v>
      </c>
    </row>
    <row r="126" spans="1:5">
      <c r="A126" t="s">
        <v>311</v>
      </c>
      <c r="B126" t="s">
        <v>320</v>
      </c>
      <c r="D126">
        <v>9</v>
      </c>
      <c r="E126">
        <v>3</v>
      </c>
    </row>
    <row r="127" spans="1:5">
      <c r="A127" t="s">
        <v>311</v>
      </c>
      <c r="B127" t="s">
        <v>261</v>
      </c>
      <c r="D127">
        <v>12</v>
      </c>
      <c r="E127">
        <v>3</v>
      </c>
    </row>
    <row r="128" spans="1:5">
      <c r="A128" t="s">
        <v>311</v>
      </c>
      <c r="B128" t="s">
        <v>321</v>
      </c>
      <c r="D128">
        <v>15</v>
      </c>
      <c r="E128">
        <v>4</v>
      </c>
    </row>
    <row r="129" spans="1:5">
      <c r="A129" t="s">
        <v>311</v>
      </c>
      <c r="B129" t="s">
        <v>322</v>
      </c>
      <c r="D129">
        <v>14</v>
      </c>
      <c r="E129">
        <v>4</v>
      </c>
    </row>
    <row r="130" spans="1:5">
      <c r="A130" t="s">
        <v>311</v>
      </c>
      <c r="B130" t="s">
        <v>323</v>
      </c>
      <c r="D130">
        <v>13</v>
      </c>
      <c r="E130">
        <v>4</v>
      </c>
    </row>
    <row r="131" spans="1:5">
      <c r="A131" t="s">
        <v>311</v>
      </c>
      <c r="B131" t="s">
        <v>265</v>
      </c>
      <c r="D131">
        <v>16</v>
      </c>
      <c r="E131">
        <v>4</v>
      </c>
    </row>
    <row r="132" spans="1:5">
      <c r="A132" t="s">
        <v>311</v>
      </c>
      <c r="B132" t="s">
        <v>324</v>
      </c>
      <c r="D132">
        <v>19</v>
      </c>
      <c r="E132">
        <v>5</v>
      </c>
    </row>
    <row r="133" spans="1:5">
      <c r="A133" t="s">
        <v>311</v>
      </c>
      <c r="B133" t="s">
        <v>325</v>
      </c>
      <c r="D133">
        <v>18</v>
      </c>
      <c r="E133">
        <v>5</v>
      </c>
    </row>
    <row r="134" spans="1:5">
      <c r="A134" t="s">
        <v>311</v>
      </c>
      <c r="B134" t="s">
        <v>326</v>
      </c>
      <c r="D134">
        <v>17</v>
      </c>
      <c r="E134">
        <v>5</v>
      </c>
    </row>
    <row r="135" spans="1:5">
      <c r="A135" t="s">
        <v>311</v>
      </c>
      <c r="B135" t="s">
        <v>269</v>
      </c>
      <c r="D135">
        <v>20</v>
      </c>
      <c r="E135">
        <v>5</v>
      </c>
    </row>
    <row r="136" spans="1:5">
      <c r="A136" t="s">
        <v>311</v>
      </c>
      <c r="B136" t="s">
        <v>287</v>
      </c>
      <c r="D136">
        <v>21</v>
      </c>
      <c r="E136">
        <v>6</v>
      </c>
    </row>
    <row r="137" spans="1:5">
      <c r="A137" t="s">
        <v>311</v>
      </c>
      <c r="B137" t="s">
        <v>288</v>
      </c>
      <c r="D137">
        <v>22</v>
      </c>
      <c r="E137">
        <v>6</v>
      </c>
    </row>
    <row r="138" spans="1:5">
      <c r="A138" t="s">
        <v>311</v>
      </c>
      <c r="B138" t="s">
        <v>289</v>
      </c>
      <c r="D138">
        <v>23</v>
      </c>
      <c r="E138">
        <v>6</v>
      </c>
    </row>
    <row r="139" spans="1:5">
      <c r="A139" t="s">
        <v>311</v>
      </c>
      <c r="B139" t="s">
        <v>273</v>
      </c>
      <c r="D139">
        <v>24</v>
      </c>
      <c r="E139">
        <v>6</v>
      </c>
    </row>
    <row r="140" spans="1:5">
      <c r="A140" t="s">
        <v>311</v>
      </c>
      <c r="B140" t="s">
        <v>290</v>
      </c>
      <c r="D140">
        <v>25</v>
      </c>
      <c r="E140">
        <v>7</v>
      </c>
    </row>
    <row r="141" spans="1:5">
      <c r="A141" t="s">
        <v>311</v>
      </c>
      <c r="B141" t="s">
        <v>291</v>
      </c>
      <c r="D141">
        <v>26</v>
      </c>
      <c r="E141">
        <v>7</v>
      </c>
    </row>
    <row r="142" spans="1:5">
      <c r="A142" t="s">
        <v>311</v>
      </c>
      <c r="B142" t="s">
        <v>292</v>
      </c>
      <c r="D142">
        <v>27</v>
      </c>
      <c r="E142">
        <v>7</v>
      </c>
    </row>
    <row r="143" spans="1:5">
      <c r="A143" t="s">
        <v>311</v>
      </c>
      <c r="B143" t="s">
        <v>277</v>
      </c>
      <c r="D143">
        <v>28</v>
      </c>
      <c r="E143">
        <v>7</v>
      </c>
    </row>
    <row r="144" spans="1:5">
      <c r="A144" t="s">
        <v>327</v>
      </c>
      <c r="B144" t="s">
        <v>328</v>
      </c>
      <c r="D144">
        <v>2</v>
      </c>
      <c r="E144">
        <v>1</v>
      </c>
    </row>
    <row r="145" spans="1:5">
      <c r="A145" t="s">
        <v>327</v>
      </c>
      <c r="B145" t="s">
        <v>251</v>
      </c>
      <c r="D145">
        <v>3</v>
      </c>
      <c r="E145">
        <v>1</v>
      </c>
    </row>
    <row r="146" spans="1:5">
      <c r="A146" t="s">
        <v>327</v>
      </c>
      <c r="B146" t="s">
        <v>329</v>
      </c>
      <c r="D146">
        <v>1</v>
      </c>
      <c r="E146">
        <v>1</v>
      </c>
    </row>
    <row r="147" spans="1:5">
      <c r="A147" t="s">
        <v>327</v>
      </c>
      <c r="B147" t="s">
        <v>253</v>
      </c>
      <c r="D147">
        <v>4</v>
      </c>
      <c r="E147">
        <v>1</v>
      </c>
    </row>
    <row r="148" spans="1:5">
      <c r="A148" t="s">
        <v>327</v>
      </c>
      <c r="B148" t="s">
        <v>330</v>
      </c>
      <c r="D148">
        <v>7</v>
      </c>
      <c r="E148">
        <v>2</v>
      </c>
    </row>
    <row r="149" spans="1:5">
      <c r="A149" t="s">
        <v>327</v>
      </c>
      <c r="B149" t="s">
        <v>331</v>
      </c>
      <c r="D149">
        <v>6</v>
      </c>
      <c r="E149">
        <v>2</v>
      </c>
    </row>
    <row r="150" spans="1:5">
      <c r="A150" t="s">
        <v>327</v>
      </c>
      <c r="B150" t="s">
        <v>332</v>
      </c>
      <c r="D150">
        <v>5</v>
      </c>
      <c r="E150">
        <v>2</v>
      </c>
    </row>
    <row r="151" spans="1:5">
      <c r="A151" t="s">
        <v>327</v>
      </c>
      <c r="B151" t="s">
        <v>257</v>
      </c>
      <c r="D151">
        <v>8</v>
      </c>
      <c r="E151">
        <v>2</v>
      </c>
    </row>
    <row r="152" spans="1:5">
      <c r="A152" t="s">
        <v>327</v>
      </c>
      <c r="B152" t="s">
        <v>333</v>
      </c>
      <c r="D152">
        <v>9</v>
      </c>
      <c r="E152">
        <v>3</v>
      </c>
    </row>
    <row r="153" spans="1:5">
      <c r="A153" t="s">
        <v>327</v>
      </c>
      <c r="B153" t="s">
        <v>334</v>
      </c>
      <c r="D153">
        <v>11</v>
      </c>
      <c r="E153">
        <v>3</v>
      </c>
    </row>
    <row r="154" spans="1:5">
      <c r="A154" t="s">
        <v>327</v>
      </c>
      <c r="B154" t="s">
        <v>335</v>
      </c>
      <c r="D154">
        <v>10</v>
      </c>
      <c r="E154">
        <v>3</v>
      </c>
    </row>
    <row r="155" spans="1:5">
      <c r="A155" t="s">
        <v>327</v>
      </c>
      <c r="B155" t="s">
        <v>261</v>
      </c>
      <c r="D155">
        <v>12</v>
      </c>
      <c r="E155">
        <v>3</v>
      </c>
    </row>
    <row r="156" spans="1:5">
      <c r="A156" t="s">
        <v>327</v>
      </c>
      <c r="B156" t="s">
        <v>336</v>
      </c>
      <c r="D156">
        <v>15</v>
      </c>
      <c r="E156">
        <v>4</v>
      </c>
    </row>
    <row r="157" spans="1:5">
      <c r="A157" t="s">
        <v>327</v>
      </c>
      <c r="B157" t="s">
        <v>337</v>
      </c>
      <c r="D157">
        <v>14</v>
      </c>
      <c r="E157">
        <v>4</v>
      </c>
    </row>
    <row r="158" spans="1:5">
      <c r="A158" t="s">
        <v>327</v>
      </c>
      <c r="B158" t="s">
        <v>338</v>
      </c>
      <c r="D158">
        <v>13</v>
      </c>
      <c r="E158">
        <v>4</v>
      </c>
    </row>
    <row r="159" spans="1:5">
      <c r="A159" t="s">
        <v>327</v>
      </c>
      <c r="B159" t="s">
        <v>265</v>
      </c>
      <c r="D159">
        <v>16</v>
      </c>
      <c r="E159">
        <v>4</v>
      </c>
    </row>
    <row r="160" spans="1:5">
      <c r="A160" t="s">
        <v>327</v>
      </c>
      <c r="B160" t="s">
        <v>262</v>
      </c>
      <c r="D160">
        <v>19</v>
      </c>
      <c r="E160">
        <v>5</v>
      </c>
    </row>
    <row r="161" spans="1:5">
      <c r="A161" t="s">
        <v>327</v>
      </c>
      <c r="B161" t="s">
        <v>339</v>
      </c>
      <c r="D161">
        <v>17</v>
      </c>
      <c r="E161">
        <v>5</v>
      </c>
    </row>
    <row r="162" spans="1:5">
      <c r="A162" t="s">
        <v>327</v>
      </c>
      <c r="B162" t="s">
        <v>340</v>
      </c>
      <c r="D162">
        <v>18</v>
      </c>
      <c r="E162">
        <v>5</v>
      </c>
    </row>
    <row r="163" spans="1:5">
      <c r="A163" t="s">
        <v>327</v>
      </c>
      <c r="B163" t="s">
        <v>269</v>
      </c>
      <c r="D163">
        <v>20</v>
      </c>
      <c r="E163">
        <v>5</v>
      </c>
    </row>
    <row r="164" spans="1:5">
      <c r="A164" t="s">
        <v>327</v>
      </c>
      <c r="B164" t="s">
        <v>270</v>
      </c>
      <c r="D164">
        <v>21</v>
      </c>
      <c r="E164">
        <v>6</v>
      </c>
    </row>
    <row r="165" spans="1:5">
      <c r="A165" t="s">
        <v>327</v>
      </c>
      <c r="B165" t="s">
        <v>271</v>
      </c>
      <c r="D165">
        <v>22</v>
      </c>
      <c r="E165">
        <v>6</v>
      </c>
    </row>
    <row r="166" spans="1:5">
      <c r="A166" t="s">
        <v>327</v>
      </c>
      <c r="B166" t="s">
        <v>272</v>
      </c>
      <c r="D166">
        <v>23</v>
      </c>
      <c r="E166">
        <v>6</v>
      </c>
    </row>
    <row r="167" spans="1:5">
      <c r="A167" t="s">
        <v>327</v>
      </c>
      <c r="B167" t="s">
        <v>273</v>
      </c>
      <c r="D167">
        <v>24</v>
      </c>
      <c r="E167">
        <v>6</v>
      </c>
    </row>
    <row r="168" spans="1:5">
      <c r="A168" t="s">
        <v>327</v>
      </c>
      <c r="B168" t="s">
        <v>274</v>
      </c>
      <c r="D168">
        <v>25</v>
      </c>
      <c r="E168">
        <v>7</v>
      </c>
    </row>
    <row r="169" spans="1:5">
      <c r="A169" t="s">
        <v>327</v>
      </c>
      <c r="B169" t="s">
        <v>275</v>
      </c>
      <c r="D169">
        <v>26</v>
      </c>
      <c r="E169">
        <v>7</v>
      </c>
    </row>
    <row r="170" spans="1:5">
      <c r="A170" t="s">
        <v>327</v>
      </c>
      <c r="B170" t="s">
        <v>276</v>
      </c>
      <c r="D170">
        <v>27</v>
      </c>
      <c r="E170">
        <v>7</v>
      </c>
    </row>
    <row r="171" spans="1:5">
      <c r="A171" t="s">
        <v>327</v>
      </c>
      <c r="B171" t="s">
        <v>277</v>
      </c>
      <c r="D171">
        <v>28</v>
      </c>
      <c r="E171">
        <v>7</v>
      </c>
    </row>
    <row r="172" spans="1:5">
      <c r="A172" t="s">
        <v>341</v>
      </c>
      <c r="B172" t="s">
        <v>248</v>
      </c>
      <c r="D172">
        <v>3</v>
      </c>
      <c r="E172">
        <v>1</v>
      </c>
    </row>
    <row r="173" spans="1:5">
      <c r="A173" t="s">
        <v>341</v>
      </c>
      <c r="B173" t="s">
        <v>342</v>
      </c>
      <c r="D173">
        <v>2</v>
      </c>
      <c r="E173">
        <v>1</v>
      </c>
    </row>
    <row r="174" spans="1:5">
      <c r="A174" t="s">
        <v>341</v>
      </c>
      <c r="B174" t="s">
        <v>343</v>
      </c>
      <c r="D174">
        <v>1</v>
      </c>
      <c r="E174">
        <v>1</v>
      </c>
    </row>
    <row r="175" spans="1:5">
      <c r="A175" t="s">
        <v>341</v>
      </c>
      <c r="B175" t="s">
        <v>253</v>
      </c>
      <c r="D175">
        <v>4</v>
      </c>
      <c r="E175">
        <v>1</v>
      </c>
    </row>
    <row r="176" spans="1:5">
      <c r="A176" t="s">
        <v>341</v>
      </c>
      <c r="B176" t="s">
        <v>344</v>
      </c>
      <c r="D176">
        <v>6</v>
      </c>
      <c r="E176">
        <v>2</v>
      </c>
    </row>
    <row r="177" spans="1:5">
      <c r="A177" t="s">
        <v>341</v>
      </c>
      <c r="B177" t="s">
        <v>254</v>
      </c>
      <c r="D177">
        <v>7</v>
      </c>
      <c r="E177">
        <v>2</v>
      </c>
    </row>
    <row r="178" spans="1:5">
      <c r="A178" t="s">
        <v>341</v>
      </c>
      <c r="B178" t="s">
        <v>345</v>
      </c>
      <c r="D178">
        <v>5</v>
      </c>
      <c r="E178">
        <v>2</v>
      </c>
    </row>
    <row r="179" spans="1:5">
      <c r="A179" t="s">
        <v>341</v>
      </c>
      <c r="B179" t="s">
        <v>257</v>
      </c>
      <c r="D179">
        <v>8</v>
      </c>
      <c r="E179">
        <v>2</v>
      </c>
    </row>
    <row r="180" spans="1:5">
      <c r="A180" t="s">
        <v>341</v>
      </c>
      <c r="B180" t="s">
        <v>346</v>
      </c>
      <c r="D180">
        <v>11</v>
      </c>
      <c r="E180">
        <v>3</v>
      </c>
    </row>
    <row r="181" spans="1:5">
      <c r="A181" t="s">
        <v>341</v>
      </c>
      <c r="B181" t="s">
        <v>347</v>
      </c>
      <c r="D181">
        <v>9</v>
      </c>
      <c r="E181">
        <v>3</v>
      </c>
    </row>
    <row r="182" spans="1:5">
      <c r="A182" t="s">
        <v>341</v>
      </c>
      <c r="B182" t="s">
        <v>348</v>
      </c>
      <c r="D182">
        <v>10</v>
      </c>
      <c r="E182">
        <v>3</v>
      </c>
    </row>
    <row r="183" spans="1:5">
      <c r="A183" t="s">
        <v>341</v>
      </c>
      <c r="B183" t="s">
        <v>261</v>
      </c>
      <c r="D183">
        <v>12</v>
      </c>
      <c r="E183">
        <v>3</v>
      </c>
    </row>
    <row r="184" spans="1:5">
      <c r="A184" t="s">
        <v>341</v>
      </c>
      <c r="B184" t="s">
        <v>349</v>
      </c>
      <c r="D184">
        <v>14</v>
      </c>
      <c r="E184">
        <v>4</v>
      </c>
    </row>
    <row r="185" spans="1:5">
      <c r="A185" t="s">
        <v>341</v>
      </c>
      <c r="B185" t="s">
        <v>350</v>
      </c>
      <c r="D185">
        <v>15</v>
      </c>
      <c r="E185">
        <v>4</v>
      </c>
    </row>
    <row r="186" spans="1:5">
      <c r="A186" t="s">
        <v>341</v>
      </c>
      <c r="B186" t="s">
        <v>351</v>
      </c>
      <c r="D186">
        <v>13</v>
      </c>
      <c r="E186">
        <v>4</v>
      </c>
    </row>
    <row r="187" spans="1:5">
      <c r="A187" t="s">
        <v>341</v>
      </c>
      <c r="B187" t="s">
        <v>265</v>
      </c>
      <c r="D187">
        <v>16</v>
      </c>
      <c r="E187">
        <v>4</v>
      </c>
    </row>
    <row r="188" spans="1:5">
      <c r="A188" t="s">
        <v>341</v>
      </c>
      <c r="B188" t="s">
        <v>352</v>
      </c>
      <c r="D188">
        <v>17</v>
      </c>
      <c r="E188">
        <v>5</v>
      </c>
    </row>
    <row r="189" spans="1:5">
      <c r="A189" t="s">
        <v>341</v>
      </c>
      <c r="B189" t="s">
        <v>353</v>
      </c>
      <c r="D189">
        <v>18</v>
      </c>
      <c r="E189">
        <v>5</v>
      </c>
    </row>
    <row r="190" spans="1:5">
      <c r="A190" t="s">
        <v>341</v>
      </c>
      <c r="B190" t="s">
        <v>354</v>
      </c>
      <c r="D190">
        <v>19</v>
      </c>
      <c r="E190">
        <v>5</v>
      </c>
    </row>
    <row r="191" spans="1:5">
      <c r="A191" t="s">
        <v>341</v>
      </c>
      <c r="B191" t="s">
        <v>269</v>
      </c>
      <c r="D191">
        <v>20</v>
      </c>
      <c r="E191">
        <v>5</v>
      </c>
    </row>
    <row r="192" spans="1:5">
      <c r="A192" t="s">
        <v>341</v>
      </c>
      <c r="B192" t="s">
        <v>270</v>
      </c>
      <c r="D192">
        <v>21</v>
      </c>
      <c r="E192">
        <v>6</v>
      </c>
    </row>
    <row r="193" spans="1:5">
      <c r="A193" t="s">
        <v>341</v>
      </c>
      <c r="B193" t="s">
        <v>271</v>
      </c>
      <c r="D193">
        <v>22</v>
      </c>
      <c r="E193">
        <v>6</v>
      </c>
    </row>
    <row r="194" spans="1:5">
      <c r="A194" t="s">
        <v>341</v>
      </c>
      <c r="B194" t="s">
        <v>272</v>
      </c>
      <c r="D194">
        <v>23</v>
      </c>
      <c r="E194">
        <v>6</v>
      </c>
    </row>
    <row r="195" spans="1:5">
      <c r="A195" t="s">
        <v>341</v>
      </c>
      <c r="B195" t="s">
        <v>273</v>
      </c>
      <c r="D195">
        <v>24</v>
      </c>
      <c r="E195">
        <v>6</v>
      </c>
    </row>
    <row r="196" spans="1:5">
      <c r="A196" t="s">
        <v>341</v>
      </c>
      <c r="B196" t="s">
        <v>274</v>
      </c>
      <c r="D196">
        <v>25</v>
      </c>
      <c r="E196">
        <v>7</v>
      </c>
    </row>
    <row r="197" spans="1:5">
      <c r="A197" t="s">
        <v>341</v>
      </c>
      <c r="B197" t="s">
        <v>275</v>
      </c>
      <c r="D197">
        <v>26</v>
      </c>
      <c r="E197">
        <v>7</v>
      </c>
    </row>
    <row r="198" spans="1:5">
      <c r="A198" t="s">
        <v>341</v>
      </c>
      <c r="B198" t="s">
        <v>276</v>
      </c>
      <c r="D198">
        <v>27</v>
      </c>
      <c r="E198">
        <v>7</v>
      </c>
    </row>
    <row r="199" spans="1:5">
      <c r="A199" t="s">
        <v>341</v>
      </c>
      <c r="B199" t="s">
        <v>277</v>
      </c>
      <c r="D199">
        <v>28</v>
      </c>
      <c r="E199">
        <v>7</v>
      </c>
    </row>
    <row r="200" spans="1:5">
      <c r="A200" t="s">
        <v>355</v>
      </c>
      <c r="B200" t="s">
        <v>356</v>
      </c>
      <c r="D200">
        <v>3</v>
      </c>
      <c r="E200">
        <v>1</v>
      </c>
    </row>
    <row r="201" spans="1:5">
      <c r="A201" t="s">
        <v>355</v>
      </c>
      <c r="B201" t="s">
        <v>251</v>
      </c>
      <c r="D201">
        <v>1</v>
      </c>
      <c r="E201">
        <v>1</v>
      </c>
    </row>
    <row r="202" spans="1:5">
      <c r="A202" t="s">
        <v>355</v>
      </c>
      <c r="B202" t="s">
        <v>357</v>
      </c>
      <c r="D202">
        <v>2</v>
      </c>
      <c r="E202">
        <v>1</v>
      </c>
    </row>
    <row r="203" spans="1:5">
      <c r="A203" t="s">
        <v>355</v>
      </c>
      <c r="B203" t="s">
        <v>253</v>
      </c>
      <c r="D203">
        <v>4</v>
      </c>
      <c r="E203">
        <v>1</v>
      </c>
    </row>
    <row r="204" spans="1:5">
      <c r="A204" t="s">
        <v>355</v>
      </c>
      <c r="B204" t="s">
        <v>358</v>
      </c>
      <c r="D204">
        <v>6</v>
      </c>
      <c r="E204">
        <v>2</v>
      </c>
    </row>
    <row r="205" spans="1:5">
      <c r="A205" t="s">
        <v>355</v>
      </c>
      <c r="B205" t="s">
        <v>359</v>
      </c>
      <c r="D205">
        <v>5</v>
      </c>
      <c r="E205">
        <v>2</v>
      </c>
    </row>
    <row r="206" spans="1:5">
      <c r="A206" t="s">
        <v>355</v>
      </c>
      <c r="B206" t="s">
        <v>360</v>
      </c>
      <c r="D206">
        <v>7</v>
      </c>
      <c r="E206">
        <v>2</v>
      </c>
    </row>
    <row r="207" spans="1:5">
      <c r="A207" t="s">
        <v>355</v>
      </c>
      <c r="B207" t="s">
        <v>257</v>
      </c>
      <c r="D207">
        <v>8</v>
      </c>
      <c r="E207">
        <v>2</v>
      </c>
    </row>
    <row r="208" spans="1:5">
      <c r="A208" t="s">
        <v>355</v>
      </c>
      <c r="B208" t="s">
        <v>361</v>
      </c>
      <c r="D208">
        <v>11</v>
      </c>
      <c r="E208">
        <v>3</v>
      </c>
    </row>
    <row r="209" spans="1:5">
      <c r="A209" t="s">
        <v>355</v>
      </c>
      <c r="B209" t="s">
        <v>362</v>
      </c>
      <c r="D209">
        <v>9</v>
      </c>
      <c r="E209">
        <v>3</v>
      </c>
    </row>
    <row r="210" spans="1:5">
      <c r="A210" t="s">
        <v>355</v>
      </c>
      <c r="B210" t="s">
        <v>363</v>
      </c>
      <c r="D210">
        <v>10</v>
      </c>
      <c r="E210">
        <v>3</v>
      </c>
    </row>
    <row r="211" spans="1:5">
      <c r="A211" t="s">
        <v>355</v>
      </c>
      <c r="B211" t="s">
        <v>261</v>
      </c>
      <c r="D211">
        <v>12</v>
      </c>
      <c r="E211">
        <v>3</v>
      </c>
    </row>
    <row r="212" spans="1:5">
      <c r="A212" t="s">
        <v>355</v>
      </c>
      <c r="B212" t="s">
        <v>364</v>
      </c>
      <c r="D212">
        <v>14</v>
      </c>
      <c r="E212">
        <v>4</v>
      </c>
    </row>
    <row r="213" spans="1:5">
      <c r="A213" t="s">
        <v>355</v>
      </c>
      <c r="B213" t="s">
        <v>365</v>
      </c>
      <c r="D213">
        <v>15</v>
      </c>
      <c r="E213">
        <v>4</v>
      </c>
    </row>
    <row r="214" spans="1:5">
      <c r="A214" t="s">
        <v>355</v>
      </c>
      <c r="B214" t="s">
        <v>366</v>
      </c>
      <c r="D214">
        <v>13</v>
      </c>
      <c r="E214">
        <v>4</v>
      </c>
    </row>
    <row r="215" spans="1:5">
      <c r="A215" t="s">
        <v>355</v>
      </c>
      <c r="B215" t="s">
        <v>265</v>
      </c>
      <c r="D215">
        <v>16</v>
      </c>
      <c r="E215">
        <v>4</v>
      </c>
    </row>
    <row r="216" spans="1:5">
      <c r="A216" t="s">
        <v>355</v>
      </c>
      <c r="B216" t="s">
        <v>367</v>
      </c>
      <c r="D216">
        <v>18</v>
      </c>
      <c r="E216">
        <v>5</v>
      </c>
    </row>
    <row r="217" spans="1:5">
      <c r="A217" t="s">
        <v>355</v>
      </c>
      <c r="B217" t="s">
        <v>334</v>
      </c>
      <c r="D217">
        <v>17</v>
      </c>
      <c r="E217">
        <v>5</v>
      </c>
    </row>
    <row r="218" spans="1:5">
      <c r="A218" t="s">
        <v>355</v>
      </c>
      <c r="B218" t="s">
        <v>269</v>
      </c>
      <c r="D218">
        <v>20</v>
      </c>
      <c r="E218">
        <v>5</v>
      </c>
    </row>
    <row r="219" spans="1:5">
      <c r="A219" t="s">
        <v>355</v>
      </c>
      <c r="B219" t="s">
        <v>368</v>
      </c>
      <c r="D219">
        <v>19</v>
      </c>
      <c r="E219">
        <v>5</v>
      </c>
    </row>
    <row r="220" spans="1:5">
      <c r="A220" t="s">
        <v>355</v>
      </c>
      <c r="B220" t="s">
        <v>270</v>
      </c>
      <c r="D220">
        <v>21</v>
      </c>
      <c r="E220">
        <v>6</v>
      </c>
    </row>
    <row r="221" spans="1:5">
      <c r="A221" t="s">
        <v>355</v>
      </c>
      <c r="B221" t="s">
        <v>271</v>
      </c>
      <c r="D221">
        <v>22</v>
      </c>
      <c r="E221">
        <v>6</v>
      </c>
    </row>
    <row r="222" spans="1:5">
      <c r="A222" t="s">
        <v>355</v>
      </c>
      <c r="B222" t="s">
        <v>272</v>
      </c>
      <c r="D222">
        <v>23</v>
      </c>
      <c r="E222">
        <v>6</v>
      </c>
    </row>
    <row r="223" spans="1:5">
      <c r="A223" t="s">
        <v>355</v>
      </c>
      <c r="B223" t="s">
        <v>274</v>
      </c>
      <c r="D223">
        <v>25</v>
      </c>
      <c r="E223">
        <v>7</v>
      </c>
    </row>
    <row r="224" spans="1:5">
      <c r="A224" t="s">
        <v>355</v>
      </c>
      <c r="B224" t="s">
        <v>275</v>
      </c>
      <c r="D224">
        <v>26</v>
      </c>
      <c r="E224">
        <v>7</v>
      </c>
    </row>
    <row r="225" spans="1:5">
      <c r="A225" t="s">
        <v>355</v>
      </c>
      <c r="B225" t="s">
        <v>276</v>
      </c>
      <c r="D225">
        <v>27</v>
      </c>
      <c r="E225">
        <v>7</v>
      </c>
    </row>
    <row r="226" spans="1:5">
      <c r="A226" t="s">
        <v>355</v>
      </c>
      <c r="B226" t="s">
        <v>273</v>
      </c>
      <c r="D226">
        <v>24</v>
      </c>
      <c r="E226">
        <v>6</v>
      </c>
    </row>
    <row r="227" spans="1:5">
      <c r="A227" t="s">
        <v>355</v>
      </c>
      <c r="B227" t="s">
        <v>277</v>
      </c>
      <c r="D227">
        <v>28</v>
      </c>
      <c r="E227">
        <v>7</v>
      </c>
    </row>
    <row r="228" spans="1:5">
      <c r="A228" t="s">
        <v>369</v>
      </c>
      <c r="B228" t="s">
        <v>251</v>
      </c>
      <c r="D228">
        <v>2</v>
      </c>
      <c r="E228">
        <v>1</v>
      </c>
    </row>
    <row r="229" spans="1:5">
      <c r="A229" t="s">
        <v>369</v>
      </c>
      <c r="B229" t="s">
        <v>370</v>
      </c>
      <c r="D229">
        <v>3</v>
      </c>
      <c r="E229">
        <v>1</v>
      </c>
    </row>
    <row r="230" spans="1:5">
      <c r="A230" t="s">
        <v>369</v>
      </c>
      <c r="B230" t="s">
        <v>371</v>
      </c>
      <c r="D230">
        <v>1</v>
      </c>
      <c r="E230">
        <v>1</v>
      </c>
    </row>
    <row r="231" spans="1:5">
      <c r="A231" t="s">
        <v>369</v>
      </c>
      <c r="B231" t="s">
        <v>253</v>
      </c>
      <c r="D231">
        <v>4</v>
      </c>
      <c r="E231">
        <v>1</v>
      </c>
    </row>
    <row r="232" spans="1:5">
      <c r="A232" t="s">
        <v>369</v>
      </c>
      <c r="B232" t="s">
        <v>356</v>
      </c>
      <c r="D232">
        <v>7</v>
      </c>
      <c r="E232">
        <v>2</v>
      </c>
    </row>
    <row r="233" spans="1:5">
      <c r="A233" t="s">
        <v>369</v>
      </c>
      <c r="B233" t="s">
        <v>372</v>
      </c>
      <c r="D233">
        <v>5</v>
      </c>
      <c r="E233">
        <v>2</v>
      </c>
    </row>
    <row r="234" spans="1:5">
      <c r="A234" t="s">
        <v>369</v>
      </c>
      <c r="B234" t="s">
        <v>256</v>
      </c>
      <c r="D234">
        <v>6</v>
      </c>
      <c r="E234">
        <v>2</v>
      </c>
    </row>
    <row r="235" spans="1:5">
      <c r="A235" t="s">
        <v>369</v>
      </c>
      <c r="B235" t="s">
        <v>257</v>
      </c>
      <c r="D235">
        <v>8</v>
      </c>
      <c r="E235">
        <v>2</v>
      </c>
    </row>
    <row r="236" spans="1:5">
      <c r="A236" t="s">
        <v>369</v>
      </c>
      <c r="B236" t="s">
        <v>373</v>
      </c>
      <c r="D236">
        <v>9</v>
      </c>
      <c r="E236">
        <v>3</v>
      </c>
    </row>
    <row r="237" spans="1:5">
      <c r="A237" t="s">
        <v>369</v>
      </c>
      <c r="B237" t="s">
        <v>374</v>
      </c>
      <c r="D237">
        <v>10</v>
      </c>
      <c r="E237">
        <v>3</v>
      </c>
    </row>
    <row r="238" spans="1:5">
      <c r="A238" t="s">
        <v>369</v>
      </c>
      <c r="B238" t="s">
        <v>375</v>
      </c>
      <c r="D238">
        <v>11</v>
      </c>
      <c r="E238">
        <v>3</v>
      </c>
    </row>
    <row r="239" spans="1:5">
      <c r="A239" t="s">
        <v>369</v>
      </c>
      <c r="B239" t="s">
        <v>261</v>
      </c>
      <c r="D239">
        <v>12</v>
      </c>
      <c r="E239">
        <v>3</v>
      </c>
    </row>
    <row r="240" spans="1:5">
      <c r="A240" t="s">
        <v>369</v>
      </c>
      <c r="B240" t="s">
        <v>285</v>
      </c>
      <c r="D240">
        <v>15</v>
      </c>
      <c r="E240">
        <v>4</v>
      </c>
    </row>
    <row r="241" spans="1:5">
      <c r="A241" t="s">
        <v>369</v>
      </c>
      <c r="B241" t="s">
        <v>376</v>
      </c>
      <c r="D241">
        <v>14</v>
      </c>
      <c r="E241">
        <v>4</v>
      </c>
    </row>
    <row r="242" spans="1:5">
      <c r="A242" t="s">
        <v>369</v>
      </c>
      <c r="B242" t="s">
        <v>377</v>
      </c>
      <c r="D242">
        <v>13</v>
      </c>
      <c r="E242">
        <v>4</v>
      </c>
    </row>
    <row r="243" spans="1:5">
      <c r="A243" t="s">
        <v>369</v>
      </c>
      <c r="B243" t="s">
        <v>265</v>
      </c>
      <c r="D243">
        <v>16</v>
      </c>
      <c r="E243">
        <v>4</v>
      </c>
    </row>
    <row r="244" spans="1:5">
      <c r="A244" t="s">
        <v>369</v>
      </c>
      <c r="B244" t="s">
        <v>378</v>
      </c>
      <c r="D244">
        <v>19</v>
      </c>
      <c r="E244">
        <v>5</v>
      </c>
    </row>
    <row r="245" spans="1:5">
      <c r="A245" t="s">
        <v>369</v>
      </c>
      <c r="B245" t="s">
        <v>379</v>
      </c>
      <c r="D245">
        <v>17</v>
      </c>
      <c r="E245">
        <v>5</v>
      </c>
    </row>
    <row r="246" spans="1:5">
      <c r="A246" t="s">
        <v>369</v>
      </c>
      <c r="B246" t="s">
        <v>380</v>
      </c>
      <c r="D246">
        <v>18</v>
      </c>
      <c r="E246">
        <v>5</v>
      </c>
    </row>
    <row r="247" spans="1:5">
      <c r="A247" t="s">
        <v>369</v>
      </c>
      <c r="B247" t="s">
        <v>269</v>
      </c>
      <c r="D247">
        <v>20</v>
      </c>
      <c r="E247">
        <v>5</v>
      </c>
    </row>
    <row r="248" spans="1:5">
      <c r="A248" t="s">
        <v>369</v>
      </c>
      <c r="B248" t="s">
        <v>270</v>
      </c>
      <c r="D248">
        <v>21</v>
      </c>
      <c r="E248">
        <v>6</v>
      </c>
    </row>
    <row r="249" spans="1:5">
      <c r="A249" t="s">
        <v>369</v>
      </c>
      <c r="B249" t="s">
        <v>271</v>
      </c>
      <c r="D249">
        <v>22</v>
      </c>
      <c r="E249">
        <v>6</v>
      </c>
    </row>
    <row r="250" spans="1:5">
      <c r="A250" t="s">
        <v>369</v>
      </c>
      <c r="B250" t="s">
        <v>272</v>
      </c>
      <c r="D250">
        <v>23</v>
      </c>
      <c r="E250">
        <v>6</v>
      </c>
    </row>
    <row r="251" spans="1:5">
      <c r="A251" t="s">
        <v>369</v>
      </c>
      <c r="B251" t="s">
        <v>273</v>
      </c>
      <c r="D251">
        <v>24</v>
      </c>
      <c r="E251">
        <v>6</v>
      </c>
    </row>
    <row r="252" spans="1:5">
      <c r="A252" t="s">
        <v>369</v>
      </c>
      <c r="B252" t="s">
        <v>274</v>
      </c>
      <c r="D252">
        <v>25</v>
      </c>
      <c r="E252">
        <v>7</v>
      </c>
    </row>
    <row r="253" spans="1:5">
      <c r="A253" t="s">
        <v>369</v>
      </c>
      <c r="B253" t="s">
        <v>275</v>
      </c>
      <c r="D253">
        <v>26</v>
      </c>
      <c r="E253">
        <v>7</v>
      </c>
    </row>
    <row r="254" spans="1:5">
      <c r="A254" t="s">
        <v>369</v>
      </c>
      <c r="B254" t="s">
        <v>276</v>
      </c>
      <c r="D254">
        <v>27</v>
      </c>
      <c r="E254">
        <v>7</v>
      </c>
    </row>
    <row r="255" spans="1:5">
      <c r="A255" t="s">
        <v>369</v>
      </c>
      <c r="B255" t="s">
        <v>277</v>
      </c>
      <c r="D255">
        <v>28</v>
      </c>
      <c r="E255">
        <v>7</v>
      </c>
    </row>
    <row r="256" spans="1:5">
      <c r="A256" t="s">
        <v>381</v>
      </c>
      <c r="B256" t="s">
        <v>251</v>
      </c>
      <c r="D256">
        <v>2</v>
      </c>
      <c r="E256">
        <v>1</v>
      </c>
    </row>
    <row r="257" spans="1:5">
      <c r="A257" t="s">
        <v>381</v>
      </c>
      <c r="B257" t="s">
        <v>382</v>
      </c>
      <c r="D257">
        <v>3</v>
      </c>
      <c r="E257">
        <v>1</v>
      </c>
    </row>
    <row r="258" spans="1:5">
      <c r="A258" t="s">
        <v>381</v>
      </c>
      <c r="B258" t="s">
        <v>371</v>
      </c>
      <c r="D258">
        <v>1</v>
      </c>
      <c r="E258">
        <v>1</v>
      </c>
    </row>
    <row r="259" spans="1:5">
      <c r="A259" t="s">
        <v>381</v>
      </c>
      <c r="B259" t="s">
        <v>253</v>
      </c>
      <c r="D259">
        <v>4</v>
      </c>
      <c r="E259">
        <v>1</v>
      </c>
    </row>
    <row r="260" spans="1:5">
      <c r="A260" t="s">
        <v>381</v>
      </c>
      <c r="B260" t="s">
        <v>383</v>
      </c>
      <c r="D260">
        <v>5</v>
      </c>
      <c r="E260">
        <v>2</v>
      </c>
    </row>
    <row r="261" spans="1:5">
      <c r="A261" t="s">
        <v>381</v>
      </c>
      <c r="B261" t="s">
        <v>356</v>
      </c>
      <c r="D261">
        <v>7</v>
      </c>
      <c r="E261">
        <v>2</v>
      </c>
    </row>
    <row r="262" spans="1:5">
      <c r="A262" t="s">
        <v>381</v>
      </c>
      <c r="B262" t="s">
        <v>256</v>
      </c>
      <c r="D262">
        <v>6</v>
      </c>
      <c r="E262">
        <v>2</v>
      </c>
    </row>
    <row r="263" spans="1:5">
      <c r="A263" t="s">
        <v>381</v>
      </c>
      <c r="B263" t="s">
        <v>257</v>
      </c>
      <c r="D263">
        <v>8</v>
      </c>
      <c r="E263">
        <v>2</v>
      </c>
    </row>
    <row r="264" spans="1:5">
      <c r="A264" t="s">
        <v>381</v>
      </c>
      <c r="B264" t="s">
        <v>384</v>
      </c>
      <c r="D264">
        <v>9</v>
      </c>
      <c r="E264">
        <v>3</v>
      </c>
    </row>
    <row r="265" spans="1:5">
      <c r="A265" t="s">
        <v>381</v>
      </c>
      <c r="B265" t="s">
        <v>385</v>
      </c>
      <c r="D265">
        <v>10</v>
      </c>
      <c r="E265">
        <v>3</v>
      </c>
    </row>
    <row r="266" spans="1:5">
      <c r="A266" t="s">
        <v>381</v>
      </c>
      <c r="B266" t="s">
        <v>375</v>
      </c>
      <c r="D266">
        <v>11</v>
      </c>
      <c r="E266">
        <v>3</v>
      </c>
    </row>
    <row r="267" spans="1:5">
      <c r="A267" t="s">
        <v>381</v>
      </c>
      <c r="B267" t="s">
        <v>261</v>
      </c>
      <c r="D267">
        <v>12</v>
      </c>
      <c r="E267">
        <v>3</v>
      </c>
    </row>
    <row r="268" spans="1:5">
      <c r="A268" t="s">
        <v>381</v>
      </c>
      <c r="B268" t="s">
        <v>386</v>
      </c>
      <c r="D268">
        <v>15</v>
      </c>
      <c r="E268">
        <v>4</v>
      </c>
    </row>
    <row r="269" spans="1:5">
      <c r="A269" t="s">
        <v>381</v>
      </c>
      <c r="B269" t="s">
        <v>387</v>
      </c>
      <c r="D269">
        <v>13</v>
      </c>
      <c r="E269">
        <v>4</v>
      </c>
    </row>
    <row r="270" spans="1:5">
      <c r="A270" t="s">
        <v>381</v>
      </c>
      <c r="B270" t="s">
        <v>388</v>
      </c>
      <c r="D270">
        <v>14</v>
      </c>
      <c r="E270">
        <v>4</v>
      </c>
    </row>
    <row r="271" spans="1:5">
      <c r="A271" t="s">
        <v>381</v>
      </c>
      <c r="B271" t="s">
        <v>265</v>
      </c>
      <c r="D271">
        <v>16</v>
      </c>
      <c r="E271">
        <v>4</v>
      </c>
    </row>
    <row r="272" spans="1:5">
      <c r="A272" t="s">
        <v>381</v>
      </c>
      <c r="B272" t="s">
        <v>389</v>
      </c>
      <c r="D272">
        <v>19</v>
      </c>
      <c r="E272">
        <v>5</v>
      </c>
    </row>
    <row r="273" spans="1:5">
      <c r="A273" t="s">
        <v>381</v>
      </c>
      <c r="B273" t="s">
        <v>390</v>
      </c>
      <c r="D273">
        <v>17</v>
      </c>
      <c r="E273">
        <v>5</v>
      </c>
    </row>
    <row r="274" spans="1:5">
      <c r="A274" t="s">
        <v>381</v>
      </c>
      <c r="B274" t="s">
        <v>391</v>
      </c>
      <c r="D274">
        <v>18</v>
      </c>
      <c r="E274">
        <v>5</v>
      </c>
    </row>
    <row r="275" spans="1:5">
      <c r="A275" t="s">
        <v>381</v>
      </c>
      <c r="B275" t="s">
        <v>269</v>
      </c>
      <c r="D275">
        <v>20</v>
      </c>
      <c r="E275">
        <v>5</v>
      </c>
    </row>
    <row r="276" spans="1:5">
      <c r="A276" t="s">
        <v>381</v>
      </c>
      <c r="B276" t="s">
        <v>270</v>
      </c>
      <c r="D276">
        <v>21</v>
      </c>
      <c r="E276">
        <v>6</v>
      </c>
    </row>
    <row r="277" spans="1:5">
      <c r="A277" t="s">
        <v>381</v>
      </c>
      <c r="B277" t="s">
        <v>271</v>
      </c>
      <c r="D277">
        <v>22</v>
      </c>
      <c r="E277">
        <v>6</v>
      </c>
    </row>
    <row r="278" spans="1:5">
      <c r="A278" t="s">
        <v>381</v>
      </c>
      <c r="B278" t="s">
        <v>272</v>
      </c>
      <c r="D278">
        <v>23</v>
      </c>
      <c r="E278">
        <v>6</v>
      </c>
    </row>
    <row r="279" spans="1:5">
      <c r="A279" t="s">
        <v>381</v>
      </c>
      <c r="B279" t="s">
        <v>273</v>
      </c>
      <c r="D279">
        <v>24</v>
      </c>
      <c r="E279">
        <v>6</v>
      </c>
    </row>
    <row r="280" spans="1:5">
      <c r="A280" t="s">
        <v>381</v>
      </c>
      <c r="B280" t="s">
        <v>274</v>
      </c>
      <c r="D280">
        <v>25</v>
      </c>
      <c r="E280">
        <v>7</v>
      </c>
    </row>
    <row r="281" spans="1:5">
      <c r="A281" t="s">
        <v>381</v>
      </c>
      <c r="B281" t="s">
        <v>275</v>
      </c>
      <c r="D281">
        <v>26</v>
      </c>
      <c r="E281">
        <v>7</v>
      </c>
    </row>
    <row r="282" spans="1:5">
      <c r="A282" t="s">
        <v>381</v>
      </c>
      <c r="B282" t="s">
        <v>276</v>
      </c>
      <c r="D282">
        <v>27</v>
      </c>
      <c r="E282">
        <v>7</v>
      </c>
    </row>
    <row r="283" spans="1:5">
      <c r="A283" t="s">
        <v>381</v>
      </c>
      <c r="B283" t="s">
        <v>277</v>
      </c>
      <c r="D283">
        <v>28</v>
      </c>
      <c r="E283">
        <v>7</v>
      </c>
    </row>
    <row r="284" spans="1:5">
      <c r="A284" t="s">
        <v>392</v>
      </c>
      <c r="B284" t="s">
        <v>251</v>
      </c>
      <c r="D284">
        <v>2</v>
      </c>
      <c r="E284">
        <v>1</v>
      </c>
    </row>
    <row r="285" spans="1:5">
      <c r="A285" t="s">
        <v>392</v>
      </c>
      <c r="B285" t="s">
        <v>382</v>
      </c>
      <c r="D285">
        <v>3</v>
      </c>
      <c r="E285">
        <v>1</v>
      </c>
    </row>
    <row r="286" spans="1:5">
      <c r="A286" t="s">
        <v>392</v>
      </c>
      <c r="B286" t="s">
        <v>371</v>
      </c>
      <c r="D286">
        <v>1</v>
      </c>
      <c r="E286">
        <v>1</v>
      </c>
    </row>
    <row r="287" spans="1:5">
      <c r="A287" t="s">
        <v>392</v>
      </c>
      <c r="B287" t="s">
        <v>253</v>
      </c>
      <c r="D287">
        <v>4</v>
      </c>
      <c r="E287">
        <v>1</v>
      </c>
    </row>
    <row r="288" spans="1:5">
      <c r="A288" t="s">
        <v>392</v>
      </c>
      <c r="B288" t="s">
        <v>383</v>
      </c>
      <c r="D288">
        <v>5</v>
      </c>
      <c r="E288">
        <v>2</v>
      </c>
    </row>
    <row r="289" spans="1:5">
      <c r="A289" t="s">
        <v>392</v>
      </c>
      <c r="B289" t="s">
        <v>356</v>
      </c>
      <c r="D289">
        <v>7</v>
      </c>
      <c r="E289">
        <v>2</v>
      </c>
    </row>
    <row r="290" spans="1:5">
      <c r="A290" t="s">
        <v>392</v>
      </c>
      <c r="B290" t="s">
        <v>256</v>
      </c>
      <c r="D290">
        <v>6</v>
      </c>
      <c r="E290">
        <v>2</v>
      </c>
    </row>
    <row r="291" spans="1:5">
      <c r="A291" t="s">
        <v>392</v>
      </c>
      <c r="B291" t="s">
        <v>257</v>
      </c>
      <c r="D291">
        <v>8</v>
      </c>
      <c r="E291">
        <v>2</v>
      </c>
    </row>
    <row r="292" spans="1:5">
      <c r="A292" t="s">
        <v>392</v>
      </c>
      <c r="B292" t="s">
        <v>393</v>
      </c>
      <c r="D292">
        <v>9</v>
      </c>
      <c r="E292">
        <v>3</v>
      </c>
    </row>
    <row r="293" spans="1:5">
      <c r="A293" t="s">
        <v>392</v>
      </c>
      <c r="B293" t="s">
        <v>394</v>
      </c>
      <c r="D293">
        <v>10</v>
      </c>
      <c r="E293">
        <v>3</v>
      </c>
    </row>
    <row r="294" spans="1:5">
      <c r="A294" t="s">
        <v>392</v>
      </c>
      <c r="B294" t="s">
        <v>395</v>
      </c>
      <c r="D294">
        <v>11</v>
      </c>
      <c r="E294">
        <v>3</v>
      </c>
    </row>
    <row r="295" spans="1:5">
      <c r="A295" t="s">
        <v>392</v>
      </c>
      <c r="B295" t="s">
        <v>261</v>
      </c>
      <c r="D295">
        <v>12</v>
      </c>
      <c r="E295">
        <v>3</v>
      </c>
    </row>
    <row r="296" spans="1:5">
      <c r="A296" t="s">
        <v>392</v>
      </c>
      <c r="B296" t="s">
        <v>396</v>
      </c>
      <c r="D296">
        <v>13</v>
      </c>
      <c r="E296">
        <v>4</v>
      </c>
    </row>
    <row r="297" spans="1:5">
      <c r="A297" t="s">
        <v>392</v>
      </c>
      <c r="B297" t="s">
        <v>397</v>
      </c>
      <c r="D297">
        <v>15</v>
      </c>
      <c r="E297">
        <v>4</v>
      </c>
    </row>
    <row r="298" spans="1:5">
      <c r="A298" t="s">
        <v>392</v>
      </c>
      <c r="B298" t="s">
        <v>398</v>
      </c>
      <c r="D298">
        <v>14</v>
      </c>
      <c r="E298">
        <v>4</v>
      </c>
    </row>
    <row r="299" spans="1:5">
      <c r="A299" t="s">
        <v>392</v>
      </c>
      <c r="B299" t="s">
        <v>265</v>
      </c>
      <c r="D299">
        <v>16</v>
      </c>
      <c r="E299">
        <v>4</v>
      </c>
    </row>
    <row r="300" spans="1:5">
      <c r="A300" t="s">
        <v>392</v>
      </c>
      <c r="B300" t="s">
        <v>399</v>
      </c>
      <c r="D300">
        <v>18</v>
      </c>
      <c r="E300">
        <v>5</v>
      </c>
    </row>
    <row r="301" spans="1:5">
      <c r="A301" t="s">
        <v>392</v>
      </c>
      <c r="B301" t="s">
        <v>400</v>
      </c>
      <c r="D301">
        <v>19</v>
      </c>
      <c r="E301">
        <v>5</v>
      </c>
    </row>
    <row r="302" spans="1:5">
      <c r="A302" t="s">
        <v>392</v>
      </c>
      <c r="B302" t="s">
        <v>401</v>
      </c>
      <c r="D302">
        <v>17</v>
      </c>
      <c r="E302">
        <v>5</v>
      </c>
    </row>
    <row r="303" spans="1:5">
      <c r="A303" t="s">
        <v>392</v>
      </c>
      <c r="B303" t="s">
        <v>269</v>
      </c>
      <c r="D303">
        <v>20</v>
      </c>
      <c r="E303">
        <v>5</v>
      </c>
    </row>
    <row r="304" spans="1:5">
      <c r="A304" t="s">
        <v>392</v>
      </c>
      <c r="B304" t="s">
        <v>402</v>
      </c>
      <c r="D304">
        <v>21</v>
      </c>
      <c r="E304">
        <v>6</v>
      </c>
    </row>
    <row r="305" spans="1:5">
      <c r="A305" t="s">
        <v>392</v>
      </c>
      <c r="B305" t="s">
        <v>271</v>
      </c>
      <c r="D305">
        <v>22</v>
      </c>
      <c r="E305">
        <v>6</v>
      </c>
    </row>
    <row r="306" spans="1:5">
      <c r="A306" t="s">
        <v>392</v>
      </c>
      <c r="B306" t="s">
        <v>272</v>
      </c>
      <c r="D306">
        <v>23</v>
      </c>
      <c r="E306">
        <v>6</v>
      </c>
    </row>
    <row r="307" spans="1:5">
      <c r="A307" t="s">
        <v>392</v>
      </c>
      <c r="B307" t="s">
        <v>273</v>
      </c>
      <c r="D307">
        <v>24</v>
      </c>
      <c r="E307">
        <v>6</v>
      </c>
    </row>
    <row r="308" spans="1:5">
      <c r="A308" t="s">
        <v>392</v>
      </c>
      <c r="B308" t="s">
        <v>274</v>
      </c>
      <c r="D308">
        <v>25</v>
      </c>
      <c r="E308">
        <v>7</v>
      </c>
    </row>
    <row r="309" spans="1:5">
      <c r="A309" t="s">
        <v>392</v>
      </c>
      <c r="B309" t="s">
        <v>275</v>
      </c>
      <c r="D309">
        <v>26</v>
      </c>
      <c r="E309">
        <v>7</v>
      </c>
    </row>
    <row r="310" spans="1:5">
      <c r="A310" t="s">
        <v>392</v>
      </c>
      <c r="B310" t="s">
        <v>276</v>
      </c>
      <c r="D310">
        <v>27</v>
      </c>
      <c r="E310">
        <v>7</v>
      </c>
    </row>
    <row r="311" spans="1:5">
      <c r="A311" t="s">
        <v>392</v>
      </c>
      <c r="B311" t="s">
        <v>277</v>
      </c>
      <c r="D311">
        <v>28</v>
      </c>
      <c r="E311">
        <v>7</v>
      </c>
    </row>
    <row r="312" spans="1:5">
      <c r="A312" t="s">
        <v>403</v>
      </c>
      <c r="B312" t="s">
        <v>248</v>
      </c>
      <c r="D312">
        <v>1</v>
      </c>
      <c r="E312">
        <v>1</v>
      </c>
    </row>
    <row r="313" spans="1:5">
      <c r="A313" t="s">
        <v>403</v>
      </c>
      <c r="B313" t="s">
        <v>251</v>
      </c>
      <c r="D313">
        <v>3</v>
      </c>
      <c r="E313">
        <v>1</v>
      </c>
    </row>
    <row r="314" spans="1:5">
      <c r="A314" t="s">
        <v>403</v>
      </c>
      <c r="B314" t="s">
        <v>252</v>
      </c>
      <c r="D314">
        <v>2</v>
      </c>
      <c r="E314">
        <v>1</v>
      </c>
    </row>
    <row r="315" spans="1:5">
      <c r="A315" t="s">
        <v>403</v>
      </c>
      <c r="B315" t="s">
        <v>253</v>
      </c>
      <c r="D315">
        <v>4</v>
      </c>
      <c r="E315">
        <v>1</v>
      </c>
    </row>
    <row r="316" spans="1:5">
      <c r="A316" t="s">
        <v>403</v>
      </c>
      <c r="B316" t="s">
        <v>254</v>
      </c>
      <c r="D316">
        <v>6</v>
      </c>
      <c r="E316">
        <v>2</v>
      </c>
    </row>
    <row r="317" spans="1:5">
      <c r="A317" t="s">
        <v>403</v>
      </c>
      <c r="B317" t="s">
        <v>255</v>
      </c>
      <c r="D317">
        <v>7</v>
      </c>
      <c r="E317">
        <v>2</v>
      </c>
    </row>
    <row r="318" spans="1:5">
      <c r="A318" t="s">
        <v>403</v>
      </c>
      <c r="B318" t="s">
        <v>256</v>
      </c>
      <c r="D318">
        <v>5</v>
      </c>
      <c r="E318">
        <v>2</v>
      </c>
    </row>
    <row r="319" spans="1:5">
      <c r="A319" t="s">
        <v>403</v>
      </c>
      <c r="B319" t="s">
        <v>257</v>
      </c>
      <c r="D319">
        <v>8</v>
      </c>
      <c r="E319">
        <v>2</v>
      </c>
    </row>
    <row r="320" spans="1:5">
      <c r="A320" t="s">
        <v>403</v>
      </c>
      <c r="B320" t="s">
        <v>404</v>
      </c>
      <c r="D320">
        <v>9</v>
      </c>
      <c r="E320">
        <v>3</v>
      </c>
    </row>
    <row r="321" spans="1:5">
      <c r="A321" t="s">
        <v>403</v>
      </c>
      <c r="B321" t="s">
        <v>405</v>
      </c>
      <c r="D321">
        <v>11</v>
      </c>
      <c r="E321">
        <v>3</v>
      </c>
    </row>
    <row r="322" spans="1:5">
      <c r="A322" t="s">
        <v>403</v>
      </c>
      <c r="B322" t="s">
        <v>406</v>
      </c>
      <c r="D322">
        <v>10</v>
      </c>
      <c r="E322">
        <v>3</v>
      </c>
    </row>
    <row r="323" spans="1:5">
      <c r="A323" t="s">
        <v>403</v>
      </c>
      <c r="B323" t="s">
        <v>261</v>
      </c>
      <c r="D323">
        <v>12</v>
      </c>
      <c r="E323">
        <v>3</v>
      </c>
    </row>
    <row r="324" spans="1:5">
      <c r="A324" t="s">
        <v>403</v>
      </c>
      <c r="B324" t="s">
        <v>407</v>
      </c>
      <c r="D324">
        <v>15</v>
      </c>
      <c r="E324">
        <v>4</v>
      </c>
    </row>
    <row r="325" spans="1:5">
      <c r="A325" t="s">
        <v>403</v>
      </c>
      <c r="B325" t="s">
        <v>408</v>
      </c>
      <c r="D325">
        <v>14</v>
      </c>
      <c r="E325">
        <v>4</v>
      </c>
    </row>
    <row r="326" spans="1:5">
      <c r="A326" t="s">
        <v>403</v>
      </c>
      <c r="B326" t="s">
        <v>409</v>
      </c>
      <c r="D326">
        <v>13</v>
      </c>
      <c r="E326">
        <v>4</v>
      </c>
    </row>
    <row r="327" spans="1:5">
      <c r="A327" t="s">
        <v>403</v>
      </c>
      <c r="B327" t="s">
        <v>265</v>
      </c>
      <c r="D327">
        <v>16</v>
      </c>
      <c r="E327">
        <v>4</v>
      </c>
    </row>
    <row r="328" spans="1:5">
      <c r="A328" t="s">
        <v>403</v>
      </c>
      <c r="B328" t="s">
        <v>410</v>
      </c>
      <c r="D328">
        <v>18</v>
      </c>
      <c r="E328">
        <v>5</v>
      </c>
    </row>
    <row r="329" spans="1:5">
      <c r="A329" t="s">
        <v>403</v>
      </c>
      <c r="B329" t="s">
        <v>411</v>
      </c>
      <c r="D329">
        <v>19</v>
      </c>
      <c r="E329">
        <v>5</v>
      </c>
    </row>
    <row r="330" spans="1:5">
      <c r="A330" t="s">
        <v>403</v>
      </c>
      <c r="B330" t="s">
        <v>412</v>
      </c>
      <c r="D330">
        <v>17</v>
      </c>
      <c r="E330">
        <v>5</v>
      </c>
    </row>
    <row r="331" spans="1:5">
      <c r="A331" t="s">
        <v>403</v>
      </c>
      <c r="B331" t="s">
        <v>269</v>
      </c>
      <c r="D331">
        <v>20</v>
      </c>
      <c r="E331">
        <v>5</v>
      </c>
    </row>
    <row r="332" spans="1:5">
      <c r="A332" t="s">
        <v>403</v>
      </c>
      <c r="B332" t="s">
        <v>270</v>
      </c>
      <c r="D332">
        <v>21</v>
      </c>
      <c r="E332">
        <v>6</v>
      </c>
    </row>
    <row r="333" spans="1:5">
      <c r="A333" t="s">
        <v>403</v>
      </c>
      <c r="B333" t="s">
        <v>271</v>
      </c>
      <c r="D333">
        <v>22</v>
      </c>
      <c r="E333">
        <v>6</v>
      </c>
    </row>
    <row r="334" spans="1:5">
      <c r="A334" t="s">
        <v>403</v>
      </c>
      <c r="B334" t="s">
        <v>272</v>
      </c>
      <c r="D334">
        <v>23</v>
      </c>
      <c r="E334">
        <v>6</v>
      </c>
    </row>
    <row r="335" spans="1:5">
      <c r="A335" t="s">
        <v>403</v>
      </c>
      <c r="B335" t="s">
        <v>273</v>
      </c>
      <c r="D335">
        <v>24</v>
      </c>
      <c r="E335">
        <v>6</v>
      </c>
    </row>
    <row r="336" spans="1:5">
      <c r="A336" t="s">
        <v>403</v>
      </c>
      <c r="B336" t="s">
        <v>274</v>
      </c>
      <c r="D336">
        <v>25</v>
      </c>
      <c r="E336">
        <v>7</v>
      </c>
    </row>
    <row r="337" spans="1:5">
      <c r="A337" t="s">
        <v>403</v>
      </c>
      <c r="B337" t="s">
        <v>275</v>
      </c>
      <c r="D337">
        <v>26</v>
      </c>
      <c r="E337">
        <v>7</v>
      </c>
    </row>
    <row r="338" spans="1:5">
      <c r="A338" t="s">
        <v>403</v>
      </c>
      <c r="B338" t="s">
        <v>276</v>
      </c>
      <c r="D338">
        <v>27</v>
      </c>
      <c r="E338">
        <v>7</v>
      </c>
    </row>
    <row r="339" spans="1:5">
      <c r="A339" t="s">
        <v>403</v>
      </c>
      <c r="B339" t="s">
        <v>277</v>
      </c>
      <c r="D339">
        <v>28</v>
      </c>
      <c r="E339">
        <v>7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2"/>
  <sheetViews>
    <sheetView workbookViewId="0">
      <selection sqref="A1:F1"/>
    </sheetView>
  </sheetViews>
  <sheetFormatPr baseColWidth="10" defaultColWidth="8.6640625" defaultRowHeight="14"/>
  <cols>
    <col min="1" max="1" width="24" customWidth="1"/>
    <col min="2" max="2" width="18" customWidth="1"/>
    <col min="3" max="3" width="36" customWidth="1"/>
    <col min="4" max="4" width="18" customWidth="1"/>
    <col min="5" max="5" width="12" customWidth="1"/>
    <col min="6" max="6" width="60" customWidth="1"/>
  </cols>
  <sheetData>
    <row r="1" spans="1:6" ht="0.65" customHeight="1">
      <c r="A1" s="96" t="s">
        <v>413</v>
      </c>
      <c r="B1" s="89"/>
      <c r="C1" s="89"/>
      <c r="D1" s="89"/>
      <c r="E1" s="89"/>
      <c r="F1" s="89"/>
    </row>
    <row r="3" spans="1:6" ht="0.65" customHeight="1">
      <c r="A3" s="17" t="s">
        <v>414</v>
      </c>
      <c r="B3" s="17" t="s">
        <v>415</v>
      </c>
      <c r="C3" s="17" t="s">
        <v>241</v>
      </c>
      <c r="D3" s="17" t="s">
        <v>416</v>
      </c>
      <c r="E3" s="17" t="s">
        <v>417</v>
      </c>
      <c r="F3" s="17" t="s">
        <v>246</v>
      </c>
    </row>
    <row r="4" spans="1:6" ht="0.65" customHeight="1">
      <c r="A4" s="19" t="s">
        <v>58</v>
      </c>
      <c r="B4" s="19" t="s">
        <v>51</v>
      </c>
      <c r="C4" s="19" t="s">
        <v>327</v>
      </c>
      <c r="D4" s="19" t="s">
        <v>46</v>
      </c>
      <c r="E4" s="19" t="s">
        <v>418</v>
      </c>
      <c r="F4" s="19" t="s">
        <v>419</v>
      </c>
    </row>
    <row r="5" spans="1:6">
      <c r="A5" t="s">
        <v>58</v>
      </c>
      <c r="B5" t="s">
        <v>51</v>
      </c>
      <c r="C5" t="s">
        <v>311</v>
      </c>
      <c r="D5" t="s">
        <v>46</v>
      </c>
      <c r="E5" t="s">
        <v>418</v>
      </c>
    </row>
    <row r="6" spans="1:6">
      <c r="A6" t="s">
        <v>58</v>
      </c>
      <c r="B6" t="s">
        <v>51</v>
      </c>
      <c r="C6" t="s">
        <v>355</v>
      </c>
      <c r="D6" t="s">
        <v>46</v>
      </c>
      <c r="E6" t="s">
        <v>418</v>
      </c>
    </row>
    <row r="7" spans="1:6">
      <c r="A7" t="s">
        <v>58</v>
      </c>
      <c r="B7" t="s">
        <v>51</v>
      </c>
      <c r="C7" t="s">
        <v>403</v>
      </c>
      <c r="D7" t="s">
        <v>46</v>
      </c>
      <c r="E7" t="s">
        <v>418</v>
      </c>
    </row>
    <row r="8" spans="1:6">
      <c r="A8" t="s">
        <v>58</v>
      </c>
      <c r="B8" t="s">
        <v>51</v>
      </c>
      <c r="C8" t="s">
        <v>247</v>
      </c>
      <c r="D8" t="s">
        <v>46</v>
      </c>
      <c r="E8" t="s">
        <v>418</v>
      </c>
    </row>
    <row r="9" spans="1:6">
      <c r="A9" t="s">
        <v>58</v>
      </c>
      <c r="B9" t="s">
        <v>51</v>
      </c>
      <c r="C9" t="s">
        <v>278</v>
      </c>
      <c r="D9" t="s">
        <v>46</v>
      </c>
      <c r="E9" t="s">
        <v>418</v>
      </c>
    </row>
    <row r="10" spans="1:6">
      <c r="A10" t="s">
        <v>58</v>
      </c>
      <c r="B10" t="s">
        <v>51</v>
      </c>
      <c r="C10" t="s">
        <v>420</v>
      </c>
      <c r="D10" t="s">
        <v>46</v>
      </c>
      <c r="E10" t="s">
        <v>418</v>
      </c>
    </row>
    <row r="11" spans="1:6">
      <c r="A11" t="s">
        <v>60</v>
      </c>
      <c r="B11" t="s">
        <v>51</v>
      </c>
      <c r="C11" t="s">
        <v>327</v>
      </c>
      <c r="D11" t="s">
        <v>46</v>
      </c>
      <c r="E11" t="s">
        <v>418</v>
      </c>
    </row>
    <row r="12" spans="1:6">
      <c r="A12" t="s">
        <v>60</v>
      </c>
      <c r="B12" t="s">
        <v>51</v>
      </c>
      <c r="C12" t="s">
        <v>311</v>
      </c>
      <c r="D12" t="s">
        <v>46</v>
      </c>
      <c r="E12" t="s">
        <v>418</v>
      </c>
    </row>
    <row r="13" spans="1:6">
      <c r="A13" t="s">
        <v>60</v>
      </c>
      <c r="B13" t="s">
        <v>51</v>
      </c>
      <c r="C13" t="s">
        <v>355</v>
      </c>
      <c r="D13" t="s">
        <v>46</v>
      </c>
      <c r="E13" t="s">
        <v>418</v>
      </c>
    </row>
    <row r="14" spans="1:6">
      <c r="A14" t="s">
        <v>60</v>
      </c>
      <c r="B14" t="s">
        <v>51</v>
      </c>
      <c r="C14" t="s">
        <v>403</v>
      </c>
      <c r="D14" t="s">
        <v>46</v>
      </c>
      <c r="E14" t="s">
        <v>418</v>
      </c>
    </row>
    <row r="15" spans="1:6">
      <c r="A15" t="s">
        <v>60</v>
      </c>
      <c r="B15" t="s">
        <v>51</v>
      </c>
      <c r="C15" t="s">
        <v>302</v>
      </c>
      <c r="D15" t="s">
        <v>46</v>
      </c>
      <c r="E15" t="s">
        <v>418</v>
      </c>
    </row>
    <row r="16" spans="1:6">
      <c r="A16" t="s">
        <v>60</v>
      </c>
      <c r="B16" t="s">
        <v>51</v>
      </c>
      <c r="C16" t="s">
        <v>278</v>
      </c>
      <c r="D16" t="s">
        <v>46</v>
      </c>
      <c r="E16" t="s">
        <v>418</v>
      </c>
    </row>
    <row r="17" spans="1:5">
      <c r="A17" t="s">
        <v>60</v>
      </c>
      <c r="B17" t="s">
        <v>51</v>
      </c>
      <c r="C17" t="s">
        <v>392</v>
      </c>
      <c r="D17" t="s">
        <v>46</v>
      </c>
      <c r="E17" t="s">
        <v>418</v>
      </c>
    </row>
    <row r="18" spans="1:5">
      <c r="A18" t="s">
        <v>60</v>
      </c>
      <c r="B18" t="s">
        <v>51</v>
      </c>
      <c r="C18" t="s">
        <v>381</v>
      </c>
      <c r="D18" t="s">
        <v>46</v>
      </c>
      <c r="E18" t="s">
        <v>418</v>
      </c>
    </row>
    <row r="19" spans="1:5">
      <c r="A19" t="s">
        <v>62</v>
      </c>
      <c r="B19" t="s">
        <v>51</v>
      </c>
      <c r="C19" t="s">
        <v>327</v>
      </c>
      <c r="D19" t="s">
        <v>46</v>
      </c>
      <c r="E19" t="s">
        <v>418</v>
      </c>
    </row>
    <row r="20" spans="1:5">
      <c r="A20" t="s">
        <v>62</v>
      </c>
      <c r="B20" t="s">
        <v>51</v>
      </c>
      <c r="C20" t="s">
        <v>355</v>
      </c>
      <c r="D20" t="s">
        <v>46</v>
      </c>
      <c r="E20" t="s">
        <v>418</v>
      </c>
    </row>
    <row r="21" spans="1:5">
      <c r="A21" t="s">
        <v>62</v>
      </c>
      <c r="B21" t="s">
        <v>51</v>
      </c>
      <c r="C21" t="s">
        <v>403</v>
      </c>
      <c r="D21" t="s">
        <v>46</v>
      </c>
      <c r="E21" t="s">
        <v>418</v>
      </c>
    </row>
    <row r="22" spans="1:5">
      <c r="A22" t="s">
        <v>62</v>
      </c>
      <c r="B22" t="s">
        <v>51</v>
      </c>
      <c r="C22" t="s">
        <v>278</v>
      </c>
      <c r="D22" t="s">
        <v>46</v>
      </c>
      <c r="E22" t="s">
        <v>418</v>
      </c>
    </row>
    <row r="23" spans="1:5">
      <c r="A23" t="s">
        <v>62</v>
      </c>
      <c r="B23" t="s">
        <v>51</v>
      </c>
      <c r="C23" t="s">
        <v>392</v>
      </c>
      <c r="D23" t="s">
        <v>46</v>
      </c>
      <c r="E23" t="s">
        <v>418</v>
      </c>
    </row>
    <row r="24" spans="1:5">
      <c r="A24" t="s">
        <v>62</v>
      </c>
      <c r="B24" t="s">
        <v>51</v>
      </c>
      <c r="C24" t="s">
        <v>381</v>
      </c>
      <c r="D24" t="s">
        <v>46</v>
      </c>
      <c r="E24" t="s">
        <v>418</v>
      </c>
    </row>
    <row r="25" spans="1:5">
      <c r="A25" t="s">
        <v>64</v>
      </c>
      <c r="B25" t="s">
        <v>51</v>
      </c>
      <c r="C25" t="s">
        <v>327</v>
      </c>
      <c r="D25" t="s">
        <v>46</v>
      </c>
      <c r="E25" t="s">
        <v>418</v>
      </c>
    </row>
    <row r="26" spans="1:5">
      <c r="A26" t="s">
        <v>64</v>
      </c>
      <c r="B26" t="s">
        <v>51</v>
      </c>
      <c r="C26" t="s">
        <v>311</v>
      </c>
      <c r="D26" t="s">
        <v>46</v>
      </c>
      <c r="E26" t="s">
        <v>418</v>
      </c>
    </row>
    <row r="27" spans="1:5">
      <c r="A27" t="s">
        <v>64</v>
      </c>
      <c r="B27" t="s">
        <v>51</v>
      </c>
      <c r="C27" t="s">
        <v>355</v>
      </c>
      <c r="D27" t="s">
        <v>46</v>
      </c>
      <c r="E27" t="s">
        <v>418</v>
      </c>
    </row>
    <row r="28" spans="1:5">
      <c r="A28" t="s">
        <v>64</v>
      </c>
      <c r="B28" t="s">
        <v>51</v>
      </c>
      <c r="C28" t="s">
        <v>403</v>
      </c>
      <c r="D28" t="s">
        <v>46</v>
      </c>
      <c r="E28" t="s">
        <v>418</v>
      </c>
    </row>
    <row r="29" spans="1:5">
      <c r="A29" t="s">
        <v>64</v>
      </c>
      <c r="B29" t="s">
        <v>51</v>
      </c>
      <c r="C29" t="s">
        <v>247</v>
      </c>
      <c r="D29" t="s">
        <v>46</v>
      </c>
      <c r="E29" t="s">
        <v>418</v>
      </c>
    </row>
    <row r="30" spans="1:5">
      <c r="A30" t="s">
        <v>64</v>
      </c>
      <c r="B30" t="s">
        <v>51</v>
      </c>
      <c r="C30" t="s">
        <v>278</v>
      </c>
      <c r="D30" t="s">
        <v>46</v>
      </c>
      <c r="E30" t="s">
        <v>418</v>
      </c>
    </row>
    <row r="31" spans="1:5">
      <c r="A31" t="s">
        <v>64</v>
      </c>
      <c r="B31" t="s">
        <v>51</v>
      </c>
      <c r="C31" t="s">
        <v>293</v>
      </c>
      <c r="D31" t="s">
        <v>46</v>
      </c>
      <c r="E31" t="s">
        <v>418</v>
      </c>
    </row>
    <row r="32" spans="1:5">
      <c r="A32" t="s">
        <v>64</v>
      </c>
      <c r="B32" t="s">
        <v>51</v>
      </c>
      <c r="C32" t="s">
        <v>392</v>
      </c>
      <c r="D32" t="s">
        <v>46</v>
      </c>
      <c r="E32" t="s">
        <v>418</v>
      </c>
    </row>
    <row r="33" spans="1:5">
      <c r="A33" t="s">
        <v>64</v>
      </c>
      <c r="B33" t="s">
        <v>51</v>
      </c>
      <c r="C33" t="s">
        <v>381</v>
      </c>
      <c r="D33" t="s">
        <v>46</v>
      </c>
      <c r="E33" t="s">
        <v>418</v>
      </c>
    </row>
    <row r="34" spans="1:5">
      <c r="A34" t="s">
        <v>66</v>
      </c>
      <c r="B34" t="s">
        <v>51</v>
      </c>
      <c r="C34" t="s">
        <v>327</v>
      </c>
      <c r="D34" t="s">
        <v>46</v>
      </c>
      <c r="E34" t="s">
        <v>418</v>
      </c>
    </row>
    <row r="35" spans="1:5">
      <c r="A35" t="s">
        <v>66</v>
      </c>
      <c r="B35" t="s">
        <v>51</v>
      </c>
      <c r="C35" t="s">
        <v>355</v>
      </c>
      <c r="D35" t="s">
        <v>46</v>
      </c>
      <c r="E35" t="s">
        <v>418</v>
      </c>
    </row>
    <row r="36" spans="1:5">
      <c r="A36" t="s">
        <v>66</v>
      </c>
      <c r="B36" t="s">
        <v>51</v>
      </c>
      <c r="C36" t="s">
        <v>403</v>
      </c>
      <c r="D36" t="s">
        <v>46</v>
      </c>
      <c r="E36" t="s">
        <v>418</v>
      </c>
    </row>
    <row r="37" spans="1:5">
      <c r="A37" t="s">
        <v>66</v>
      </c>
      <c r="B37" t="s">
        <v>51</v>
      </c>
      <c r="C37" t="s">
        <v>247</v>
      </c>
      <c r="D37" t="s">
        <v>46</v>
      </c>
      <c r="E37" t="s">
        <v>418</v>
      </c>
    </row>
    <row r="38" spans="1:5">
      <c r="A38" t="s">
        <v>66</v>
      </c>
      <c r="B38" t="s">
        <v>51</v>
      </c>
      <c r="C38" t="s">
        <v>278</v>
      </c>
      <c r="D38" t="s">
        <v>46</v>
      </c>
      <c r="E38" t="s">
        <v>418</v>
      </c>
    </row>
    <row r="39" spans="1:5">
      <c r="A39" t="s">
        <v>66</v>
      </c>
      <c r="B39" t="s">
        <v>51</v>
      </c>
      <c r="C39" t="s">
        <v>392</v>
      </c>
      <c r="D39" t="s">
        <v>46</v>
      </c>
      <c r="E39" t="s">
        <v>418</v>
      </c>
    </row>
    <row r="40" spans="1:5">
      <c r="A40" t="s">
        <v>66</v>
      </c>
      <c r="B40" t="s">
        <v>51</v>
      </c>
      <c r="C40" t="s">
        <v>381</v>
      </c>
      <c r="D40" t="s">
        <v>46</v>
      </c>
      <c r="E40" t="s">
        <v>418</v>
      </c>
    </row>
    <row r="41" spans="1:5">
      <c r="A41" t="s">
        <v>68</v>
      </c>
      <c r="B41" t="s">
        <v>51</v>
      </c>
      <c r="C41" t="s">
        <v>327</v>
      </c>
      <c r="D41" t="s">
        <v>46</v>
      </c>
      <c r="E41" t="s">
        <v>418</v>
      </c>
    </row>
    <row r="42" spans="1:5">
      <c r="A42" t="s">
        <v>68</v>
      </c>
      <c r="B42" t="s">
        <v>51</v>
      </c>
      <c r="C42" t="s">
        <v>355</v>
      </c>
      <c r="D42" t="s">
        <v>46</v>
      </c>
      <c r="E42" t="s">
        <v>418</v>
      </c>
    </row>
    <row r="43" spans="1:5">
      <c r="A43" t="s">
        <v>68</v>
      </c>
      <c r="B43" t="s">
        <v>51</v>
      </c>
      <c r="C43" t="s">
        <v>403</v>
      </c>
      <c r="D43" t="s">
        <v>46</v>
      </c>
      <c r="E43" t="s">
        <v>418</v>
      </c>
    </row>
    <row r="44" spans="1:5">
      <c r="A44" t="s">
        <v>68</v>
      </c>
      <c r="B44" t="s">
        <v>51</v>
      </c>
      <c r="C44" t="s">
        <v>247</v>
      </c>
      <c r="D44" t="s">
        <v>46</v>
      </c>
      <c r="E44" t="s">
        <v>418</v>
      </c>
    </row>
    <row r="45" spans="1:5">
      <c r="A45" t="s">
        <v>68</v>
      </c>
      <c r="B45" t="s">
        <v>51</v>
      </c>
      <c r="C45" t="s">
        <v>278</v>
      </c>
      <c r="D45" t="s">
        <v>46</v>
      </c>
      <c r="E45" t="s">
        <v>418</v>
      </c>
    </row>
    <row r="46" spans="1:5">
      <c r="A46" t="s">
        <v>68</v>
      </c>
      <c r="B46" t="s">
        <v>51</v>
      </c>
      <c r="C46" t="s">
        <v>293</v>
      </c>
      <c r="D46" t="s">
        <v>46</v>
      </c>
      <c r="E46" t="s">
        <v>418</v>
      </c>
    </row>
    <row r="47" spans="1:5">
      <c r="A47" t="s">
        <v>68</v>
      </c>
      <c r="B47" t="s">
        <v>51</v>
      </c>
      <c r="C47" t="s">
        <v>381</v>
      </c>
      <c r="D47" t="s">
        <v>46</v>
      </c>
      <c r="E47" t="s">
        <v>418</v>
      </c>
    </row>
    <row r="48" spans="1:5">
      <c r="A48" t="s">
        <v>69</v>
      </c>
      <c r="B48" t="s">
        <v>51</v>
      </c>
      <c r="C48" t="s">
        <v>327</v>
      </c>
      <c r="D48" t="s">
        <v>46</v>
      </c>
      <c r="E48" t="s">
        <v>418</v>
      </c>
    </row>
    <row r="49" spans="1:5">
      <c r="A49" t="s">
        <v>69</v>
      </c>
      <c r="B49" t="s">
        <v>51</v>
      </c>
      <c r="C49" t="s">
        <v>355</v>
      </c>
      <c r="D49" t="s">
        <v>46</v>
      </c>
      <c r="E49" t="s">
        <v>418</v>
      </c>
    </row>
    <row r="50" spans="1:5">
      <c r="A50" t="s">
        <v>69</v>
      </c>
      <c r="B50" t="s">
        <v>51</v>
      </c>
      <c r="C50" t="s">
        <v>403</v>
      </c>
      <c r="D50" t="s">
        <v>46</v>
      </c>
      <c r="E50" t="s">
        <v>418</v>
      </c>
    </row>
    <row r="51" spans="1:5">
      <c r="A51" t="s">
        <v>69</v>
      </c>
      <c r="B51" t="s">
        <v>51</v>
      </c>
      <c r="C51" t="s">
        <v>247</v>
      </c>
      <c r="D51" t="s">
        <v>46</v>
      </c>
      <c r="E51" t="s">
        <v>418</v>
      </c>
    </row>
    <row r="52" spans="1:5">
      <c r="A52" t="s">
        <v>69</v>
      </c>
      <c r="B52" t="s">
        <v>51</v>
      </c>
      <c r="C52" t="s">
        <v>278</v>
      </c>
      <c r="D52" t="s">
        <v>46</v>
      </c>
      <c r="E52" t="s">
        <v>418</v>
      </c>
    </row>
    <row r="53" spans="1:5">
      <c r="A53" t="s">
        <v>69</v>
      </c>
      <c r="B53" t="s">
        <v>51</v>
      </c>
      <c r="C53" t="s">
        <v>381</v>
      </c>
      <c r="D53" t="s">
        <v>46</v>
      </c>
      <c r="E53" t="s">
        <v>418</v>
      </c>
    </row>
    <row r="54" spans="1:5">
      <c r="A54" t="s">
        <v>69</v>
      </c>
      <c r="B54" t="s">
        <v>51</v>
      </c>
      <c r="C54" t="s">
        <v>421</v>
      </c>
      <c r="D54" t="s">
        <v>46</v>
      </c>
      <c r="E54" t="s">
        <v>418</v>
      </c>
    </row>
    <row r="55" spans="1:5">
      <c r="A55" t="s">
        <v>71</v>
      </c>
      <c r="B55" t="s">
        <v>51</v>
      </c>
      <c r="C55" t="s">
        <v>327</v>
      </c>
      <c r="D55" t="s">
        <v>46</v>
      </c>
      <c r="E55" t="s">
        <v>418</v>
      </c>
    </row>
    <row r="56" spans="1:5">
      <c r="A56" t="s">
        <v>71</v>
      </c>
      <c r="B56" t="s">
        <v>51</v>
      </c>
      <c r="C56" t="s">
        <v>355</v>
      </c>
      <c r="D56" t="s">
        <v>46</v>
      </c>
      <c r="E56" t="s">
        <v>418</v>
      </c>
    </row>
    <row r="57" spans="1:5">
      <c r="A57" t="s">
        <v>71</v>
      </c>
      <c r="B57" t="s">
        <v>51</v>
      </c>
      <c r="C57" t="s">
        <v>403</v>
      </c>
      <c r="D57" t="s">
        <v>46</v>
      </c>
      <c r="E57" t="s">
        <v>418</v>
      </c>
    </row>
    <row r="58" spans="1:5">
      <c r="A58" t="s">
        <v>71</v>
      </c>
      <c r="B58" t="s">
        <v>51</v>
      </c>
      <c r="C58" t="s">
        <v>247</v>
      </c>
      <c r="D58" t="s">
        <v>46</v>
      </c>
      <c r="E58" t="s">
        <v>418</v>
      </c>
    </row>
    <row r="59" spans="1:5">
      <c r="A59" t="s">
        <v>71</v>
      </c>
      <c r="B59" t="s">
        <v>51</v>
      </c>
      <c r="C59" t="s">
        <v>278</v>
      </c>
      <c r="D59" t="s">
        <v>46</v>
      </c>
      <c r="E59" t="s">
        <v>418</v>
      </c>
    </row>
    <row r="60" spans="1:5">
      <c r="A60" t="s">
        <v>73</v>
      </c>
      <c r="B60" t="s">
        <v>51</v>
      </c>
      <c r="C60" t="s">
        <v>327</v>
      </c>
      <c r="D60" t="s">
        <v>46</v>
      </c>
      <c r="E60" t="s">
        <v>418</v>
      </c>
    </row>
    <row r="61" spans="1:5">
      <c r="A61" t="s">
        <v>73</v>
      </c>
      <c r="B61" t="s">
        <v>51</v>
      </c>
      <c r="C61" t="s">
        <v>311</v>
      </c>
      <c r="D61" t="s">
        <v>46</v>
      </c>
      <c r="E61" t="s">
        <v>418</v>
      </c>
    </row>
    <row r="62" spans="1:5">
      <c r="A62" t="s">
        <v>73</v>
      </c>
      <c r="B62" t="s">
        <v>51</v>
      </c>
      <c r="C62" t="s">
        <v>355</v>
      </c>
      <c r="D62" t="s">
        <v>46</v>
      </c>
      <c r="E62" t="s">
        <v>418</v>
      </c>
    </row>
    <row r="63" spans="1:5">
      <c r="A63" t="s">
        <v>73</v>
      </c>
      <c r="B63" t="s">
        <v>51</v>
      </c>
      <c r="C63" t="s">
        <v>403</v>
      </c>
      <c r="D63" t="s">
        <v>46</v>
      </c>
      <c r="E63" t="s">
        <v>418</v>
      </c>
    </row>
    <row r="64" spans="1:5">
      <c r="A64" t="s">
        <v>73</v>
      </c>
      <c r="B64" t="s">
        <v>51</v>
      </c>
      <c r="C64" t="s">
        <v>247</v>
      </c>
      <c r="D64" t="s">
        <v>46</v>
      </c>
      <c r="E64" t="s">
        <v>418</v>
      </c>
    </row>
    <row r="65" spans="1:5">
      <c r="A65" t="s">
        <v>73</v>
      </c>
      <c r="B65" t="s">
        <v>51</v>
      </c>
      <c r="C65" t="s">
        <v>278</v>
      </c>
      <c r="D65" t="s">
        <v>46</v>
      </c>
      <c r="E65" t="s">
        <v>418</v>
      </c>
    </row>
    <row r="66" spans="1:5">
      <c r="A66" t="s">
        <v>73</v>
      </c>
      <c r="B66" t="s">
        <v>51</v>
      </c>
      <c r="C66" t="s">
        <v>293</v>
      </c>
      <c r="D66" t="s">
        <v>46</v>
      </c>
      <c r="E66" t="s">
        <v>418</v>
      </c>
    </row>
    <row r="67" spans="1:5">
      <c r="A67" t="s">
        <v>73</v>
      </c>
      <c r="B67" t="s">
        <v>51</v>
      </c>
      <c r="C67" t="s">
        <v>392</v>
      </c>
      <c r="D67" t="s">
        <v>46</v>
      </c>
      <c r="E67" t="s">
        <v>418</v>
      </c>
    </row>
    <row r="68" spans="1:5">
      <c r="A68" t="s">
        <v>73</v>
      </c>
      <c r="B68" t="s">
        <v>51</v>
      </c>
      <c r="C68" t="s">
        <v>381</v>
      </c>
      <c r="D68" t="s">
        <v>46</v>
      </c>
      <c r="E68" t="s">
        <v>418</v>
      </c>
    </row>
    <row r="69" spans="1:5">
      <c r="A69" t="s">
        <v>73</v>
      </c>
      <c r="B69" t="s">
        <v>51</v>
      </c>
      <c r="C69" t="s">
        <v>421</v>
      </c>
      <c r="D69" t="s">
        <v>46</v>
      </c>
      <c r="E69" t="s">
        <v>418</v>
      </c>
    </row>
    <row r="70" spans="1:5">
      <c r="A70" t="s">
        <v>73</v>
      </c>
      <c r="B70" t="s">
        <v>51</v>
      </c>
      <c r="C70" t="s">
        <v>420</v>
      </c>
      <c r="D70" t="s">
        <v>46</v>
      </c>
      <c r="E70" t="s">
        <v>418</v>
      </c>
    </row>
    <row r="71" spans="1:5">
      <c r="A71" t="s">
        <v>74</v>
      </c>
      <c r="B71" t="s">
        <v>51</v>
      </c>
      <c r="C71" t="s">
        <v>355</v>
      </c>
      <c r="D71" t="s">
        <v>46</v>
      </c>
      <c r="E71" t="s">
        <v>418</v>
      </c>
    </row>
    <row r="72" spans="1:5">
      <c r="A72" t="s">
        <v>74</v>
      </c>
      <c r="B72" t="s">
        <v>51</v>
      </c>
      <c r="C72" t="s">
        <v>403</v>
      </c>
      <c r="D72" t="s">
        <v>46</v>
      </c>
      <c r="E72" t="s">
        <v>418</v>
      </c>
    </row>
    <row r="73" spans="1:5">
      <c r="A73" t="s">
        <v>74</v>
      </c>
      <c r="B73" t="s">
        <v>51</v>
      </c>
      <c r="C73" t="s">
        <v>247</v>
      </c>
      <c r="D73" t="s">
        <v>46</v>
      </c>
      <c r="E73" t="s">
        <v>418</v>
      </c>
    </row>
    <row r="74" spans="1:5">
      <c r="A74" t="s">
        <v>74</v>
      </c>
      <c r="B74" t="s">
        <v>51</v>
      </c>
      <c r="C74" t="s">
        <v>278</v>
      </c>
      <c r="D74" t="s">
        <v>46</v>
      </c>
      <c r="E74" t="s">
        <v>418</v>
      </c>
    </row>
    <row r="75" spans="1:5">
      <c r="A75" t="s">
        <v>74</v>
      </c>
      <c r="B75" t="s">
        <v>51</v>
      </c>
      <c r="C75" t="s">
        <v>293</v>
      </c>
      <c r="D75" t="s">
        <v>46</v>
      </c>
      <c r="E75" t="s">
        <v>418</v>
      </c>
    </row>
    <row r="76" spans="1:5">
      <c r="A76" t="s">
        <v>74</v>
      </c>
      <c r="B76" t="s">
        <v>51</v>
      </c>
      <c r="C76" t="s">
        <v>369</v>
      </c>
      <c r="D76" t="s">
        <v>46</v>
      </c>
      <c r="E76" t="s">
        <v>418</v>
      </c>
    </row>
    <row r="77" spans="1:5">
      <c r="A77" t="s">
        <v>74</v>
      </c>
      <c r="B77" t="s">
        <v>51</v>
      </c>
      <c r="C77" t="s">
        <v>392</v>
      </c>
      <c r="D77" t="s">
        <v>46</v>
      </c>
      <c r="E77" t="s">
        <v>418</v>
      </c>
    </row>
    <row r="78" spans="1:5">
      <c r="A78" t="s">
        <v>74</v>
      </c>
      <c r="B78" t="s">
        <v>51</v>
      </c>
      <c r="C78" t="s">
        <v>381</v>
      </c>
      <c r="D78" t="s">
        <v>46</v>
      </c>
      <c r="E78" t="s">
        <v>418</v>
      </c>
    </row>
    <row r="79" spans="1:5">
      <c r="A79" t="s">
        <v>75</v>
      </c>
      <c r="B79" t="s">
        <v>51</v>
      </c>
      <c r="C79" t="s">
        <v>355</v>
      </c>
      <c r="D79" t="s">
        <v>46</v>
      </c>
      <c r="E79" t="s">
        <v>418</v>
      </c>
    </row>
    <row r="80" spans="1:5">
      <c r="A80" t="s">
        <v>75</v>
      </c>
      <c r="B80" t="s">
        <v>51</v>
      </c>
      <c r="C80" t="s">
        <v>403</v>
      </c>
      <c r="D80" t="s">
        <v>46</v>
      </c>
      <c r="E80" t="s">
        <v>418</v>
      </c>
    </row>
    <row r="81" spans="1:5">
      <c r="A81" t="s">
        <v>75</v>
      </c>
      <c r="B81" t="s">
        <v>51</v>
      </c>
      <c r="C81" t="s">
        <v>247</v>
      </c>
      <c r="D81" t="s">
        <v>46</v>
      </c>
      <c r="E81" t="s">
        <v>418</v>
      </c>
    </row>
    <row r="82" spans="1:5">
      <c r="A82" t="s">
        <v>75</v>
      </c>
      <c r="B82" t="s">
        <v>51</v>
      </c>
      <c r="C82" t="s">
        <v>278</v>
      </c>
      <c r="D82" t="s">
        <v>46</v>
      </c>
      <c r="E82" t="s">
        <v>418</v>
      </c>
    </row>
    <row r="83" spans="1:5">
      <c r="A83" t="s">
        <v>75</v>
      </c>
      <c r="B83" t="s">
        <v>51</v>
      </c>
      <c r="C83" t="s">
        <v>392</v>
      </c>
      <c r="D83" t="s">
        <v>46</v>
      </c>
      <c r="E83" t="s">
        <v>418</v>
      </c>
    </row>
    <row r="84" spans="1:5">
      <c r="A84" t="s">
        <v>75</v>
      </c>
      <c r="B84" t="s">
        <v>51</v>
      </c>
      <c r="C84" t="s">
        <v>381</v>
      </c>
      <c r="D84" t="s">
        <v>46</v>
      </c>
      <c r="E84" t="s">
        <v>418</v>
      </c>
    </row>
    <row r="85" spans="1:5">
      <c r="A85" t="s">
        <v>76</v>
      </c>
      <c r="B85" t="s">
        <v>51</v>
      </c>
      <c r="C85" t="s">
        <v>327</v>
      </c>
      <c r="D85" t="s">
        <v>46</v>
      </c>
      <c r="E85" t="s">
        <v>418</v>
      </c>
    </row>
    <row r="86" spans="1:5">
      <c r="A86" t="s">
        <v>76</v>
      </c>
      <c r="B86" t="s">
        <v>51</v>
      </c>
      <c r="C86" t="s">
        <v>355</v>
      </c>
      <c r="D86" t="s">
        <v>46</v>
      </c>
      <c r="E86" t="s">
        <v>418</v>
      </c>
    </row>
    <row r="87" spans="1:5">
      <c r="A87" t="s">
        <v>76</v>
      </c>
      <c r="B87" t="s">
        <v>51</v>
      </c>
      <c r="C87" t="s">
        <v>403</v>
      </c>
      <c r="D87" t="s">
        <v>46</v>
      </c>
      <c r="E87" t="s">
        <v>418</v>
      </c>
    </row>
    <row r="88" spans="1:5">
      <c r="A88" t="s">
        <v>76</v>
      </c>
      <c r="B88" t="s">
        <v>51</v>
      </c>
      <c r="C88" t="s">
        <v>247</v>
      </c>
      <c r="D88" t="s">
        <v>46</v>
      </c>
      <c r="E88" t="s">
        <v>418</v>
      </c>
    </row>
    <row r="89" spans="1:5">
      <c r="A89" t="s">
        <v>76</v>
      </c>
      <c r="B89" t="s">
        <v>51</v>
      </c>
      <c r="C89" t="s">
        <v>278</v>
      </c>
      <c r="D89" t="s">
        <v>46</v>
      </c>
      <c r="E89" t="s">
        <v>418</v>
      </c>
    </row>
    <row r="90" spans="1:5">
      <c r="A90" t="s">
        <v>76</v>
      </c>
      <c r="B90" t="s">
        <v>51</v>
      </c>
      <c r="C90" t="s">
        <v>381</v>
      </c>
      <c r="D90" t="s">
        <v>46</v>
      </c>
      <c r="E90" t="s">
        <v>418</v>
      </c>
    </row>
    <row r="91" spans="1:5">
      <c r="A91" t="s">
        <v>76</v>
      </c>
      <c r="B91" t="s">
        <v>51</v>
      </c>
      <c r="C91" t="s">
        <v>421</v>
      </c>
      <c r="D91" t="s">
        <v>46</v>
      </c>
      <c r="E91" t="s">
        <v>418</v>
      </c>
    </row>
    <row r="92" spans="1:5">
      <c r="A92" t="s">
        <v>77</v>
      </c>
      <c r="B92" t="s">
        <v>51</v>
      </c>
      <c r="C92" t="s">
        <v>327</v>
      </c>
      <c r="D92" t="s">
        <v>46</v>
      </c>
      <c r="E92" t="s">
        <v>418</v>
      </c>
    </row>
    <row r="93" spans="1:5">
      <c r="A93" t="s">
        <v>77</v>
      </c>
      <c r="B93" t="s">
        <v>51</v>
      </c>
      <c r="C93" t="s">
        <v>355</v>
      </c>
      <c r="D93" t="s">
        <v>46</v>
      </c>
      <c r="E93" t="s">
        <v>418</v>
      </c>
    </row>
    <row r="94" spans="1:5">
      <c r="A94" t="s">
        <v>77</v>
      </c>
      <c r="B94" t="s">
        <v>51</v>
      </c>
      <c r="C94" t="s">
        <v>247</v>
      </c>
      <c r="D94" t="s">
        <v>46</v>
      </c>
      <c r="E94" t="s">
        <v>418</v>
      </c>
    </row>
    <row r="95" spans="1:5">
      <c r="A95" t="s">
        <v>77</v>
      </c>
      <c r="B95" t="s">
        <v>51</v>
      </c>
      <c r="C95" t="s">
        <v>278</v>
      </c>
      <c r="D95" t="s">
        <v>46</v>
      </c>
      <c r="E95" t="s">
        <v>418</v>
      </c>
    </row>
    <row r="96" spans="1:5">
      <c r="A96" t="s">
        <v>77</v>
      </c>
      <c r="B96" t="s">
        <v>51</v>
      </c>
      <c r="C96" t="s">
        <v>369</v>
      </c>
      <c r="D96" t="s">
        <v>46</v>
      </c>
      <c r="E96" t="s">
        <v>418</v>
      </c>
    </row>
    <row r="97" spans="1:5">
      <c r="A97" t="s">
        <v>77</v>
      </c>
      <c r="B97" t="s">
        <v>51</v>
      </c>
      <c r="C97" t="s">
        <v>392</v>
      </c>
      <c r="D97" t="s">
        <v>46</v>
      </c>
      <c r="E97" t="s">
        <v>418</v>
      </c>
    </row>
    <row r="98" spans="1:5">
      <c r="A98" t="s">
        <v>77</v>
      </c>
      <c r="B98" t="s">
        <v>51</v>
      </c>
      <c r="C98" t="s">
        <v>381</v>
      </c>
      <c r="D98" t="s">
        <v>46</v>
      </c>
      <c r="E98" t="s">
        <v>418</v>
      </c>
    </row>
    <row r="99" spans="1:5">
      <c r="A99" t="s">
        <v>78</v>
      </c>
      <c r="B99" t="s">
        <v>51</v>
      </c>
      <c r="C99" t="s">
        <v>327</v>
      </c>
      <c r="D99" t="s">
        <v>46</v>
      </c>
      <c r="E99" t="s">
        <v>418</v>
      </c>
    </row>
    <row r="100" spans="1:5">
      <c r="A100" t="s">
        <v>78</v>
      </c>
      <c r="B100" t="s">
        <v>51</v>
      </c>
      <c r="C100" t="s">
        <v>341</v>
      </c>
      <c r="D100" t="s">
        <v>46</v>
      </c>
      <c r="E100" t="s">
        <v>418</v>
      </c>
    </row>
    <row r="101" spans="1:5">
      <c r="A101" t="s">
        <v>78</v>
      </c>
      <c r="B101" t="s">
        <v>51</v>
      </c>
      <c r="C101" t="s">
        <v>311</v>
      </c>
      <c r="D101" t="s">
        <v>46</v>
      </c>
      <c r="E101" t="s">
        <v>418</v>
      </c>
    </row>
    <row r="102" spans="1:5">
      <c r="A102" t="s">
        <v>78</v>
      </c>
      <c r="B102" t="s">
        <v>51</v>
      </c>
      <c r="C102" t="s">
        <v>355</v>
      </c>
      <c r="D102" t="s">
        <v>46</v>
      </c>
      <c r="E102" t="s">
        <v>418</v>
      </c>
    </row>
    <row r="103" spans="1:5">
      <c r="A103" t="s">
        <v>78</v>
      </c>
      <c r="B103" t="s">
        <v>51</v>
      </c>
      <c r="C103" t="s">
        <v>403</v>
      </c>
      <c r="D103" t="s">
        <v>46</v>
      </c>
      <c r="E103" t="s">
        <v>418</v>
      </c>
    </row>
    <row r="104" spans="1:5">
      <c r="A104" t="s">
        <v>78</v>
      </c>
      <c r="B104" t="s">
        <v>51</v>
      </c>
      <c r="C104" t="s">
        <v>247</v>
      </c>
      <c r="D104" t="s">
        <v>46</v>
      </c>
      <c r="E104" t="s">
        <v>418</v>
      </c>
    </row>
    <row r="105" spans="1:5">
      <c r="A105" t="s">
        <v>78</v>
      </c>
      <c r="B105" t="s">
        <v>51</v>
      </c>
      <c r="C105" t="s">
        <v>278</v>
      </c>
      <c r="D105" t="s">
        <v>46</v>
      </c>
      <c r="E105" t="s">
        <v>418</v>
      </c>
    </row>
    <row r="106" spans="1:5">
      <c r="A106" t="s">
        <v>78</v>
      </c>
      <c r="B106" t="s">
        <v>51</v>
      </c>
      <c r="C106" t="s">
        <v>293</v>
      </c>
      <c r="D106" t="s">
        <v>46</v>
      </c>
      <c r="E106" t="s">
        <v>418</v>
      </c>
    </row>
    <row r="107" spans="1:5">
      <c r="A107" t="s">
        <v>78</v>
      </c>
      <c r="B107" t="s">
        <v>51</v>
      </c>
      <c r="C107" t="s">
        <v>369</v>
      </c>
      <c r="D107" t="s">
        <v>46</v>
      </c>
      <c r="E107" t="s">
        <v>418</v>
      </c>
    </row>
    <row r="108" spans="1:5">
      <c r="A108" t="s">
        <v>78</v>
      </c>
      <c r="B108" t="s">
        <v>51</v>
      </c>
      <c r="C108" t="s">
        <v>392</v>
      </c>
      <c r="D108" t="s">
        <v>46</v>
      </c>
      <c r="E108" t="s">
        <v>418</v>
      </c>
    </row>
    <row r="109" spans="1:5">
      <c r="A109" t="s">
        <v>78</v>
      </c>
      <c r="B109" t="s">
        <v>51</v>
      </c>
      <c r="C109" t="s">
        <v>381</v>
      </c>
      <c r="D109" t="s">
        <v>46</v>
      </c>
      <c r="E109" t="s">
        <v>418</v>
      </c>
    </row>
    <row r="110" spans="1:5">
      <c r="A110" t="s">
        <v>78</v>
      </c>
      <c r="B110" t="s">
        <v>51</v>
      </c>
      <c r="C110" t="s">
        <v>421</v>
      </c>
      <c r="D110" t="s">
        <v>46</v>
      </c>
      <c r="E110" t="s">
        <v>418</v>
      </c>
    </row>
    <row r="111" spans="1:5">
      <c r="A111" t="s">
        <v>78</v>
      </c>
      <c r="B111" t="s">
        <v>51</v>
      </c>
      <c r="C111" t="s">
        <v>420</v>
      </c>
      <c r="D111" t="s">
        <v>46</v>
      </c>
      <c r="E111" t="s">
        <v>418</v>
      </c>
    </row>
    <row r="112" spans="1:5">
      <c r="A112" t="s">
        <v>78</v>
      </c>
      <c r="B112" t="s">
        <v>51</v>
      </c>
      <c r="C112" t="s">
        <v>422</v>
      </c>
      <c r="D112" t="s">
        <v>46</v>
      </c>
      <c r="E112" t="s">
        <v>418</v>
      </c>
    </row>
    <row r="113" spans="1:5">
      <c r="A113" t="s">
        <v>79</v>
      </c>
      <c r="B113" t="s">
        <v>51</v>
      </c>
      <c r="C113" t="s">
        <v>403</v>
      </c>
      <c r="D113" t="s">
        <v>46</v>
      </c>
      <c r="E113" t="s">
        <v>418</v>
      </c>
    </row>
    <row r="114" spans="1:5">
      <c r="A114" t="s">
        <v>79</v>
      </c>
      <c r="B114" t="s">
        <v>51</v>
      </c>
      <c r="C114" t="s">
        <v>247</v>
      </c>
      <c r="D114" t="s">
        <v>46</v>
      </c>
      <c r="E114" t="s">
        <v>418</v>
      </c>
    </row>
    <row r="115" spans="1:5">
      <c r="A115" t="s">
        <v>79</v>
      </c>
      <c r="B115" t="s">
        <v>51</v>
      </c>
      <c r="C115" t="s">
        <v>278</v>
      </c>
      <c r="D115" t="s">
        <v>46</v>
      </c>
      <c r="E115" t="s">
        <v>418</v>
      </c>
    </row>
    <row r="116" spans="1:5">
      <c r="A116" t="s">
        <v>79</v>
      </c>
      <c r="B116" t="s">
        <v>51</v>
      </c>
      <c r="C116" t="s">
        <v>381</v>
      </c>
      <c r="D116" t="s">
        <v>46</v>
      </c>
      <c r="E116" t="s">
        <v>418</v>
      </c>
    </row>
    <row r="117" spans="1:5">
      <c r="A117" t="s">
        <v>80</v>
      </c>
      <c r="B117" t="s">
        <v>51</v>
      </c>
      <c r="C117" t="s">
        <v>403</v>
      </c>
      <c r="D117" t="s">
        <v>46</v>
      </c>
      <c r="E117" t="s">
        <v>418</v>
      </c>
    </row>
    <row r="118" spans="1:5">
      <c r="A118" t="s">
        <v>80</v>
      </c>
      <c r="B118" t="s">
        <v>51</v>
      </c>
      <c r="C118" t="s">
        <v>247</v>
      </c>
      <c r="D118" t="s">
        <v>46</v>
      </c>
      <c r="E118" t="s">
        <v>418</v>
      </c>
    </row>
    <row r="119" spans="1:5">
      <c r="A119" t="s">
        <v>80</v>
      </c>
      <c r="B119" t="s">
        <v>51</v>
      </c>
      <c r="C119" t="s">
        <v>278</v>
      </c>
      <c r="D119" t="s">
        <v>46</v>
      </c>
      <c r="E119" t="s">
        <v>418</v>
      </c>
    </row>
    <row r="120" spans="1:5">
      <c r="A120" t="s">
        <v>80</v>
      </c>
      <c r="B120" t="s">
        <v>51</v>
      </c>
      <c r="C120" t="s">
        <v>381</v>
      </c>
      <c r="D120" t="s">
        <v>46</v>
      </c>
      <c r="E120" t="s">
        <v>418</v>
      </c>
    </row>
    <row r="121" spans="1:5">
      <c r="A121" t="s">
        <v>81</v>
      </c>
      <c r="B121" t="s">
        <v>51</v>
      </c>
      <c r="C121" t="s">
        <v>327</v>
      </c>
      <c r="D121" t="s">
        <v>46</v>
      </c>
      <c r="E121" t="s">
        <v>418</v>
      </c>
    </row>
    <row r="122" spans="1:5">
      <c r="A122" t="s">
        <v>81</v>
      </c>
      <c r="B122" t="s">
        <v>51</v>
      </c>
      <c r="C122" t="s">
        <v>355</v>
      </c>
      <c r="D122" t="s">
        <v>46</v>
      </c>
      <c r="E122" t="s">
        <v>418</v>
      </c>
    </row>
    <row r="123" spans="1:5">
      <c r="A123" t="s">
        <v>81</v>
      </c>
      <c r="B123" t="s">
        <v>51</v>
      </c>
      <c r="C123" t="s">
        <v>247</v>
      </c>
      <c r="D123" t="s">
        <v>46</v>
      </c>
      <c r="E123" t="s">
        <v>418</v>
      </c>
    </row>
    <row r="124" spans="1:5">
      <c r="A124" t="s">
        <v>81</v>
      </c>
      <c r="B124" t="s">
        <v>51</v>
      </c>
      <c r="C124" t="s">
        <v>278</v>
      </c>
      <c r="D124" t="s">
        <v>46</v>
      </c>
      <c r="E124" t="s">
        <v>418</v>
      </c>
    </row>
    <row r="125" spans="1:5">
      <c r="A125" t="s">
        <v>81</v>
      </c>
      <c r="B125" t="s">
        <v>51</v>
      </c>
      <c r="C125" t="s">
        <v>293</v>
      </c>
      <c r="D125" t="s">
        <v>46</v>
      </c>
      <c r="E125" t="s">
        <v>418</v>
      </c>
    </row>
    <row r="126" spans="1:5">
      <c r="A126" t="s">
        <v>81</v>
      </c>
      <c r="B126" t="s">
        <v>51</v>
      </c>
      <c r="C126" t="s">
        <v>392</v>
      </c>
      <c r="D126" t="s">
        <v>46</v>
      </c>
      <c r="E126" t="s">
        <v>418</v>
      </c>
    </row>
    <row r="127" spans="1:5">
      <c r="A127" t="s">
        <v>81</v>
      </c>
      <c r="B127" t="s">
        <v>51</v>
      </c>
      <c r="C127" t="s">
        <v>381</v>
      </c>
      <c r="D127" t="s">
        <v>46</v>
      </c>
      <c r="E127" t="s">
        <v>418</v>
      </c>
    </row>
    <row r="128" spans="1:5">
      <c r="A128" t="s">
        <v>82</v>
      </c>
      <c r="B128" t="s">
        <v>51</v>
      </c>
      <c r="C128" t="s">
        <v>327</v>
      </c>
      <c r="D128" t="s">
        <v>46</v>
      </c>
      <c r="E128" t="s">
        <v>418</v>
      </c>
    </row>
    <row r="129" spans="1:5">
      <c r="A129" t="s">
        <v>82</v>
      </c>
      <c r="B129" t="s">
        <v>51</v>
      </c>
      <c r="C129" t="s">
        <v>403</v>
      </c>
      <c r="D129" t="s">
        <v>46</v>
      </c>
      <c r="E129" t="s">
        <v>418</v>
      </c>
    </row>
    <row r="130" spans="1:5">
      <c r="A130" t="s">
        <v>82</v>
      </c>
      <c r="B130" t="s">
        <v>51</v>
      </c>
      <c r="C130" t="s">
        <v>247</v>
      </c>
      <c r="D130" t="s">
        <v>46</v>
      </c>
      <c r="E130" t="s">
        <v>418</v>
      </c>
    </row>
    <row r="131" spans="1:5">
      <c r="A131" t="s">
        <v>82</v>
      </c>
      <c r="B131" t="s">
        <v>51</v>
      </c>
      <c r="C131" t="s">
        <v>278</v>
      </c>
      <c r="D131" t="s">
        <v>46</v>
      </c>
      <c r="E131" t="s">
        <v>418</v>
      </c>
    </row>
    <row r="132" spans="1:5">
      <c r="A132" t="s">
        <v>82</v>
      </c>
      <c r="B132" t="s">
        <v>51</v>
      </c>
      <c r="C132" t="s">
        <v>381</v>
      </c>
      <c r="D132" t="s">
        <v>46</v>
      </c>
      <c r="E132" t="s">
        <v>418</v>
      </c>
    </row>
    <row r="133" spans="1:5">
      <c r="A133" t="s">
        <v>84</v>
      </c>
      <c r="B133" t="s">
        <v>51</v>
      </c>
      <c r="C133" t="s">
        <v>327</v>
      </c>
      <c r="D133" t="s">
        <v>46</v>
      </c>
      <c r="E133" t="s">
        <v>418</v>
      </c>
    </row>
    <row r="134" spans="1:5">
      <c r="A134" t="s">
        <v>84</v>
      </c>
      <c r="B134" t="s">
        <v>51</v>
      </c>
      <c r="C134" t="s">
        <v>311</v>
      </c>
      <c r="D134" t="s">
        <v>46</v>
      </c>
      <c r="E134" t="s">
        <v>418</v>
      </c>
    </row>
    <row r="135" spans="1:5">
      <c r="A135" t="s">
        <v>84</v>
      </c>
      <c r="B135" t="s">
        <v>51</v>
      </c>
      <c r="C135" t="s">
        <v>355</v>
      </c>
      <c r="D135" t="s">
        <v>46</v>
      </c>
      <c r="E135" t="s">
        <v>418</v>
      </c>
    </row>
    <row r="136" spans="1:5">
      <c r="A136" t="s">
        <v>84</v>
      </c>
      <c r="B136" t="s">
        <v>51</v>
      </c>
      <c r="C136" t="s">
        <v>403</v>
      </c>
      <c r="D136" t="s">
        <v>46</v>
      </c>
      <c r="E136" t="s">
        <v>418</v>
      </c>
    </row>
    <row r="137" spans="1:5">
      <c r="A137" t="s">
        <v>84</v>
      </c>
      <c r="B137" t="s">
        <v>51</v>
      </c>
      <c r="C137" t="s">
        <v>247</v>
      </c>
      <c r="D137" t="s">
        <v>46</v>
      </c>
      <c r="E137" t="s">
        <v>418</v>
      </c>
    </row>
    <row r="138" spans="1:5">
      <c r="A138" t="s">
        <v>84</v>
      </c>
      <c r="B138" t="s">
        <v>51</v>
      </c>
      <c r="C138" t="s">
        <v>278</v>
      </c>
      <c r="D138" t="s">
        <v>46</v>
      </c>
      <c r="E138" t="s">
        <v>418</v>
      </c>
    </row>
    <row r="139" spans="1:5">
      <c r="A139" t="s">
        <v>84</v>
      </c>
      <c r="B139" t="s">
        <v>51</v>
      </c>
      <c r="C139" t="s">
        <v>392</v>
      </c>
      <c r="D139" t="s">
        <v>46</v>
      </c>
      <c r="E139" t="s">
        <v>418</v>
      </c>
    </row>
    <row r="140" spans="1:5">
      <c r="A140" t="s">
        <v>84</v>
      </c>
      <c r="B140" t="s">
        <v>51</v>
      </c>
      <c r="C140" t="s">
        <v>381</v>
      </c>
      <c r="D140" t="s">
        <v>46</v>
      </c>
      <c r="E140" t="s">
        <v>418</v>
      </c>
    </row>
    <row r="141" spans="1:5">
      <c r="A141" t="s">
        <v>85</v>
      </c>
      <c r="B141" t="s">
        <v>51</v>
      </c>
      <c r="C141" t="s">
        <v>327</v>
      </c>
      <c r="D141" t="s">
        <v>46</v>
      </c>
      <c r="E141" t="s">
        <v>418</v>
      </c>
    </row>
    <row r="142" spans="1:5">
      <c r="A142" t="s">
        <v>85</v>
      </c>
      <c r="B142" t="s">
        <v>51</v>
      </c>
      <c r="C142" t="s">
        <v>355</v>
      </c>
      <c r="D142" t="s">
        <v>46</v>
      </c>
      <c r="E142" t="s">
        <v>418</v>
      </c>
    </row>
    <row r="143" spans="1:5">
      <c r="A143" t="s">
        <v>85</v>
      </c>
      <c r="B143" t="s">
        <v>51</v>
      </c>
      <c r="C143" t="s">
        <v>403</v>
      </c>
      <c r="D143" t="s">
        <v>46</v>
      </c>
      <c r="E143" t="s">
        <v>418</v>
      </c>
    </row>
    <row r="144" spans="1:5">
      <c r="A144" t="s">
        <v>85</v>
      </c>
      <c r="B144" t="s">
        <v>51</v>
      </c>
      <c r="C144" t="s">
        <v>247</v>
      </c>
      <c r="D144" t="s">
        <v>46</v>
      </c>
      <c r="E144" t="s">
        <v>418</v>
      </c>
    </row>
    <row r="145" spans="1:5">
      <c r="A145" t="s">
        <v>85</v>
      </c>
      <c r="B145" t="s">
        <v>51</v>
      </c>
      <c r="C145" t="s">
        <v>278</v>
      </c>
      <c r="D145" t="s">
        <v>46</v>
      </c>
      <c r="E145" t="s">
        <v>418</v>
      </c>
    </row>
    <row r="146" spans="1:5">
      <c r="A146" t="s">
        <v>85</v>
      </c>
      <c r="B146" t="s">
        <v>51</v>
      </c>
      <c r="C146" t="s">
        <v>392</v>
      </c>
      <c r="D146" t="s">
        <v>46</v>
      </c>
      <c r="E146" t="s">
        <v>418</v>
      </c>
    </row>
    <row r="147" spans="1:5">
      <c r="A147" t="s">
        <v>85</v>
      </c>
      <c r="B147" t="s">
        <v>51</v>
      </c>
      <c r="C147" t="s">
        <v>381</v>
      </c>
      <c r="D147" t="s">
        <v>46</v>
      </c>
      <c r="E147" t="s">
        <v>418</v>
      </c>
    </row>
    <row r="148" spans="1:5">
      <c r="A148" t="s">
        <v>86</v>
      </c>
      <c r="B148" t="s">
        <v>51</v>
      </c>
      <c r="C148" t="s">
        <v>327</v>
      </c>
      <c r="D148" t="s">
        <v>46</v>
      </c>
      <c r="E148" t="s">
        <v>418</v>
      </c>
    </row>
    <row r="149" spans="1:5">
      <c r="A149" t="s">
        <v>86</v>
      </c>
      <c r="B149" t="s">
        <v>51</v>
      </c>
      <c r="C149" t="s">
        <v>311</v>
      </c>
      <c r="D149" t="s">
        <v>46</v>
      </c>
      <c r="E149" t="s">
        <v>418</v>
      </c>
    </row>
    <row r="150" spans="1:5">
      <c r="A150" t="s">
        <v>86</v>
      </c>
      <c r="B150" t="s">
        <v>51</v>
      </c>
      <c r="C150" t="s">
        <v>355</v>
      </c>
      <c r="D150" t="s">
        <v>46</v>
      </c>
      <c r="E150" t="s">
        <v>418</v>
      </c>
    </row>
    <row r="151" spans="1:5">
      <c r="A151" t="s">
        <v>86</v>
      </c>
      <c r="B151" t="s">
        <v>51</v>
      </c>
      <c r="C151" t="s">
        <v>247</v>
      </c>
      <c r="D151" t="s">
        <v>46</v>
      </c>
      <c r="E151" t="s">
        <v>418</v>
      </c>
    </row>
    <row r="152" spans="1:5">
      <c r="A152" t="s">
        <v>86</v>
      </c>
      <c r="B152" t="s">
        <v>51</v>
      </c>
      <c r="C152" t="s">
        <v>278</v>
      </c>
      <c r="D152" t="s">
        <v>46</v>
      </c>
      <c r="E152" t="s">
        <v>418</v>
      </c>
    </row>
    <row r="153" spans="1:5">
      <c r="A153" t="s">
        <v>86</v>
      </c>
      <c r="B153" t="s">
        <v>51</v>
      </c>
      <c r="C153" t="s">
        <v>369</v>
      </c>
      <c r="D153" t="s">
        <v>46</v>
      </c>
      <c r="E153" t="s">
        <v>418</v>
      </c>
    </row>
    <row r="154" spans="1:5">
      <c r="A154" t="s">
        <v>86</v>
      </c>
      <c r="B154" t="s">
        <v>51</v>
      </c>
      <c r="C154" t="s">
        <v>392</v>
      </c>
      <c r="D154" t="s">
        <v>46</v>
      </c>
      <c r="E154" t="s">
        <v>418</v>
      </c>
    </row>
    <row r="155" spans="1:5">
      <c r="A155" t="s">
        <v>86</v>
      </c>
      <c r="B155" t="s">
        <v>51</v>
      </c>
      <c r="C155" t="s">
        <v>381</v>
      </c>
      <c r="D155" t="s">
        <v>46</v>
      </c>
      <c r="E155" t="s">
        <v>418</v>
      </c>
    </row>
    <row r="156" spans="1:5">
      <c r="A156" t="s">
        <v>87</v>
      </c>
      <c r="B156" t="s">
        <v>51</v>
      </c>
      <c r="C156" t="s">
        <v>327</v>
      </c>
      <c r="D156" t="s">
        <v>46</v>
      </c>
      <c r="E156" t="s">
        <v>418</v>
      </c>
    </row>
    <row r="157" spans="1:5">
      <c r="A157" t="s">
        <v>87</v>
      </c>
      <c r="B157" t="s">
        <v>51</v>
      </c>
      <c r="C157" t="s">
        <v>355</v>
      </c>
      <c r="D157" t="s">
        <v>46</v>
      </c>
      <c r="E157" t="s">
        <v>418</v>
      </c>
    </row>
    <row r="158" spans="1:5">
      <c r="A158" t="s">
        <v>87</v>
      </c>
      <c r="B158" t="s">
        <v>51</v>
      </c>
      <c r="C158" t="s">
        <v>403</v>
      </c>
      <c r="D158" t="s">
        <v>46</v>
      </c>
      <c r="E158" t="s">
        <v>418</v>
      </c>
    </row>
    <row r="159" spans="1:5">
      <c r="A159" t="s">
        <v>87</v>
      </c>
      <c r="B159" t="s">
        <v>51</v>
      </c>
      <c r="C159" t="s">
        <v>247</v>
      </c>
      <c r="D159" t="s">
        <v>46</v>
      </c>
      <c r="E159" t="s">
        <v>418</v>
      </c>
    </row>
    <row r="160" spans="1:5">
      <c r="A160" t="s">
        <v>87</v>
      </c>
      <c r="B160" t="s">
        <v>51</v>
      </c>
      <c r="C160" t="s">
        <v>278</v>
      </c>
      <c r="D160" t="s">
        <v>46</v>
      </c>
      <c r="E160" t="s">
        <v>418</v>
      </c>
    </row>
    <row r="161" spans="1:5">
      <c r="A161" t="s">
        <v>87</v>
      </c>
      <c r="B161" t="s">
        <v>51</v>
      </c>
      <c r="C161" t="s">
        <v>293</v>
      </c>
      <c r="D161" t="s">
        <v>46</v>
      </c>
      <c r="E161" t="s">
        <v>418</v>
      </c>
    </row>
    <row r="162" spans="1:5">
      <c r="A162" t="s">
        <v>87</v>
      </c>
      <c r="B162" t="s">
        <v>51</v>
      </c>
      <c r="C162" t="s">
        <v>392</v>
      </c>
      <c r="D162" t="s">
        <v>46</v>
      </c>
      <c r="E162" t="s">
        <v>418</v>
      </c>
    </row>
    <row r="163" spans="1:5">
      <c r="A163" t="s">
        <v>87</v>
      </c>
      <c r="B163" t="s">
        <v>51</v>
      </c>
      <c r="C163" t="s">
        <v>381</v>
      </c>
      <c r="D163" t="s">
        <v>46</v>
      </c>
      <c r="E163" t="s">
        <v>418</v>
      </c>
    </row>
    <row r="164" spans="1:5">
      <c r="A164" t="s">
        <v>87</v>
      </c>
      <c r="B164" t="s">
        <v>51</v>
      </c>
      <c r="C164" t="s">
        <v>420</v>
      </c>
      <c r="D164" t="s">
        <v>46</v>
      </c>
      <c r="E164" t="s">
        <v>418</v>
      </c>
    </row>
    <row r="165" spans="1:5">
      <c r="A165" t="s">
        <v>88</v>
      </c>
      <c r="B165" t="s">
        <v>51</v>
      </c>
      <c r="C165" t="s">
        <v>327</v>
      </c>
      <c r="D165" t="s">
        <v>46</v>
      </c>
      <c r="E165" t="s">
        <v>418</v>
      </c>
    </row>
    <row r="166" spans="1:5">
      <c r="A166" t="s">
        <v>88</v>
      </c>
      <c r="B166" t="s">
        <v>51</v>
      </c>
      <c r="C166" t="s">
        <v>355</v>
      </c>
      <c r="D166" t="s">
        <v>46</v>
      </c>
      <c r="E166" t="s">
        <v>418</v>
      </c>
    </row>
    <row r="167" spans="1:5">
      <c r="A167" t="s">
        <v>88</v>
      </c>
      <c r="B167" t="s">
        <v>51</v>
      </c>
      <c r="C167" t="s">
        <v>403</v>
      </c>
      <c r="D167" t="s">
        <v>46</v>
      </c>
      <c r="E167" t="s">
        <v>418</v>
      </c>
    </row>
    <row r="168" spans="1:5">
      <c r="A168" t="s">
        <v>88</v>
      </c>
      <c r="B168" t="s">
        <v>51</v>
      </c>
      <c r="C168" t="s">
        <v>247</v>
      </c>
      <c r="D168" t="s">
        <v>46</v>
      </c>
      <c r="E168" t="s">
        <v>418</v>
      </c>
    </row>
    <row r="169" spans="1:5">
      <c r="A169" t="s">
        <v>88</v>
      </c>
      <c r="B169" t="s">
        <v>51</v>
      </c>
      <c r="C169" t="s">
        <v>278</v>
      </c>
      <c r="D169" t="s">
        <v>46</v>
      </c>
      <c r="E169" t="s">
        <v>418</v>
      </c>
    </row>
    <row r="170" spans="1:5">
      <c r="A170" t="s">
        <v>88</v>
      </c>
      <c r="B170" t="s">
        <v>51</v>
      </c>
      <c r="C170" t="s">
        <v>369</v>
      </c>
      <c r="D170" t="s">
        <v>46</v>
      </c>
      <c r="E170" t="s">
        <v>418</v>
      </c>
    </row>
    <row r="171" spans="1:5">
      <c r="A171" t="s">
        <v>88</v>
      </c>
      <c r="B171" t="s">
        <v>51</v>
      </c>
      <c r="C171" t="s">
        <v>381</v>
      </c>
      <c r="D171" t="s">
        <v>46</v>
      </c>
      <c r="E171" t="s">
        <v>418</v>
      </c>
    </row>
    <row r="172" spans="1:5">
      <c r="A172" t="s">
        <v>89</v>
      </c>
      <c r="B172" t="s">
        <v>51</v>
      </c>
      <c r="C172" t="s">
        <v>327</v>
      </c>
      <c r="D172" t="s">
        <v>46</v>
      </c>
      <c r="E172" t="s">
        <v>418</v>
      </c>
    </row>
    <row r="173" spans="1:5">
      <c r="A173" t="s">
        <v>89</v>
      </c>
      <c r="B173" t="s">
        <v>51</v>
      </c>
      <c r="C173" t="s">
        <v>311</v>
      </c>
      <c r="D173" t="s">
        <v>46</v>
      </c>
      <c r="E173" t="s">
        <v>418</v>
      </c>
    </row>
    <row r="174" spans="1:5">
      <c r="A174" t="s">
        <v>89</v>
      </c>
      <c r="B174" t="s">
        <v>51</v>
      </c>
      <c r="C174" t="s">
        <v>355</v>
      </c>
      <c r="D174" t="s">
        <v>46</v>
      </c>
      <c r="E174" t="s">
        <v>418</v>
      </c>
    </row>
    <row r="175" spans="1:5">
      <c r="A175" t="s">
        <v>89</v>
      </c>
      <c r="B175" t="s">
        <v>51</v>
      </c>
      <c r="C175" t="s">
        <v>403</v>
      </c>
      <c r="D175" t="s">
        <v>46</v>
      </c>
      <c r="E175" t="s">
        <v>418</v>
      </c>
    </row>
    <row r="176" spans="1:5">
      <c r="A176" t="s">
        <v>89</v>
      </c>
      <c r="B176" t="s">
        <v>51</v>
      </c>
      <c r="C176" t="s">
        <v>247</v>
      </c>
      <c r="D176" t="s">
        <v>46</v>
      </c>
      <c r="E176" t="s">
        <v>418</v>
      </c>
    </row>
    <row r="177" spans="1:5">
      <c r="A177" t="s">
        <v>89</v>
      </c>
      <c r="B177" t="s">
        <v>51</v>
      </c>
      <c r="C177" t="s">
        <v>278</v>
      </c>
      <c r="D177" t="s">
        <v>46</v>
      </c>
      <c r="E177" t="s">
        <v>418</v>
      </c>
    </row>
    <row r="178" spans="1:5">
      <c r="A178" t="s">
        <v>89</v>
      </c>
      <c r="B178" t="s">
        <v>51</v>
      </c>
      <c r="C178" t="s">
        <v>392</v>
      </c>
      <c r="D178" t="s">
        <v>46</v>
      </c>
      <c r="E178" t="s">
        <v>418</v>
      </c>
    </row>
    <row r="179" spans="1:5">
      <c r="A179" t="s">
        <v>89</v>
      </c>
      <c r="B179" t="s">
        <v>51</v>
      </c>
      <c r="C179" t="s">
        <v>381</v>
      </c>
      <c r="D179" t="s">
        <v>46</v>
      </c>
      <c r="E179" t="s">
        <v>418</v>
      </c>
    </row>
    <row r="180" spans="1:5">
      <c r="A180" t="s">
        <v>89</v>
      </c>
      <c r="B180" t="s">
        <v>51</v>
      </c>
      <c r="C180" t="s">
        <v>421</v>
      </c>
      <c r="D180" t="s">
        <v>46</v>
      </c>
      <c r="E180" t="s">
        <v>418</v>
      </c>
    </row>
    <row r="181" spans="1:5">
      <c r="A181" t="s">
        <v>90</v>
      </c>
      <c r="B181" t="s">
        <v>51</v>
      </c>
      <c r="C181" t="s">
        <v>327</v>
      </c>
      <c r="D181" t="s">
        <v>46</v>
      </c>
      <c r="E181" t="s">
        <v>418</v>
      </c>
    </row>
    <row r="182" spans="1:5">
      <c r="A182" t="s">
        <v>90</v>
      </c>
      <c r="B182" t="s">
        <v>51</v>
      </c>
      <c r="C182" t="s">
        <v>311</v>
      </c>
      <c r="D182" t="s">
        <v>46</v>
      </c>
      <c r="E182" t="s">
        <v>418</v>
      </c>
    </row>
    <row r="183" spans="1:5">
      <c r="A183" t="s">
        <v>90</v>
      </c>
      <c r="B183" t="s">
        <v>51</v>
      </c>
      <c r="C183" t="s">
        <v>355</v>
      </c>
      <c r="D183" t="s">
        <v>46</v>
      </c>
      <c r="E183" t="s">
        <v>418</v>
      </c>
    </row>
    <row r="184" spans="1:5">
      <c r="A184" t="s">
        <v>90</v>
      </c>
      <c r="B184" t="s">
        <v>51</v>
      </c>
      <c r="C184" t="s">
        <v>403</v>
      </c>
      <c r="D184" t="s">
        <v>46</v>
      </c>
      <c r="E184" t="s">
        <v>418</v>
      </c>
    </row>
    <row r="185" spans="1:5">
      <c r="A185" t="s">
        <v>90</v>
      </c>
      <c r="B185" t="s">
        <v>51</v>
      </c>
      <c r="C185" t="s">
        <v>247</v>
      </c>
      <c r="D185" t="s">
        <v>46</v>
      </c>
      <c r="E185" t="s">
        <v>418</v>
      </c>
    </row>
    <row r="186" spans="1:5">
      <c r="A186" t="s">
        <v>90</v>
      </c>
      <c r="B186" t="s">
        <v>51</v>
      </c>
      <c r="C186" t="s">
        <v>278</v>
      </c>
      <c r="D186" t="s">
        <v>46</v>
      </c>
      <c r="E186" t="s">
        <v>418</v>
      </c>
    </row>
    <row r="187" spans="1:5">
      <c r="A187" t="s">
        <v>90</v>
      </c>
      <c r="B187" t="s">
        <v>51</v>
      </c>
      <c r="C187" t="s">
        <v>392</v>
      </c>
      <c r="D187" t="s">
        <v>46</v>
      </c>
      <c r="E187" t="s">
        <v>418</v>
      </c>
    </row>
    <row r="188" spans="1:5">
      <c r="A188" t="s">
        <v>90</v>
      </c>
      <c r="B188" t="s">
        <v>51</v>
      </c>
      <c r="C188" t="s">
        <v>381</v>
      </c>
      <c r="D188" t="s">
        <v>46</v>
      </c>
      <c r="E188" t="s">
        <v>418</v>
      </c>
    </row>
    <row r="189" spans="1:5">
      <c r="A189" t="s">
        <v>91</v>
      </c>
      <c r="B189" t="s">
        <v>51</v>
      </c>
      <c r="C189" t="s">
        <v>327</v>
      </c>
      <c r="D189" t="s">
        <v>46</v>
      </c>
      <c r="E189" t="s">
        <v>418</v>
      </c>
    </row>
    <row r="190" spans="1:5">
      <c r="A190" t="s">
        <v>91</v>
      </c>
      <c r="B190" t="s">
        <v>51</v>
      </c>
      <c r="C190" t="s">
        <v>355</v>
      </c>
      <c r="D190" t="s">
        <v>46</v>
      </c>
      <c r="E190" t="s">
        <v>418</v>
      </c>
    </row>
    <row r="191" spans="1:5">
      <c r="A191" t="s">
        <v>91</v>
      </c>
      <c r="B191" t="s">
        <v>51</v>
      </c>
      <c r="C191" t="s">
        <v>247</v>
      </c>
      <c r="D191" t="s">
        <v>46</v>
      </c>
      <c r="E191" t="s">
        <v>418</v>
      </c>
    </row>
    <row r="192" spans="1:5">
      <c r="A192" t="s">
        <v>91</v>
      </c>
      <c r="B192" t="s">
        <v>51</v>
      </c>
      <c r="C192" t="s">
        <v>278</v>
      </c>
      <c r="D192" t="s">
        <v>46</v>
      </c>
      <c r="E192" t="s">
        <v>418</v>
      </c>
    </row>
    <row r="193" spans="1:5">
      <c r="A193" t="s">
        <v>91</v>
      </c>
      <c r="B193" t="s">
        <v>51</v>
      </c>
      <c r="C193" t="s">
        <v>392</v>
      </c>
      <c r="D193" t="s">
        <v>46</v>
      </c>
      <c r="E193" t="s">
        <v>418</v>
      </c>
    </row>
    <row r="194" spans="1:5">
      <c r="A194" t="s">
        <v>91</v>
      </c>
      <c r="B194" t="s">
        <v>51</v>
      </c>
      <c r="C194" t="s">
        <v>381</v>
      </c>
      <c r="D194" t="s">
        <v>46</v>
      </c>
      <c r="E194" t="s">
        <v>418</v>
      </c>
    </row>
    <row r="195" spans="1:5">
      <c r="A195" t="s">
        <v>92</v>
      </c>
      <c r="B195" t="s">
        <v>51</v>
      </c>
      <c r="C195" t="s">
        <v>327</v>
      </c>
      <c r="D195" t="s">
        <v>46</v>
      </c>
      <c r="E195" t="s">
        <v>418</v>
      </c>
    </row>
    <row r="196" spans="1:5">
      <c r="A196" t="s">
        <v>92</v>
      </c>
      <c r="B196" t="s">
        <v>51</v>
      </c>
      <c r="C196" t="s">
        <v>355</v>
      </c>
      <c r="D196" t="s">
        <v>46</v>
      </c>
      <c r="E196" t="s">
        <v>418</v>
      </c>
    </row>
    <row r="197" spans="1:5">
      <c r="A197" t="s">
        <v>92</v>
      </c>
      <c r="B197" t="s">
        <v>51</v>
      </c>
      <c r="C197" t="s">
        <v>403</v>
      </c>
      <c r="D197" t="s">
        <v>46</v>
      </c>
      <c r="E197" t="s">
        <v>418</v>
      </c>
    </row>
    <row r="198" spans="1:5">
      <c r="A198" t="s">
        <v>92</v>
      </c>
      <c r="B198" t="s">
        <v>51</v>
      </c>
      <c r="C198" t="s">
        <v>247</v>
      </c>
      <c r="D198" t="s">
        <v>46</v>
      </c>
      <c r="E198" t="s">
        <v>418</v>
      </c>
    </row>
    <row r="199" spans="1:5">
      <c r="A199" t="s">
        <v>92</v>
      </c>
      <c r="B199" t="s">
        <v>51</v>
      </c>
      <c r="C199" t="s">
        <v>278</v>
      </c>
      <c r="D199" t="s">
        <v>46</v>
      </c>
      <c r="E199" t="s">
        <v>418</v>
      </c>
    </row>
    <row r="200" spans="1:5">
      <c r="A200" t="s">
        <v>92</v>
      </c>
      <c r="B200" t="s">
        <v>51</v>
      </c>
      <c r="C200" t="s">
        <v>381</v>
      </c>
      <c r="D200" t="s">
        <v>46</v>
      </c>
      <c r="E200" t="s">
        <v>418</v>
      </c>
    </row>
    <row r="201" spans="1:5">
      <c r="A201" t="s">
        <v>56</v>
      </c>
      <c r="B201" t="s">
        <v>51</v>
      </c>
      <c r="C201" t="s">
        <v>327</v>
      </c>
      <c r="D201" t="s">
        <v>46</v>
      </c>
      <c r="E201" t="s">
        <v>418</v>
      </c>
    </row>
    <row r="202" spans="1:5">
      <c r="A202" t="s">
        <v>56</v>
      </c>
      <c r="B202" t="s">
        <v>51</v>
      </c>
      <c r="C202" t="s">
        <v>311</v>
      </c>
      <c r="D202" t="s">
        <v>46</v>
      </c>
      <c r="E202" t="s">
        <v>418</v>
      </c>
    </row>
    <row r="203" spans="1:5">
      <c r="A203" t="s">
        <v>56</v>
      </c>
      <c r="B203" t="s">
        <v>51</v>
      </c>
      <c r="C203" t="s">
        <v>355</v>
      </c>
      <c r="D203" t="s">
        <v>46</v>
      </c>
      <c r="E203" t="s">
        <v>418</v>
      </c>
    </row>
    <row r="204" spans="1:5">
      <c r="A204" t="s">
        <v>56</v>
      </c>
      <c r="B204" t="s">
        <v>51</v>
      </c>
      <c r="C204" t="s">
        <v>403</v>
      </c>
      <c r="D204" t="s">
        <v>46</v>
      </c>
      <c r="E204" t="s">
        <v>418</v>
      </c>
    </row>
    <row r="205" spans="1:5">
      <c r="A205" t="s">
        <v>56</v>
      </c>
      <c r="B205" t="s">
        <v>51</v>
      </c>
      <c r="C205" t="s">
        <v>247</v>
      </c>
      <c r="D205" t="s">
        <v>46</v>
      </c>
      <c r="E205" t="s">
        <v>418</v>
      </c>
    </row>
    <row r="206" spans="1:5">
      <c r="A206" t="s">
        <v>56</v>
      </c>
      <c r="B206" t="s">
        <v>51</v>
      </c>
      <c r="C206" t="s">
        <v>278</v>
      </c>
      <c r="D206" t="s">
        <v>46</v>
      </c>
      <c r="E206" t="s">
        <v>418</v>
      </c>
    </row>
    <row r="207" spans="1:5">
      <c r="A207" t="s">
        <v>56</v>
      </c>
      <c r="B207" t="s">
        <v>51</v>
      </c>
      <c r="C207" t="s">
        <v>293</v>
      </c>
      <c r="D207" t="s">
        <v>46</v>
      </c>
      <c r="E207" t="s">
        <v>418</v>
      </c>
    </row>
    <row r="208" spans="1:5">
      <c r="A208" t="s">
        <v>56</v>
      </c>
      <c r="B208" t="s">
        <v>51</v>
      </c>
      <c r="C208" t="s">
        <v>369</v>
      </c>
      <c r="D208" t="s">
        <v>46</v>
      </c>
      <c r="E208" t="s">
        <v>418</v>
      </c>
    </row>
    <row r="209" spans="1:5">
      <c r="A209" t="s">
        <v>56</v>
      </c>
      <c r="B209" t="s">
        <v>51</v>
      </c>
      <c r="C209" t="s">
        <v>392</v>
      </c>
      <c r="D209" t="s">
        <v>46</v>
      </c>
      <c r="E209" t="s">
        <v>418</v>
      </c>
    </row>
    <row r="210" spans="1:5">
      <c r="A210" t="s">
        <v>56</v>
      </c>
      <c r="B210" t="s">
        <v>51</v>
      </c>
      <c r="C210" t="s">
        <v>381</v>
      </c>
      <c r="D210" t="s">
        <v>46</v>
      </c>
      <c r="E210" t="s">
        <v>418</v>
      </c>
    </row>
    <row r="211" spans="1:5">
      <c r="A211" t="s">
        <v>95</v>
      </c>
      <c r="B211" t="s">
        <v>51</v>
      </c>
      <c r="C211" t="s">
        <v>327</v>
      </c>
      <c r="D211" t="s">
        <v>46</v>
      </c>
      <c r="E211" t="s">
        <v>418</v>
      </c>
    </row>
    <row r="212" spans="1:5">
      <c r="A212" t="s">
        <v>95</v>
      </c>
      <c r="B212" t="s">
        <v>51</v>
      </c>
      <c r="C212" t="s">
        <v>311</v>
      </c>
      <c r="D212" t="s">
        <v>46</v>
      </c>
      <c r="E212" t="s">
        <v>418</v>
      </c>
    </row>
    <row r="213" spans="1:5">
      <c r="A213" t="s">
        <v>95</v>
      </c>
      <c r="B213" t="s">
        <v>51</v>
      </c>
      <c r="C213" t="s">
        <v>355</v>
      </c>
      <c r="D213" t="s">
        <v>46</v>
      </c>
      <c r="E213" t="s">
        <v>418</v>
      </c>
    </row>
    <row r="214" spans="1:5">
      <c r="A214" t="s">
        <v>95</v>
      </c>
      <c r="B214" t="s">
        <v>51</v>
      </c>
      <c r="C214" t="s">
        <v>247</v>
      </c>
      <c r="D214" t="s">
        <v>46</v>
      </c>
      <c r="E214" t="s">
        <v>418</v>
      </c>
    </row>
    <row r="215" spans="1:5">
      <c r="A215" t="s">
        <v>95</v>
      </c>
      <c r="B215" t="s">
        <v>51</v>
      </c>
      <c r="C215" t="s">
        <v>278</v>
      </c>
      <c r="D215" t="s">
        <v>46</v>
      </c>
      <c r="E215" t="s">
        <v>418</v>
      </c>
    </row>
    <row r="216" spans="1:5">
      <c r="A216" t="s">
        <v>95</v>
      </c>
      <c r="B216" t="s">
        <v>51</v>
      </c>
      <c r="C216" t="s">
        <v>293</v>
      </c>
      <c r="D216" t="s">
        <v>46</v>
      </c>
      <c r="E216" t="s">
        <v>418</v>
      </c>
    </row>
    <row r="217" spans="1:5">
      <c r="A217" t="s">
        <v>95</v>
      </c>
      <c r="B217" t="s">
        <v>51</v>
      </c>
      <c r="C217" t="s">
        <v>392</v>
      </c>
      <c r="D217" t="s">
        <v>46</v>
      </c>
      <c r="E217" t="s">
        <v>418</v>
      </c>
    </row>
    <row r="218" spans="1:5">
      <c r="A218" t="s">
        <v>95</v>
      </c>
      <c r="B218" t="s">
        <v>51</v>
      </c>
      <c r="C218" t="s">
        <v>381</v>
      </c>
      <c r="D218" t="s">
        <v>46</v>
      </c>
      <c r="E218" t="s">
        <v>418</v>
      </c>
    </row>
    <row r="219" spans="1:5">
      <c r="A219" t="s">
        <v>94</v>
      </c>
      <c r="B219" t="s">
        <v>51</v>
      </c>
      <c r="C219" t="s">
        <v>403</v>
      </c>
      <c r="D219" t="s">
        <v>46</v>
      </c>
      <c r="E219" t="s">
        <v>418</v>
      </c>
    </row>
    <row r="220" spans="1:5">
      <c r="A220" t="s">
        <v>94</v>
      </c>
      <c r="B220" t="s">
        <v>51</v>
      </c>
      <c r="C220" t="s">
        <v>247</v>
      </c>
      <c r="D220" t="s">
        <v>46</v>
      </c>
      <c r="E220" t="s">
        <v>418</v>
      </c>
    </row>
    <row r="221" spans="1:5">
      <c r="A221" t="s">
        <v>94</v>
      </c>
      <c r="B221" t="s">
        <v>51</v>
      </c>
      <c r="C221" t="s">
        <v>293</v>
      </c>
      <c r="D221" t="s">
        <v>46</v>
      </c>
      <c r="E221" t="s">
        <v>418</v>
      </c>
    </row>
    <row r="222" spans="1:5">
      <c r="A222" t="s">
        <v>94</v>
      </c>
      <c r="B222" t="s">
        <v>51</v>
      </c>
      <c r="C222" t="s">
        <v>369</v>
      </c>
      <c r="D222" t="s">
        <v>46</v>
      </c>
      <c r="E222" t="s">
        <v>418</v>
      </c>
    </row>
    <row r="223" spans="1:5">
      <c r="A223" t="s">
        <v>94</v>
      </c>
      <c r="B223" t="s">
        <v>51</v>
      </c>
      <c r="C223" t="s">
        <v>392</v>
      </c>
      <c r="D223" t="s">
        <v>46</v>
      </c>
      <c r="E223" t="s">
        <v>418</v>
      </c>
    </row>
    <row r="224" spans="1:5">
      <c r="A224" t="s">
        <v>94</v>
      </c>
      <c r="B224" t="s">
        <v>51</v>
      </c>
      <c r="C224" t="s">
        <v>381</v>
      </c>
      <c r="D224" t="s">
        <v>46</v>
      </c>
      <c r="E224" t="s">
        <v>418</v>
      </c>
    </row>
    <row r="225" spans="1:5">
      <c r="A225" t="s">
        <v>93</v>
      </c>
      <c r="B225" t="s">
        <v>51</v>
      </c>
      <c r="C225" t="s">
        <v>311</v>
      </c>
      <c r="D225" t="s">
        <v>46</v>
      </c>
      <c r="E225" t="s">
        <v>418</v>
      </c>
    </row>
    <row r="226" spans="1:5">
      <c r="A226" t="s">
        <v>93</v>
      </c>
      <c r="B226" t="s">
        <v>51</v>
      </c>
      <c r="C226" t="s">
        <v>355</v>
      </c>
      <c r="D226" t="s">
        <v>46</v>
      </c>
      <c r="E226" t="s">
        <v>418</v>
      </c>
    </row>
    <row r="227" spans="1:5">
      <c r="A227" t="s">
        <v>93</v>
      </c>
      <c r="B227" t="s">
        <v>51</v>
      </c>
      <c r="C227" t="s">
        <v>403</v>
      </c>
      <c r="D227" t="s">
        <v>46</v>
      </c>
      <c r="E227" t="s">
        <v>418</v>
      </c>
    </row>
    <row r="228" spans="1:5">
      <c r="A228" t="s">
        <v>93</v>
      </c>
      <c r="B228" t="s">
        <v>51</v>
      </c>
      <c r="C228" t="s">
        <v>302</v>
      </c>
      <c r="D228" t="s">
        <v>46</v>
      </c>
      <c r="E228" t="s">
        <v>418</v>
      </c>
    </row>
    <row r="229" spans="1:5">
      <c r="A229" t="s">
        <v>93</v>
      </c>
      <c r="B229" t="s">
        <v>51</v>
      </c>
      <c r="C229" t="s">
        <v>247</v>
      </c>
      <c r="D229" t="s">
        <v>46</v>
      </c>
      <c r="E229" t="s">
        <v>418</v>
      </c>
    </row>
    <row r="230" spans="1:5">
      <c r="A230" t="s">
        <v>93</v>
      </c>
      <c r="B230" t="s">
        <v>51</v>
      </c>
      <c r="C230" t="s">
        <v>278</v>
      </c>
      <c r="D230" t="s">
        <v>46</v>
      </c>
      <c r="E230" t="s">
        <v>418</v>
      </c>
    </row>
    <row r="231" spans="1:5">
      <c r="A231" t="s">
        <v>93</v>
      </c>
      <c r="B231" t="s">
        <v>51</v>
      </c>
      <c r="C231" t="s">
        <v>293</v>
      </c>
      <c r="D231" t="s">
        <v>46</v>
      </c>
      <c r="E231" t="s">
        <v>418</v>
      </c>
    </row>
    <row r="232" spans="1:5">
      <c r="A232" t="s">
        <v>93</v>
      </c>
      <c r="B232" t="s">
        <v>51</v>
      </c>
      <c r="C232" t="s">
        <v>381</v>
      </c>
      <c r="D232" t="s">
        <v>46</v>
      </c>
      <c r="E232" t="s">
        <v>418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2"/>
  <sheetViews>
    <sheetView workbookViewId="0">
      <selection sqref="A1:F1"/>
    </sheetView>
  </sheetViews>
  <sheetFormatPr baseColWidth="10" defaultColWidth="8.6640625" defaultRowHeight="14"/>
  <cols>
    <col min="1" max="1" width="34" customWidth="1"/>
    <col min="2" max="2" width="26" customWidth="1"/>
    <col min="3" max="3" width="34" customWidth="1"/>
    <col min="4" max="4" width="20" customWidth="1"/>
    <col min="5" max="5" width="24" customWidth="1"/>
    <col min="6" max="6" width="60" customWidth="1"/>
    <col min="8" max="10" width="24" customWidth="1"/>
  </cols>
  <sheetData>
    <row r="1" spans="1:10" ht="0.65" customHeight="1">
      <c r="A1" s="96" t="s">
        <v>423</v>
      </c>
      <c r="B1" s="89"/>
      <c r="C1" s="89"/>
      <c r="D1" s="89"/>
      <c r="E1" s="89"/>
      <c r="F1" s="89"/>
      <c r="H1" s="28" t="s">
        <v>424</v>
      </c>
      <c r="I1" s="28"/>
      <c r="J1" s="28"/>
    </row>
    <row r="2" spans="1:10" ht="42">
      <c r="H2" s="18" t="s">
        <v>425</v>
      </c>
      <c r="I2" s="18" t="s">
        <v>426</v>
      </c>
      <c r="J2" s="18"/>
    </row>
    <row r="3" spans="1:10" ht="0.65" customHeight="1">
      <c r="A3" s="17" t="s">
        <v>241</v>
      </c>
      <c r="B3" s="17" t="s">
        <v>427</v>
      </c>
      <c r="C3" s="17" t="s">
        <v>242</v>
      </c>
      <c r="D3" s="17" t="s">
        <v>428</v>
      </c>
      <c r="E3" s="17" t="s">
        <v>429</v>
      </c>
      <c r="F3" s="17" t="s">
        <v>246</v>
      </c>
      <c r="H3" s="18" t="s">
        <v>430</v>
      </c>
      <c r="I3" s="18" t="s">
        <v>431</v>
      </c>
      <c r="J3" s="18"/>
    </row>
    <row r="4" spans="1:10" ht="0.65" customHeight="1">
      <c r="A4" s="19" t="s">
        <v>403</v>
      </c>
      <c r="B4" s="19" t="s">
        <v>432</v>
      </c>
      <c r="C4" s="19" t="s">
        <v>433</v>
      </c>
      <c r="D4" s="19" t="s">
        <v>270</v>
      </c>
      <c r="E4" s="19">
        <v>1</v>
      </c>
      <c r="F4" s="19" t="s">
        <v>434</v>
      </c>
      <c r="H4" s="18" t="s">
        <v>435</v>
      </c>
      <c r="I4" s="18" t="s">
        <v>436</v>
      </c>
      <c r="J4" s="18"/>
    </row>
    <row r="5" spans="1:10">
      <c r="A5" t="s">
        <v>403</v>
      </c>
      <c r="B5" t="s">
        <v>432</v>
      </c>
      <c r="C5" t="s">
        <v>336</v>
      </c>
      <c r="D5" t="s">
        <v>275</v>
      </c>
      <c r="E5">
        <v>1</v>
      </c>
    </row>
    <row r="6" spans="1:10">
      <c r="A6" t="s">
        <v>403</v>
      </c>
      <c r="B6" t="s">
        <v>432</v>
      </c>
      <c r="C6" t="s">
        <v>437</v>
      </c>
      <c r="D6" t="s">
        <v>272</v>
      </c>
      <c r="E6">
        <v>1</v>
      </c>
    </row>
    <row r="7" spans="1:10">
      <c r="A7" t="s">
        <v>403</v>
      </c>
      <c r="B7" t="s">
        <v>432</v>
      </c>
      <c r="C7" t="s">
        <v>438</v>
      </c>
      <c r="D7" t="s">
        <v>271</v>
      </c>
      <c r="E7">
        <v>1</v>
      </c>
    </row>
    <row r="8" spans="1:10">
      <c r="A8" t="s">
        <v>403</v>
      </c>
      <c r="B8" t="s">
        <v>432</v>
      </c>
      <c r="C8" t="s">
        <v>338</v>
      </c>
      <c r="D8" t="s">
        <v>276</v>
      </c>
      <c r="E8">
        <v>1</v>
      </c>
    </row>
    <row r="9" spans="1:10">
      <c r="A9" t="s">
        <v>403</v>
      </c>
      <c r="B9" t="s">
        <v>432</v>
      </c>
      <c r="C9" t="s">
        <v>439</v>
      </c>
      <c r="D9" t="s">
        <v>274</v>
      </c>
      <c r="E9">
        <v>1</v>
      </c>
    </row>
    <row r="10" spans="1:10">
      <c r="A10" t="s">
        <v>403</v>
      </c>
      <c r="B10" t="s">
        <v>440</v>
      </c>
      <c r="C10" t="s">
        <v>441</v>
      </c>
      <c r="D10" t="s">
        <v>276</v>
      </c>
      <c r="E10">
        <v>2</v>
      </c>
    </row>
    <row r="11" spans="1:10">
      <c r="A11" t="s">
        <v>403</v>
      </c>
      <c r="B11" t="s">
        <v>440</v>
      </c>
      <c r="C11" t="s">
        <v>442</v>
      </c>
      <c r="D11" t="s">
        <v>270</v>
      </c>
      <c r="E11">
        <v>1</v>
      </c>
    </row>
    <row r="12" spans="1:10">
      <c r="A12" t="s">
        <v>403</v>
      </c>
      <c r="B12" t="s">
        <v>440</v>
      </c>
      <c r="C12" t="s">
        <v>443</v>
      </c>
      <c r="D12" t="s">
        <v>271</v>
      </c>
      <c r="E12">
        <v>1</v>
      </c>
    </row>
    <row r="13" spans="1:10">
      <c r="A13" t="s">
        <v>403</v>
      </c>
      <c r="B13" t="s">
        <v>440</v>
      </c>
      <c r="C13" t="s">
        <v>444</v>
      </c>
      <c r="D13" t="s">
        <v>272</v>
      </c>
      <c r="E13">
        <v>1</v>
      </c>
    </row>
    <row r="14" spans="1:10">
      <c r="A14" t="s">
        <v>403</v>
      </c>
      <c r="B14" t="s">
        <v>440</v>
      </c>
      <c r="C14" t="s">
        <v>445</v>
      </c>
      <c r="D14" t="s">
        <v>274</v>
      </c>
      <c r="E14">
        <v>1</v>
      </c>
    </row>
    <row r="15" spans="1:10">
      <c r="A15" t="s">
        <v>403</v>
      </c>
      <c r="B15" t="s">
        <v>440</v>
      </c>
      <c r="C15" t="s">
        <v>446</v>
      </c>
      <c r="D15" t="s">
        <v>275</v>
      </c>
      <c r="E15">
        <v>1</v>
      </c>
    </row>
    <row r="16" spans="1:10">
      <c r="A16" t="s">
        <v>403</v>
      </c>
      <c r="B16" t="s">
        <v>447</v>
      </c>
      <c r="C16" t="s">
        <v>448</v>
      </c>
      <c r="D16" t="s">
        <v>275</v>
      </c>
      <c r="E16">
        <v>3</v>
      </c>
    </row>
    <row r="17" spans="1:5">
      <c r="A17" t="s">
        <v>403</v>
      </c>
      <c r="B17" t="s">
        <v>447</v>
      </c>
      <c r="C17" t="s">
        <v>449</v>
      </c>
      <c r="D17" t="s">
        <v>276</v>
      </c>
      <c r="E17">
        <v>3</v>
      </c>
    </row>
    <row r="18" spans="1:5">
      <c r="A18" t="s">
        <v>403</v>
      </c>
      <c r="B18" t="s">
        <v>447</v>
      </c>
      <c r="C18" t="s">
        <v>450</v>
      </c>
      <c r="D18" t="s">
        <v>270</v>
      </c>
      <c r="E18">
        <v>2</v>
      </c>
    </row>
    <row r="19" spans="1:5">
      <c r="A19" t="s">
        <v>403</v>
      </c>
      <c r="B19" t="s">
        <v>447</v>
      </c>
      <c r="C19" t="s">
        <v>451</v>
      </c>
      <c r="D19" t="s">
        <v>272</v>
      </c>
      <c r="E19">
        <v>2</v>
      </c>
    </row>
    <row r="20" spans="1:5">
      <c r="A20" t="s">
        <v>403</v>
      </c>
      <c r="B20" t="s">
        <v>447</v>
      </c>
      <c r="C20" t="s">
        <v>452</v>
      </c>
      <c r="D20" t="s">
        <v>274</v>
      </c>
      <c r="E20">
        <v>2</v>
      </c>
    </row>
    <row r="21" spans="1:5">
      <c r="A21" t="s">
        <v>403</v>
      </c>
      <c r="B21" t="s">
        <v>447</v>
      </c>
      <c r="C21" t="s">
        <v>453</v>
      </c>
      <c r="D21" t="s">
        <v>271</v>
      </c>
      <c r="E21">
        <v>2</v>
      </c>
    </row>
    <row r="22" spans="1:5">
      <c r="A22" t="s">
        <v>403</v>
      </c>
      <c r="B22" t="s">
        <v>454</v>
      </c>
      <c r="C22" t="s">
        <v>455</v>
      </c>
      <c r="D22" t="s">
        <v>276</v>
      </c>
      <c r="E22">
        <v>1</v>
      </c>
    </row>
    <row r="23" spans="1:5">
      <c r="A23" t="s">
        <v>403</v>
      </c>
      <c r="B23" t="s">
        <v>454</v>
      </c>
      <c r="C23" t="s">
        <v>456</v>
      </c>
      <c r="D23" t="s">
        <v>271</v>
      </c>
      <c r="E23">
        <v>1</v>
      </c>
    </row>
    <row r="24" spans="1:5">
      <c r="A24" t="s">
        <v>403</v>
      </c>
      <c r="B24" t="s">
        <v>454</v>
      </c>
      <c r="C24" t="s">
        <v>457</v>
      </c>
      <c r="D24" t="s">
        <v>270</v>
      </c>
      <c r="E24">
        <v>1</v>
      </c>
    </row>
    <row r="25" spans="1:5">
      <c r="A25" t="s">
        <v>403</v>
      </c>
      <c r="B25" t="s">
        <v>454</v>
      </c>
      <c r="C25" t="s">
        <v>458</v>
      </c>
      <c r="D25" t="s">
        <v>274</v>
      </c>
      <c r="E25">
        <v>1</v>
      </c>
    </row>
    <row r="26" spans="1:5">
      <c r="A26" t="s">
        <v>403</v>
      </c>
      <c r="B26" t="s">
        <v>454</v>
      </c>
      <c r="C26" t="s">
        <v>459</v>
      </c>
      <c r="D26" t="s">
        <v>272</v>
      </c>
      <c r="E26">
        <v>1</v>
      </c>
    </row>
    <row r="27" spans="1:5">
      <c r="A27" t="s">
        <v>403</v>
      </c>
      <c r="B27" t="s">
        <v>454</v>
      </c>
      <c r="C27" t="s">
        <v>460</v>
      </c>
      <c r="D27" t="s">
        <v>275</v>
      </c>
      <c r="E27">
        <v>1</v>
      </c>
    </row>
    <row r="28" spans="1:5">
      <c r="A28" t="s">
        <v>392</v>
      </c>
      <c r="B28" t="s">
        <v>461</v>
      </c>
      <c r="C28" t="s">
        <v>462</v>
      </c>
      <c r="D28" t="s">
        <v>276</v>
      </c>
      <c r="E28">
        <v>1</v>
      </c>
    </row>
    <row r="29" spans="1:5">
      <c r="A29" t="s">
        <v>392</v>
      </c>
      <c r="B29" t="s">
        <v>461</v>
      </c>
      <c r="C29" t="s">
        <v>463</v>
      </c>
      <c r="D29" t="s">
        <v>271</v>
      </c>
      <c r="E29">
        <v>1</v>
      </c>
    </row>
    <row r="30" spans="1:5">
      <c r="A30" t="s">
        <v>392</v>
      </c>
      <c r="B30" t="s">
        <v>461</v>
      </c>
      <c r="C30" t="s">
        <v>464</v>
      </c>
      <c r="D30" t="s">
        <v>275</v>
      </c>
      <c r="E30">
        <v>1</v>
      </c>
    </row>
    <row r="31" spans="1:5">
      <c r="A31" t="s">
        <v>392</v>
      </c>
      <c r="B31" t="s">
        <v>461</v>
      </c>
      <c r="C31" t="s">
        <v>465</v>
      </c>
      <c r="D31" t="s">
        <v>274</v>
      </c>
      <c r="E31">
        <v>1</v>
      </c>
    </row>
    <row r="32" spans="1:5">
      <c r="A32" t="s">
        <v>392</v>
      </c>
      <c r="B32" t="s">
        <v>461</v>
      </c>
      <c r="C32" t="s">
        <v>466</v>
      </c>
      <c r="D32" t="s">
        <v>270</v>
      </c>
      <c r="E32">
        <v>1</v>
      </c>
    </row>
    <row r="33" spans="1:5">
      <c r="A33" t="s">
        <v>392</v>
      </c>
      <c r="B33" t="s">
        <v>461</v>
      </c>
      <c r="C33" t="s">
        <v>467</v>
      </c>
      <c r="D33" t="s">
        <v>272</v>
      </c>
      <c r="E33">
        <v>1</v>
      </c>
    </row>
    <row r="34" spans="1:5">
      <c r="A34" t="s">
        <v>392</v>
      </c>
      <c r="B34" t="s">
        <v>468</v>
      </c>
      <c r="C34" t="s">
        <v>469</v>
      </c>
      <c r="D34" t="s">
        <v>272</v>
      </c>
      <c r="E34">
        <v>1</v>
      </c>
    </row>
    <row r="35" spans="1:5">
      <c r="A35" t="s">
        <v>392</v>
      </c>
      <c r="B35" t="s">
        <v>468</v>
      </c>
      <c r="C35" t="s">
        <v>470</v>
      </c>
      <c r="D35" t="s">
        <v>274</v>
      </c>
      <c r="E35">
        <v>1</v>
      </c>
    </row>
    <row r="36" spans="1:5">
      <c r="A36" t="s">
        <v>392</v>
      </c>
      <c r="B36" t="s">
        <v>468</v>
      </c>
      <c r="C36" t="s">
        <v>471</v>
      </c>
      <c r="D36" t="s">
        <v>271</v>
      </c>
      <c r="E36">
        <v>1</v>
      </c>
    </row>
    <row r="37" spans="1:5">
      <c r="A37" t="s">
        <v>392</v>
      </c>
      <c r="B37" t="s">
        <v>468</v>
      </c>
      <c r="C37" t="s">
        <v>472</v>
      </c>
      <c r="D37" t="s">
        <v>270</v>
      </c>
      <c r="E37">
        <v>1</v>
      </c>
    </row>
    <row r="38" spans="1:5">
      <c r="A38" t="s">
        <v>392</v>
      </c>
      <c r="B38" t="s">
        <v>468</v>
      </c>
      <c r="C38" t="s">
        <v>473</v>
      </c>
      <c r="D38" t="s">
        <v>275</v>
      </c>
      <c r="E38">
        <v>1</v>
      </c>
    </row>
    <row r="39" spans="1:5">
      <c r="A39" t="s">
        <v>392</v>
      </c>
      <c r="B39" t="s">
        <v>468</v>
      </c>
      <c r="C39" t="s">
        <v>474</v>
      </c>
      <c r="D39" t="s">
        <v>276</v>
      </c>
      <c r="E39">
        <v>1</v>
      </c>
    </row>
    <row r="40" spans="1:5">
      <c r="A40" t="s">
        <v>392</v>
      </c>
      <c r="B40" t="s">
        <v>475</v>
      </c>
      <c r="C40" t="s">
        <v>476</v>
      </c>
      <c r="D40" t="s">
        <v>272</v>
      </c>
      <c r="E40">
        <v>2</v>
      </c>
    </row>
    <row r="41" spans="1:5">
      <c r="A41" t="s">
        <v>392</v>
      </c>
      <c r="B41" t="s">
        <v>475</v>
      </c>
      <c r="C41" t="s">
        <v>477</v>
      </c>
      <c r="D41" t="s">
        <v>271</v>
      </c>
      <c r="E41">
        <v>3</v>
      </c>
    </row>
    <row r="42" spans="1:5">
      <c r="A42" t="s">
        <v>392</v>
      </c>
      <c r="B42" t="s">
        <v>475</v>
      </c>
      <c r="C42" t="s">
        <v>478</v>
      </c>
      <c r="D42" t="s">
        <v>275</v>
      </c>
      <c r="E42">
        <v>1</v>
      </c>
    </row>
    <row r="43" spans="1:5">
      <c r="A43" t="s">
        <v>392</v>
      </c>
      <c r="B43" t="s">
        <v>475</v>
      </c>
      <c r="C43" t="s">
        <v>479</v>
      </c>
      <c r="D43" t="s">
        <v>276</v>
      </c>
      <c r="E43">
        <v>1</v>
      </c>
    </row>
    <row r="44" spans="1:5">
      <c r="A44" t="s">
        <v>392</v>
      </c>
      <c r="B44" t="s">
        <v>475</v>
      </c>
      <c r="C44" t="s">
        <v>480</v>
      </c>
      <c r="D44" t="s">
        <v>274</v>
      </c>
      <c r="E44">
        <v>1</v>
      </c>
    </row>
    <row r="45" spans="1:5">
      <c r="A45" t="s">
        <v>392</v>
      </c>
      <c r="B45" t="s">
        <v>475</v>
      </c>
      <c r="C45" t="s">
        <v>481</v>
      </c>
      <c r="D45" t="s">
        <v>270</v>
      </c>
      <c r="E45">
        <v>1</v>
      </c>
    </row>
    <row r="46" spans="1:5">
      <c r="A46" t="s">
        <v>392</v>
      </c>
      <c r="B46" t="s">
        <v>482</v>
      </c>
      <c r="C46" t="s">
        <v>483</v>
      </c>
      <c r="D46" t="s">
        <v>272</v>
      </c>
      <c r="E46">
        <v>2</v>
      </c>
    </row>
    <row r="47" spans="1:5">
      <c r="A47" t="s">
        <v>392</v>
      </c>
      <c r="B47" t="s">
        <v>482</v>
      </c>
      <c r="C47" t="s">
        <v>484</v>
      </c>
      <c r="D47" t="s">
        <v>274</v>
      </c>
      <c r="E47">
        <v>1</v>
      </c>
    </row>
    <row r="48" spans="1:5">
      <c r="A48" t="s">
        <v>392</v>
      </c>
      <c r="B48" t="s">
        <v>482</v>
      </c>
      <c r="C48" t="s">
        <v>485</v>
      </c>
      <c r="D48" t="s">
        <v>275</v>
      </c>
      <c r="E48">
        <v>1</v>
      </c>
    </row>
    <row r="49" spans="1:5">
      <c r="A49" t="s">
        <v>392</v>
      </c>
      <c r="B49" t="s">
        <v>482</v>
      </c>
      <c r="C49" t="s">
        <v>486</v>
      </c>
      <c r="D49" t="s">
        <v>271</v>
      </c>
      <c r="E49">
        <v>1</v>
      </c>
    </row>
    <row r="50" spans="1:5">
      <c r="A50" t="s">
        <v>392</v>
      </c>
      <c r="B50" t="s">
        <v>482</v>
      </c>
      <c r="C50" t="s">
        <v>487</v>
      </c>
      <c r="D50" t="s">
        <v>270</v>
      </c>
      <c r="E50">
        <v>1</v>
      </c>
    </row>
    <row r="51" spans="1:5">
      <c r="A51" t="s">
        <v>392</v>
      </c>
      <c r="B51" t="s">
        <v>482</v>
      </c>
      <c r="C51" t="s">
        <v>488</v>
      </c>
      <c r="D51" t="s">
        <v>276</v>
      </c>
      <c r="E51">
        <v>1</v>
      </c>
    </row>
    <row r="52" spans="1:5">
      <c r="A52" t="s">
        <v>392</v>
      </c>
      <c r="B52" t="s">
        <v>489</v>
      </c>
      <c r="C52" t="s">
        <v>490</v>
      </c>
      <c r="D52" t="s">
        <v>271</v>
      </c>
      <c r="E52">
        <v>1</v>
      </c>
    </row>
    <row r="53" spans="1:5">
      <c r="A53" t="s">
        <v>392</v>
      </c>
      <c r="B53" t="s">
        <v>489</v>
      </c>
      <c r="C53" t="s">
        <v>491</v>
      </c>
      <c r="D53" t="s">
        <v>275</v>
      </c>
      <c r="E53">
        <v>1</v>
      </c>
    </row>
    <row r="54" spans="1:5">
      <c r="A54" t="s">
        <v>392</v>
      </c>
      <c r="B54" t="s">
        <v>489</v>
      </c>
      <c r="C54" t="s">
        <v>492</v>
      </c>
      <c r="D54" t="s">
        <v>274</v>
      </c>
      <c r="E54">
        <v>1</v>
      </c>
    </row>
    <row r="55" spans="1:5">
      <c r="A55" t="s">
        <v>392</v>
      </c>
      <c r="B55" t="s">
        <v>489</v>
      </c>
      <c r="C55" t="s">
        <v>493</v>
      </c>
      <c r="D55" t="s">
        <v>270</v>
      </c>
      <c r="E55">
        <v>1</v>
      </c>
    </row>
    <row r="56" spans="1:5">
      <c r="A56" t="s">
        <v>392</v>
      </c>
      <c r="B56" t="s">
        <v>489</v>
      </c>
      <c r="C56" t="s">
        <v>494</v>
      </c>
      <c r="D56" t="s">
        <v>276</v>
      </c>
      <c r="E56">
        <v>1</v>
      </c>
    </row>
    <row r="57" spans="1:5">
      <c r="A57" t="s">
        <v>392</v>
      </c>
      <c r="B57" t="s">
        <v>489</v>
      </c>
      <c r="C57" t="s">
        <v>495</v>
      </c>
      <c r="D57" t="s">
        <v>272</v>
      </c>
      <c r="E57">
        <v>1</v>
      </c>
    </row>
    <row r="58" spans="1:5">
      <c r="A58" t="s">
        <v>392</v>
      </c>
      <c r="B58" t="s">
        <v>496</v>
      </c>
      <c r="C58" t="s">
        <v>497</v>
      </c>
      <c r="D58" t="s">
        <v>274</v>
      </c>
      <c r="E58">
        <v>1</v>
      </c>
    </row>
    <row r="59" spans="1:5">
      <c r="A59" t="s">
        <v>392</v>
      </c>
      <c r="B59" t="s">
        <v>496</v>
      </c>
      <c r="C59" t="s">
        <v>498</v>
      </c>
      <c r="D59" t="s">
        <v>272</v>
      </c>
      <c r="E59">
        <v>1</v>
      </c>
    </row>
    <row r="60" spans="1:5">
      <c r="A60" t="s">
        <v>392</v>
      </c>
      <c r="B60" t="s">
        <v>496</v>
      </c>
      <c r="C60" t="s">
        <v>499</v>
      </c>
      <c r="D60" t="s">
        <v>270</v>
      </c>
      <c r="E60">
        <v>1</v>
      </c>
    </row>
    <row r="61" spans="1:5">
      <c r="A61" t="s">
        <v>392</v>
      </c>
      <c r="B61" t="s">
        <v>496</v>
      </c>
      <c r="C61" t="s">
        <v>500</v>
      </c>
      <c r="D61" t="s">
        <v>276</v>
      </c>
      <c r="E61">
        <v>1</v>
      </c>
    </row>
    <row r="62" spans="1:5">
      <c r="A62" t="s">
        <v>392</v>
      </c>
      <c r="B62" t="s">
        <v>496</v>
      </c>
      <c r="C62" t="s">
        <v>501</v>
      </c>
      <c r="D62" t="s">
        <v>275</v>
      </c>
      <c r="E62">
        <v>1</v>
      </c>
    </row>
    <row r="63" spans="1:5">
      <c r="A63" t="s">
        <v>392</v>
      </c>
      <c r="B63" t="s">
        <v>496</v>
      </c>
      <c r="C63" t="s">
        <v>502</v>
      </c>
      <c r="D63" t="s">
        <v>271</v>
      </c>
      <c r="E63">
        <v>1</v>
      </c>
    </row>
    <row r="64" spans="1:5">
      <c r="A64" t="s">
        <v>392</v>
      </c>
      <c r="B64" t="s">
        <v>503</v>
      </c>
      <c r="C64" t="s">
        <v>504</v>
      </c>
      <c r="D64" t="s">
        <v>275</v>
      </c>
      <c r="E64">
        <v>1</v>
      </c>
    </row>
    <row r="65" spans="1:5">
      <c r="A65" t="s">
        <v>392</v>
      </c>
      <c r="B65" t="s">
        <v>503</v>
      </c>
      <c r="C65" t="s">
        <v>505</v>
      </c>
      <c r="D65" t="s">
        <v>271</v>
      </c>
      <c r="E65">
        <v>1</v>
      </c>
    </row>
    <row r="66" spans="1:5">
      <c r="A66" t="s">
        <v>392</v>
      </c>
      <c r="B66" t="s">
        <v>503</v>
      </c>
      <c r="C66" t="s">
        <v>506</v>
      </c>
      <c r="D66" t="s">
        <v>270</v>
      </c>
      <c r="E66">
        <v>1</v>
      </c>
    </row>
    <row r="67" spans="1:5">
      <c r="A67" t="s">
        <v>392</v>
      </c>
      <c r="B67" t="s">
        <v>503</v>
      </c>
      <c r="C67" t="s">
        <v>507</v>
      </c>
      <c r="D67" t="s">
        <v>274</v>
      </c>
      <c r="E67">
        <v>1</v>
      </c>
    </row>
    <row r="68" spans="1:5">
      <c r="A68" t="s">
        <v>392</v>
      </c>
      <c r="B68" t="s">
        <v>503</v>
      </c>
      <c r="C68" t="s">
        <v>508</v>
      </c>
      <c r="D68" t="s">
        <v>272</v>
      </c>
      <c r="E68">
        <v>1</v>
      </c>
    </row>
    <row r="69" spans="1:5">
      <c r="A69" t="s">
        <v>392</v>
      </c>
      <c r="B69" t="s">
        <v>503</v>
      </c>
      <c r="C69" t="s">
        <v>509</v>
      </c>
      <c r="D69" t="s">
        <v>276</v>
      </c>
      <c r="E69">
        <v>1</v>
      </c>
    </row>
    <row r="70" spans="1:5">
      <c r="A70" t="s">
        <v>392</v>
      </c>
      <c r="B70" t="s">
        <v>510</v>
      </c>
      <c r="C70" t="s">
        <v>511</v>
      </c>
      <c r="D70" t="s">
        <v>275</v>
      </c>
      <c r="E70">
        <v>1</v>
      </c>
    </row>
    <row r="71" spans="1:5">
      <c r="A71" t="s">
        <v>392</v>
      </c>
      <c r="B71" t="s">
        <v>510</v>
      </c>
      <c r="C71" t="s">
        <v>512</v>
      </c>
      <c r="D71" t="s">
        <v>271</v>
      </c>
      <c r="E71">
        <v>1</v>
      </c>
    </row>
    <row r="72" spans="1:5">
      <c r="A72" t="s">
        <v>392</v>
      </c>
      <c r="B72" t="s">
        <v>510</v>
      </c>
      <c r="C72" t="s">
        <v>513</v>
      </c>
      <c r="D72" t="s">
        <v>272</v>
      </c>
      <c r="E72">
        <v>1</v>
      </c>
    </row>
    <row r="73" spans="1:5">
      <c r="A73" t="s">
        <v>392</v>
      </c>
      <c r="B73" t="s">
        <v>510</v>
      </c>
      <c r="C73" t="s">
        <v>514</v>
      </c>
      <c r="D73" t="s">
        <v>274</v>
      </c>
      <c r="E73">
        <v>1</v>
      </c>
    </row>
    <row r="74" spans="1:5">
      <c r="A74" t="s">
        <v>392</v>
      </c>
      <c r="B74" t="s">
        <v>510</v>
      </c>
      <c r="C74" t="s">
        <v>515</v>
      </c>
      <c r="D74" t="s">
        <v>276</v>
      </c>
      <c r="E74">
        <v>1</v>
      </c>
    </row>
    <row r="75" spans="1:5">
      <c r="A75" t="s">
        <v>392</v>
      </c>
      <c r="B75" t="s">
        <v>510</v>
      </c>
      <c r="C75" t="s">
        <v>516</v>
      </c>
      <c r="D75" t="s">
        <v>270</v>
      </c>
      <c r="E75">
        <v>1</v>
      </c>
    </row>
    <row r="76" spans="1:5">
      <c r="A76" t="s">
        <v>381</v>
      </c>
      <c r="B76" t="s">
        <v>517</v>
      </c>
      <c r="C76" t="s">
        <v>248</v>
      </c>
      <c r="D76" t="s">
        <v>275</v>
      </c>
      <c r="E76">
        <v>3</v>
      </c>
    </row>
    <row r="77" spans="1:5">
      <c r="A77" t="s">
        <v>381</v>
      </c>
      <c r="B77" t="s">
        <v>517</v>
      </c>
      <c r="C77" t="s">
        <v>518</v>
      </c>
      <c r="D77" t="s">
        <v>276</v>
      </c>
      <c r="E77">
        <v>2</v>
      </c>
    </row>
    <row r="78" spans="1:5">
      <c r="A78" t="s">
        <v>381</v>
      </c>
      <c r="B78" t="s">
        <v>517</v>
      </c>
      <c r="C78" t="s">
        <v>519</v>
      </c>
      <c r="D78" t="s">
        <v>271</v>
      </c>
      <c r="E78">
        <v>2</v>
      </c>
    </row>
    <row r="79" spans="1:5">
      <c r="A79" t="s">
        <v>381</v>
      </c>
      <c r="B79" t="s">
        <v>517</v>
      </c>
      <c r="C79" t="s">
        <v>520</v>
      </c>
      <c r="D79" t="s">
        <v>270</v>
      </c>
      <c r="E79">
        <v>2</v>
      </c>
    </row>
    <row r="80" spans="1:5">
      <c r="A80" t="s">
        <v>381</v>
      </c>
      <c r="B80" t="s">
        <v>517</v>
      </c>
      <c r="C80" t="s">
        <v>521</v>
      </c>
      <c r="D80" t="s">
        <v>272</v>
      </c>
      <c r="E80">
        <v>2</v>
      </c>
    </row>
    <row r="81" spans="1:5">
      <c r="A81" t="s">
        <v>381</v>
      </c>
      <c r="B81" t="s">
        <v>517</v>
      </c>
      <c r="C81" t="s">
        <v>522</v>
      </c>
      <c r="D81" t="s">
        <v>274</v>
      </c>
      <c r="E81">
        <v>1</v>
      </c>
    </row>
    <row r="82" spans="1:5">
      <c r="A82" t="s">
        <v>381</v>
      </c>
      <c r="B82" t="s">
        <v>523</v>
      </c>
      <c r="C82" t="s">
        <v>524</v>
      </c>
      <c r="D82" t="s">
        <v>276</v>
      </c>
      <c r="E82">
        <v>3</v>
      </c>
    </row>
    <row r="83" spans="1:5">
      <c r="A83" t="s">
        <v>381</v>
      </c>
      <c r="B83" t="s">
        <v>523</v>
      </c>
      <c r="C83" t="s">
        <v>525</v>
      </c>
      <c r="D83" t="s">
        <v>272</v>
      </c>
      <c r="E83">
        <v>1</v>
      </c>
    </row>
    <row r="84" spans="1:5">
      <c r="A84" t="s">
        <v>381</v>
      </c>
      <c r="B84" t="s">
        <v>523</v>
      </c>
      <c r="C84" t="s">
        <v>526</v>
      </c>
      <c r="D84" t="s">
        <v>271</v>
      </c>
      <c r="E84">
        <v>1</v>
      </c>
    </row>
    <row r="85" spans="1:5">
      <c r="A85" t="s">
        <v>381</v>
      </c>
      <c r="B85" t="s">
        <v>523</v>
      </c>
      <c r="C85" t="s">
        <v>527</v>
      </c>
      <c r="D85" t="s">
        <v>275</v>
      </c>
      <c r="E85">
        <v>1</v>
      </c>
    </row>
    <row r="86" spans="1:5">
      <c r="A86" t="s">
        <v>381</v>
      </c>
      <c r="B86" t="s">
        <v>523</v>
      </c>
      <c r="C86" t="s">
        <v>528</v>
      </c>
      <c r="D86" t="s">
        <v>274</v>
      </c>
      <c r="E86">
        <v>1</v>
      </c>
    </row>
    <row r="87" spans="1:5">
      <c r="A87" t="s">
        <v>381</v>
      </c>
      <c r="B87" t="s">
        <v>523</v>
      </c>
      <c r="C87" t="s">
        <v>529</v>
      </c>
      <c r="D87" t="s">
        <v>270</v>
      </c>
      <c r="E87">
        <v>1</v>
      </c>
    </row>
    <row r="88" spans="1:5">
      <c r="A88" t="s">
        <v>381</v>
      </c>
      <c r="B88" t="s">
        <v>530</v>
      </c>
      <c r="C88" t="s">
        <v>524</v>
      </c>
      <c r="D88" t="s">
        <v>276</v>
      </c>
      <c r="E88">
        <v>3</v>
      </c>
    </row>
    <row r="89" spans="1:5">
      <c r="A89" t="s">
        <v>381</v>
      </c>
      <c r="B89" t="s">
        <v>530</v>
      </c>
      <c r="C89" t="s">
        <v>531</v>
      </c>
      <c r="D89" t="s">
        <v>272</v>
      </c>
      <c r="E89">
        <v>2</v>
      </c>
    </row>
    <row r="90" spans="1:5">
      <c r="A90" t="s">
        <v>381</v>
      </c>
      <c r="B90" t="s">
        <v>530</v>
      </c>
      <c r="C90" t="s">
        <v>532</v>
      </c>
      <c r="D90" t="s">
        <v>275</v>
      </c>
      <c r="E90">
        <v>2</v>
      </c>
    </row>
    <row r="91" spans="1:5">
      <c r="A91" t="s">
        <v>381</v>
      </c>
      <c r="B91" t="s">
        <v>530</v>
      </c>
      <c r="C91" t="s">
        <v>533</v>
      </c>
      <c r="D91" t="s">
        <v>271</v>
      </c>
      <c r="E91">
        <v>1</v>
      </c>
    </row>
    <row r="92" spans="1:5">
      <c r="A92" t="s">
        <v>381</v>
      </c>
      <c r="B92" t="s">
        <v>530</v>
      </c>
      <c r="C92" t="s">
        <v>534</v>
      </c>
      <c r="D92" t="s">
        <v>274</v>
      </c>
      <c r="E92">
        <v>1</v>
      </c>
    </row>
    <row r="93" spans="1:5">
      <c r="A93" t="s">
        <v>381</v>
      </c>
      <c r="B93" t="s">
        <v>530</v>
      </c>
      <c r="C93" t="s">
        <v>535</v>
      </c>
      <c r="D93" t="s">
        <v>270</v>
      </c>
      <c r="E93">
        <v>1</v>
      </c>
    </row>
    <row r="94" spans="1:5">
      <c r="A94" t="s">
        <v>381</v>
      </c>
      <c r="B94" t="s">
        <v>536</v>
      </c>
      <c r="C94" t="s">
        <v>537</v>
      </c>
      <c r="D94" t="s">
        <v>276</v>
      </c>
      <c r="E94">
        <v>2</v>
      </c>
    </row>
    <row r="95" spans="1:5">
      <c r="A95" t="s">
        <v>381</v>
      </c>
      <c r="B95" t="s">
        <v>536</v>
      </c>
      <c r="C95" t="s">
        <v>483</v>
      </c>
      <c r="D95" t="s">
        <v>270</v>
      </c>
      <c r="E95">
        <v>2</v>
      </c>
    </row>
    <row r="96" spans="1:5">
      <c r="A96" t="s">
        <v>381</v>
      </c>
      <c r="B96" t="s">
        <v>536</v>
      </c>
      <c r="C96" t="s">
        <v>267</v>
      </c>
      <c r="D96" t="s">
        <v>272</v>
      </c>
      <c r="E96">
        <v>2</v>
      </c>
    </row>
    <row r="97" spans="1:5">
      <c r="A97" t="s">
        <v>381</v>
      </c>
      <c r="B97" t="s">
        <v>536</v>
      </c>
      <c r="C97" t="s">
        <v>538</v>
      </c>
      <c r="D97" t="s">
        <v>275</v>
      </c>
      <c r="E97">
        <v>1</v>
      </c>
    </row>
    <row r="98" spans="1:5">
      <c r="A98" t="s">
        <v>381</v>
      </c>
      <c r="B98" t="s">
        <v>536</v>
      </c>
      <c r="C98" t="s">
        <v>539</v>
      </c>
      <c r="D98" t="s">
        <v>274</v>
      </c>
      <c r="E98">
        <v>1</v>
      </c>
    </row>
    <row r="99" spans="1:5">
      <c r="A99" t="s">
        <v>381</v>
      </c>
      <c r="B99" t="s">
        <v>536</v>
      </c>
      <c r="C99" t="s">
        <v>540</v>
      </c>
      <c r="D99" t="s">
        <v>271</v>
      </c>
      <c r="E99">
        <v>1</v>
      </c>
    </row>
    <row r="100" spans="1:5">
      <c r="A100" t="s">
        <v>369</v>
      </c>
      <c r="B100" t="s">
        <v>541</v>
      </c>
      <c r="C100" t="s">
        <v>542</v>
      </c>
      <c r="D100" t="s">
        <v>271</v>
      </c>
      <c r="E100">
        <v>2</v>
      </c>
    </row>
    <row r="101" spans="1:5">
      <c r="A101" t="s">
        <v>369</v>
      </c>
      <c r="B101" t="s">
        <v>541</v>
      </c>
      <c r="C101" t="s">
        <v>543</v>
      </c>
      <c r="D101" t="s">
        <v>275</v>
      </c>
      <c r="E101">
        <v>2</v>
      </c>
    </row>
    <row r="102" spans="1:5">
      <c r="A102" t="s">
        <v>369</v>
      </c>
      <c r="B102" t="s">
        <v>541</v>
      </c>
      <c r="C102" t="s">
        <v>544</v>
      </c>
      <c r="D102" t="s">
        <v>272</v>
      </c>
      <c r="E102">
        <v>1</v>
      </c>
    </row>
    <row r="103" spans="1:5">
      <c r="A103" t="s">
        <v>369</v>
      </c>
      <c r="B103" t="s">
        <v>541</v>
      </c>
      <c r="C103" t="s">
        <v>545</v>
      </c>
      <c r="D103" t="s">
        <v>270</v>
      </c>
      <c r="E103">
        <v>1</v>
      </c>
    </row>
    <row r="104" spans="1:5">
      <c r="A104" t="s">
        <v>369</v>
      </c>
      <c r="B104" t="s">
        <v>541</v>
      </c>
      <c r="C104" t="s">
        <v>546</v>
      </c>
      <c r="D104" t="s">
        <v>276</v>
      </c>
      <c r="E104">
        <v>1</v>
      </c>
    </row>
    <row r="105" spans="1:5">
      <c r="A105" t="s">
        <v>369</v>
      </c>
      <c r="B105" t="s">
        <v>541</v>
      </c>
      <c r="C105" t="s">
        <v>547</v>
      </c>
      <c r="D105" t="s">
        <v>274</v>
      </c>
      <c r="E105">
        <v>1</v>
      </c>
    </row>
    <row r="106" spans="1:5">
      <c r="A106" t="s">
        <v>369</v>
      </c>
      <c r="B106" t="s">
        <v>548</v>
      </c>
      <c r="C106" t="s">
        <v>518</v>
      </c>
      <c r="D106" t="s">
        <v>276</v>
      </c>
      <c r="E106">
        <v>2</v>
      </c>
    </row>
    <row r="107" spans="1:5">
      <c r="A107" t="s">
        <v>369</v>
      </c>
      <c r="B107" t="s">
        <v>548</v>
      </c>
      <c r="C107" t="s">
        <v>519</v>
      </c>
      <c r="D107" t="s">
        <v>271</v>
      </c>
      <c r="E107">
        <v>2</v>
      </c>
    </row>
    <row r="108" spans="1:5">
      <c r="A108" t="s">
        <v>369</v>
      </c>
      <c r="B108" t="s">
        <v>548</v>
      </c>
      <c r="C108" t="s">
        <v>520</v>
      </c>
      <c r="D108" t="s">
        <v>270</v>
      </c>
      <c r="E108">
        <v>2</v>
      </c>
    </row>
    <row r="109" spans="1:5">
      <c r="A109" t="s">
        <v>369</v>
      </c>
      <c r="B109" t="s">
        <v>548</v>
      </c>
      <c r="C109" t="s">
        <v>521</v>
      </c>
      <c r="D109" t="s">
        <v>272</v>
      </c>
      <c r="E109">
        <v>2</v>
      </c>
    </row>
    <row r="110" spans="1:5">
      <c r="A110" t="s">
        <v>369</v>
      </c>
      <c r="B110" t="s">
        <v>548</v>
      </c>
      <c r="C110" t="s">
        <v>549</v>
      </c>
      <c r="D110" t="s">
        <v>275</v>
      </c>
      <c r="E110">
        <v>1</v>
      </c>
    </row>
    <row r="111" spans="1:5">
      <c r="A111" t="s">
        <v>369</v>
      </c>
      <c r="B111" t="s">
        <v>548</v>
      </c>
      <c r="C111" t="s">
        <v>550</v>
      </c>
      <c r="D111" t="s">
        <v>274</v>
      </c>
      <c r="E111">
        <v>1</v>
      </c>
    </row>
    <row r="112" spans="1:5">
      <c r="A112" t="s">
        <v>369</v>
      </c>
      <c r="B112" t="s">
        <v>551</v>
      </c>
      <c r="C112" t="s">
        <v>531</v>
      </c>
      <c r="D112" t="s">
        <v>276</v>
      </c>
      <c r="E112">
        <v>2</v>
      </c>
    </row>
    <row r="113" spans="1:5">
      <c r="A113" t="s">
        <v>369</v>
      </c>
      <c r="B113" t="s">
        <v>551</v>
      </c>
      <c r="C113" t="s">
        <v>267</v>
      </c>
      <c r="D113" t="s">
        <v>272</v>
      </c>
      <c r="E113">
        <v>2</v>
      </c>
    </row>
    <row r="114" spans="1:5">
      <c r="A114" t="s">
        <v>369</v>
      </c>
      <c r="B114" t="s">
        <v>551</v>
      </c>
      <c r="C114" t="s">
        <v>552</v>
      </c>
      <c r="D114" t="s">
        <v>271</v>
      </c>
      <c r="E114">
        <v>1</v>
      </c>
    </row>
    <row r="115" spans="1:5">
      <c r="A115" t="s">
        <v>369</v>
      </c>
      <c r="B115" t="s">
        <v>551</v>
      </c>
      <c r="C115" t="s">
        <v>553</v>
      </c>
      <c r="D115" t="s">
        <v>270</v>
      </c>
      <c r="E115">
        <v>1</v>
      </c>
    </row>
    <row r="116" spans="1:5">
      <c r="A116" t="s">
        <v>369</v>
      </c>
      <c r="B116" t="s">
        <v>551</v>
      </c>
      <c r="C116" t="s">
        <v>554</v>
      </c>
      <c r="D116" t="s">
        <v>275</v>
      </c>
      <c r="E116">
        <v>1</v>
      </c>
    </row>
    <row r="117" spans="1:5">
      <c r="A117" t="s">
        <v>369</v>
      </c>
      <c r="B117" t="s">
        <v>551</v>
      </c>
      <c r="C117" t="s">
        <v>555</v>
      </c>
      <c r="D117" t="s">
        <v>274</v>
      </c>
      <c r="E117">
        <v>1</v>
      </c>
    </row>
    <row r="118" spans="1:5">
      <c r="A118" t="s">
        <v>355</v>
      </c>
      <c r="B118" t="s">
        <v>556</v>
      </c>
      <c r="C118" t="s">
        <v>557</v>
      </c>
      <c r="D118" t="s">
        <v>274</v>
      </c>
      <c r="E118">
        <v>1</v>
      </c>
    </row>
    <row r="119" spans="1:5">
      <c r="A119" t="s">
        <v>355</v>
      </c>
      <c r="B119" t="s">
        <v>556</v>
      </c>
      <c r="C119" t="s">
        <v>558</v>
      </c>
      <c r="D119" t="s">
        <v>271</v>
      </c>
      <c r="E119">
        <v>2</v>
      </c>
    </row>
    <row r="120" spans="1:5">
      <c r="A120" t="s">
        <v>355</v>
      </c>
      <c r="B120" t="s">
        <v>556</v>
      </c>
      <c r="C120" t="s">
        <v>559</v>
      </c>
      <c r="D120" t="s">
        <v>276</v>
      </c>
      <c r="E120">
        <v>2</v>
      </c>
    </row>
    <row r="121" spans="1:5">
      <c r="A121" t="s">
        <v>355</v>
      </c>
      <c r="B121" t="s">
        <v>556</v>
      </c>
      <c r="C121" t="s">
        <v>560</v>
      </c>
      <c r="D121" t="s">
        <v>275</v>
      </c>
      <c r="E121">
        <v>2</v>
      </c>
    </row>
    <row r="122" spans="1:5">
      <c r="A122" t="s">
        <v>355</v>
      </c>
      <c r="B122" t="s">
        <v>556</v>
      </c>
      <c r="C122" t="s">
        <v>561</v>
      </c>
      <c r="D122" t="s">
        <v>272</v>
      </c>
      <c r="E122">
        <v>1</v>
      </c>
    </row>
    <row r="123" spans="1:5">
      <c r="A123" t="s">
        <v>355</v>
      </c>
      <c r="B123" t="s">
        <v>556</v>
      </c>
      <c r="C123" t="s">
        <v>562</v>
      </c>
      <c r="D123" t="s">
        <v>270</v>
      </c>
      <c r="E123">
        <v>1</v>
      </c>
    </row>
    <row r="124" spans="1:5">
      <c r="A124" t="s">
        <v>355</v>
      </c>
      <c r="B124" t="s">
        <v>368</v>
      </c>
      <c r="C124" t="s">
        <v>563</v>
      </c>
      <c r="D124" t="s">
        <v>271</v>
      </c>
      <c r="E124">
        <v>3</v>
      </c>
    </row>
    <row r="125" spans="1:5">
      <c r="A125" t="s">
        <v>355</v>
      </c>
      <c r="B125" t="s">
        <v>368</v>
      </c>
      <c r="C125" t="s">
        <v>564</v>
      </c>
      <c r="D125" t="s">
        <v>276</v>
      </c>
      <c r="E125">
        <v>2</v>
      </c>
    </row>
    <row r="126" spans="1:5">
      <c r="A126" t="s">
        <v>355</v>
      </c>
      <c r="B126" t="s">
        <v>368</v>
      </c>
      <c r="C126" t="s">
        <v>565</v>
      </c>
      <c r="D126" t="s">
        <v>274</v>
      </c>
      <c r="E126">
        <v>2</v>
      </c>
    </row>
    <row r="127" spans="1:5">
      <c r="A127" t="s">
        <v>355</v>
      </c>
      <c r="B127" t="s">
        <v>368</v>
      </c>
      <c r="C127" t="s">
        <v>566</v>
      </c>
      <c r="D127" t="s">
        <v>272</v>
      </c>
      <c r="E127">
        <v>1</v>
      </c>
    </row>
    <row r="128" spans="1:5">
      <c r="A128" t="s">
        <v>355</v>
      </c>
      <c r="B128" t="s">
        <v>368</v>
      </c>
      <c r="C128" t="s">
        <v>567</v>
      </c>
      <c r="D128" t="s">
        <v>270</v>
      </c>
      <c r="E128">
        <v>1</v>
      </c>
    </row>
    <row r="129" spans="1:5">
      <c r="A129" t="s">
        <v>355</v>
      </c>
      <c r="B129" t="s">
        <v>368</v>
      </c>
      <c r="C129" t="s">
        <v>568</v>
      </c>
      <c r="D129" t="s">
        <v>275</v>
      </c>
      <c r="E129">
        <v>1</v>
      </c>
    </row>
    <row r="130" spans="1:5">
      <c r="A130" t="s">
        <v>355</v>
      </c>
      <c r="B130" t="s">
        <v>569</v>
      </c>
      <c r="C130" t="s">
        <v>570</v>
      </c>
      <c r="D130" t="s">
        <v>270</v>
      </c>
      <c r="E130">
        <v>2</v>
      </c>
    </row>
    <row r="131" spans="1:5">
      <c r="A131" t="s">
        <v>355</v>
      </c>
      <c r="B131" t="s">
        <v>569</v>
      </c>
      <c r="C131" t="s">
        <v>571</v>
      </c>
      <c r="D131" t="s">
        <v>276</v>
      </c>
      <c r="E131">
        <v>2</v>
      </c>
    </row>
    <row r="132" spans="1:5">
      <c r="A132" t="s">
        <v>355</v>
      </c>
      <c r="B132" t="s">
        <v>569</v>
      </c>
      <c r="C132" t="s">
        <v>572</v>
      </c>
      <c r="D132" t="s">
        <v>271</v>
      </c>
      <c r="E132">
        <v>2</v>
      </c>
    </row>
    <row r="133" spans="1:5">
      <c r="A133" t="s">
        <v>355</v>
      </c>
      <c r="B133" t="s">
        <v>569</v>
      </c>
      <c r="C133" t="s">
        <v>573</v>
      </c>
      <c r="D133" t="s">
        <v>275</v>
      </c>
      <c r="E133">
        <v>2</v>
      </c>
    </row>
    <row r="134" spans="1:5">
      <c r="A134" t="s">
        <v>355</v>
      </c>
      <c r="B134" t="s">
        <v>569</v>
      </c>
      <c r="C134" t="s">
        <v>574</v>
      </c>
      <c r="D134" t="s">
        <v>272</v>
      </c>
      <c r="E134">
        <v>2</v>
      </c>
    </row>
    <row r="135" spans="1:5">
      <c r="A135" t="s">
        <v>355</v>
      </c>
      <c r="B135" t="s">
        <v>569</v>
      </c>
      <c r="C135" t="s">
        <v>575</v>
      </c>
      <c r="D135" t="s">
        <v>274</v>
      </c>
      <c r="E135">
        <v>1</v>
      </c>
    </row>
    <row r="136" spans="1:5">
      <c r="A136" t="s">
        <v>355</v>
      </c>
      <c r="B136" t="s">
        <v>475</v>
      </c>
      <c r="C136" t="s">
        <v>476</v>
      </c>
      <c r="D136" t="s">
        <v>272</v>
      </c>
      <c r="E136">
        <v>2</v>
      </c>
    </row>
    <row r="137" spans="1:5">
      <c r="A137" t="s">
        <v>355</v>
      </c>
      <c r="B137" t="s">
        <v>475</v>
      </c>
      <c r="C137" t="s">
        <v>558</v>
      </c>
      <c r="D137" t="s">
        <v>271</v>
      </c>
      <c r="E137">
        <v>2</v>
      </c>
    </row>
    <row r="138" spans="1:5">
      <c r="A138" t="s">
        <v>355</v>
      </c>
      <c r="B138" t="s">
        <v>475</v>
      </c>
      <c r="C138" t="s">
        <v>477</v>
      </c>
      <c r="D138" t="s">
        <v>270</v>
      </c>
      <c r="E138">
        <v>3</v>
      </c>
    </row>
    <row r="139" spans="1:5">
      <c r="A139" t="s">
        <v>355</v>
      </c>
      <c r="B139" t="s">
        <v>475</v>
      </c>
      <c r="C139" t="s">
        <v>559</v>
      </c>
      <c r="D139" t="s">
        <v>276</v>
      </c>
      <c r="E139">
        <v>2</v>
      </c>
    </row>
    <row r="140" spans="1:5">
      <c r="A140" t="s">
        <v>355</v>
      </c>
      <c r="B140" t="s">
        <v>475</v>
      </c>
      <c r="C140" t="s">
        <v>576</v>
      </c>
      <c r="D140" t="s">
        <v>275</v>
      </c>
      <c r="E140">
        <v>1</v>
      </c>
    </row>
    <row r="141" spans="1:5">
      <c r="A141" t="s">
        <v>355</v>
      </c>
      <c r="B141" t="s">
        <v>475</v>
      </c>
      <c r="C141" t="s">
        <v>577</v>
      </c>
      <c r="D141" t="s">
        <v>274</v>
      </c>
      <c r="E141">
        <v>1</v>
      </c>
    </row>
    <row r="142" spans="1:5">
      <c r="A142" t="s">
        <v>355</v>
      </c>
      <c r="B142" t="s">
        <v>578</v>
      </c>
      <c r="C142" t="s">
        <v>563</v>
      </c>
      <c r="D142" t="s">
        <v>272</v>
      </c>
      <c r="E142">
        <v>3</v>
      </c>
    </row>
    <row r="143" spans="1:5">
      <c r="A143" t="s">
        <v>355</v>
      </c>
      <c r="B143" t="s">
        <v>578</v>
      </c>
      <c r="C143" t="s">
        <v>564</v>
      </c>
      <c r="D143" t="s">
        <v>276</v>
      </c>
      <c r="E143">
        <v>2</v>
      </c>
    </row>
    <row r="144" spans="1:5">
      <c r="A144" t="s">
        <v>355</v>
      </c>
      <c r="B144" t="s">
        <v>578</v>
      </c>
      <c r="C144" t="s">
        <v>565</v>
      </c>
      <c r="D144" t="s">
        <v>274</v>
      </c>
      <c r="E144">
        <v>2</v>
      </c>
    </row>
    <row r="145" spans="1:5">
      <c r="A145" t="s">
        <v>355</v>
      </c>
      <c r="B145" t="s">
        <v>578</v>
      </c>
      <c r="C145" t="s">
        <v>572</v>
      </c>
      <c r="D145" t="s">
        <v>271</v>
      </c>
      <c r="E145">
        <v>2</v>
      </c>
    </row>
    <row r="146" spans="1:5">
      <c r="A146" t="s">
        <v>355</v>
      </c>
      <c r="B146" t="s">
        <v>578</v>
      </c>
      <c r="C146" t="s">
        <v>579</v>
      </c>
      <c r="D146" t="s">
        <v>275</v>
      </c>
      <c r="E146">
        <v>1</v>
      </c>
    </row>
    <row r="147" spans="1:5">
      <c r="A147" t="s">
        <v>355</v>
      </c>
      <c r="B147" t="s">
        <v>578</v>
      </c>
      <c r="C147" t="s">
        <v>580</v>
      </c>
      <c r="D147" t="s">
        <v>270</v>
      </c>
      <c r="E147">
        <v>1</v>
      </c>
    </row>
    <row r="148" spans="1:5">
      <c r="A148" t="s">
        <v>355</v>
      </c>
      <c r="B148" t="s">
        <v>581</v>
      </c>
      <c r="C148" t="s">
        <v>560</v>
      </c>
      <c r="D148" t="s">
        <v>275</v>
      </c>
      <c r="E148">
        <v>2</v>
      </c>
    </row>
    <row r="149" spans="1:5">
      <c r="A149" t="s">
        <v>355</v>
      </c>
      <c r="B149" t="s">
        <v>581</v>
      </c>
      <c r="C149" t="s">
        <v>582</v>
      </c>
      <c r="D149" t="s">
        <v>271</v>
      </c>
      <c r="E149">
        <v>1</v>
      </c>
    </row>
    <row r="150" spans="1:5">
      <c r="A150" t="s">
        <v>355</v>
      </c>
      <c r="B150" t="s">
        <v>581</v>
      </c>
      <c r="C150" t="s">
        <v>583</v>
      </c>
      <c r="D150" t="s">
        <v>274</v>
      </c>
      <c r="E150">
        <v>1</v>
      </c>
    </row>
    <row r="151" spans="1:5">
      <c r="A151" t="s">
        <v>355</v>
      </c>
      <c r="B151" t="s">
        <v>581</v>
      </c>
      <c r="C151" t="s">
        <v>584</v>
      </c>
      <c r="D151" t="s">
        <v>270</v>
      </c>
      <c r="E151">
        <v>1</v>
      </c>
    </row>
    <row r="152" spans="1:5">
      <c r="A152" t="s">
        <v>355</v>
      </c>
      <c r="B152" t="s">
        <v>581</v>
      </c>
      <c r="C152" t="s">
        <v>585</v>
      </c>
      <c r="D152" t="s">
        <v>272</v>
      </c>
      <c r="E152">
        <v>1</v>
      </c>
    </row>
    <row r="153" spans="1:5">
      <c r="A153" t="s">
        <v>355</v>
      </c>
      <c r="B153" t="s">
        <v>581</v>
      </c>
      <c r="C153" t="s">
        <v>586</v>
      </c>
      <c r="D153" t="s">
        <v>276</v>
      </c>
      <c r="E153">
        <v>1</v>
      </c>
    </row>
    <row r="154" spans="1:5">
      <c r="A154" t="s">
        <v>341</v>
      </c>
      <c r="B154" t="s">
        <v>587</v>
      </c>
      <c r="C154" t="s">
        <v>588</v>
      </c>
      <c r="D154" t="s">
        <v>276</v>
      </c>
      <c r="E154">
        <v>1</v>
      </c>
    </row>
    <row r="155" spans="1:5">
      <c r="A155" t="s">
        <v>341</v>
      </c>
      <c r="B155" t="s">
        <v>587</v>
      </c>
      <c r="C155" t="s">
        <v>589</v>
      </c>
      <c r="D155" t="s">
        <v>275</v>
      </c>
      <c r="E155">
        <v>1</v>
      </c>
    </row>
    <row r="156" spans="1:5">
      <c r="A156" t="s">
        <v>341</v>
      </c>
      <c r="B156" t="s">
        <v>587</v>
      </c>
      <c r="C156" t="s">
        <v>590</v>
      </c>
      <c r="D156" t="s">
        <v>274</v>
      </c>
      <c r="E156">
        <v>1</v>
      </c>
    </row>
    <row r="157" spans="1:5">
      <c r="A157" t="s">
        <v>341</v>
      </c>
      <c r="B157" t="s">
        <v>587</v>
      </c>
      <c r="C157" t="s">
        <v>591</v>
      </c>
      <c r="D157" t="s">
        <v>272</v>
      </c>
      <c r="E157">
        <v>1</v>
      </c>
    </row>
    <row r="158" spans="1:5">
      <c r="A158" t="s">
        <v>341</v>
      </c>
      <c r="B158" t="s">
        <v>587</v>
      </c>
      <c r="C158" t="s">
        <v>592</v>
      </c>
      <c r="D158" t="s">
        <v>271</v>
      </c>
      <c r="E158">
        <v>1</v>
      </c>
    </row>
    <row r="159" spans="1:5">
      <c r="A159" t="s">
        <v>341</v>
      </c>
      <c r="B159" t="s">
        <v>587</v>
      </c>
      <c r="C159" t="s">
        <v>593</v>
      </c>
      <c r="D159" t="s">
        <v>270</v>
      </c>
      <c r="E159">
        <v>1</v>
      </c>
    </row>
    <row r="160" spans="1:5">
      <c r="A160" t="s">
        <v>341</v>
      </c>
      <c r="B160" t="s">
        <v>594</v>
      </c>
      <c r="C160" t="s">
        <v>595</v>
      </c>
      <c r="D160" t="s">
        <v>276</v>
      </c>
      <c r="E160">
        <v>1</v>
      </c>
    </row>
    <row r="161" spans="1:5">
      <c r="A161" t="s">
        <v>341</v>
      </c>
      <c r="B161" t="s">
        <v>594</v>
      </c>
      <c r="C161" t="s">
        <v>596</v>
      </c>
      <c r="D161" t="s">
        <v>275</v>
      </c>
      <c r="E161">
        <v>1</v>
      </c>
    </row>
    <row r="162" spans="1:5">
      <c r="A162" t="s">
        <v>341</v>
      </c>
      <c r="B162" t="s">
        <v>594</v>
      </c>
      <c r="C162" t="s">
        <v>597</v>
      </c>
      <c r="D162" t="s">
        <v>274</v>
      </c>
      <c r="E162">
        <v>1</v>
      </c>
    </row>
    <row r="163" spans="1:5">
      <c r="A163" t="s">
        <v>341</v>
      </c>
      <c r="B163" t="s">
        <v>594</v>
      </c>
      <c r="C163" t="s">
        <v>598</v>
      </c>
      <c r="D163" t="s">
        <v>272</v>
      </c>
      <c r="E163">
        <v>1</v>
      </c>
    </row>
    <row r="164" spans="1:5">
      <c r="A164" t="s">
        <v>341</v>
      </c>
      <c r="B164" t="s">
        <v>594</v>
      </c>
      <c r="C164" t="s">
        <v>599</v>
      </c>
      <c r="D164" t="s">
        <v>271</v>
      </c>
      <c r="E164">
        <v>1</v>
      </c>
    </row>
    <row r="165" spans="1:5">
      <c r="A165" t="s">
        <v>341</v>
      </c>
      <c r="B165" t="s">
        <v>594</v>
      </c>
      <c r="C165" t="s">
        <v>600</v>
      </c>
      <c r="D165" t="s">
        <v>270</v>
      </c>
      <c r="E165">
        <v>1</v>
      </c>
    </row>
    <row r="166" spans="1:5">
      <c r="A166" t="s">
        <v>341</v>
      </c>
      <c r="B166" t="s">
        <v>601</v>
      </c>
      <c r="C166" t="s">
        <v>602</v>
      </c>
      <c r="D166" t="s">
        <v>275</v>
      </c>
      <c r="E166">
        <v>2</v>
      </c>
    </row>
    <row r="167" spans="1:5">
      <c r="A167" t="s">
        <v>341</v>
      </c>
      <c r="B167" t="s">
        <v>601</v>
      </c>
      <c r="C167" t="s">
        <v>603</v>
      </c>
      <c r="D167" t="s">
        <v>272</v>
      </c>
      <c r="E167">
        <v>1</v>
      </c>
    </row>
    <row r="168" spans="1:5">
      <c r="A168" t="s">
        <v>341</v>
      </c>
      <c r="B168" t="s">
        <v>601</v>
      </c>
      <c r="C168" t="s">
        <v>604</v>
      </c>
      <c r="D168" t="s">
        <v>271</v>
      </c>
      <c r="E168">
        <v>1</v>
      </c>
    </row>
    <row r="169" spans="1:5">
      <c r="A169" t="s">
        <v>341</v>
      </c>
      <c r="B169" t="s">
        <v>601</v>
      </c>
      <c r="C169" t="s">
        <v>605</v>
      </c>
      <c r="D169" t="s">
        <v>274</v>
      </c>
      <c r="E169">
        <v>1</v>
      </c>
    </row>
    <row r="170" spans="1:5">
      <c r="A170" t="s">
        <v>341</v>
      </c>
      <c r="B170" t="s">
        <v>601</v>
      </c>
      <c r="C170" t="s">
        <v>606</v>
      </c>
      <c r="D170" t="s">
        <v>270</v>
      </c>
      <c r="E170">
        <v>1</v>
      </c>
    </row>
    <row r="171" spans="1:5">
      <c r="A171" t="s">
        <v>327</v>
      </c>
      <c r="B171" t="s">
        <v>607</v>
      </c>
      <c r="C171" t="s">
        <v>248</v>
      </c>
      <c r="D171" t="s">
        <v>276</v>
      </c>
      <c r="E171">
        <v>3</v>
      </c>
    </row>
    <row r="172" spans="1:5">
      <c r="A172" t="s">
        <v>327</v>
      </c>
      <c r="B172" t="s">
        <v>607</v>
      </c>
      <c r="C172" t="s">
        <v>477</v>
      </c>
      <c r="D172" t="s">
        <v>270</v>
      </c>
      <c r="E172">
        <v>3</v>
      </c>
    </row>
    <row r="173" spans="1:5">
      <c r="A173" t="s">
        <v>327</v>
      </c>
      <c r="B173" t="s">
        <v>607</v>
      </c>
      <c r="C173" t="s">
        <v>571</v>
      </c>
      <c r="D173" t="s">
        <v>271</v>
      </c>
      <c r="E173">
        <v>2</v>
      </c>
    </row>
    <row r="174" spans="1:5">
      <c r="A174" t="s">
        <v>327</v>
      </c>
      <c r="B174" t="s">
        <v>607</v>
      </c>
      <c r="C174" t="s">
        <v>608</v>
      </c>
      <c r="D174" t="s">
        <v>275</v>
      </c>
      <c r="E174">
        <v>2</v>
      </c>
    </row>
    <row r="175" spans="1:5">
      <c r="A175" t="s">
        <v>327</v>
      </c>
      <c r="B175" t="s">
        <v>607</v>
      </c>
      <c r="C175" t="s">
        <v>609</v>
      </c>
      <c r="D175" t="s">
        <v>274</v>
      </c>
      <c r="E175">
        <v>1</v>
      </c>
    </row>
    <row r="176" spans="1:5">
      <c r="A176" t="s">
        <v>327</v>
      </c>
      <c r="B176" t="s">
        <v>607</v>
      </c>
      <c r="C176" t="s">
        <v>610</v>
      </c>
      <c r="D176" t="s">
        <v>272</v>
      </c>
      <c r="E176">
        <v>1</v>
      </c>
    </row>
    <row r="177" spans="1:5">
      <c r="A177" t="s">
        <v>327</v>
      </c>
      <c r="B177" t="s">
        <v>611</v>
      </c>
      <c r="C177" t="s">
        <v>248</v>
      </c>
      <c r="D177" t="s">
        <v>276</v>
      </c>
      <c r="E177">
        <v>3</v>
      </c>
    </row>
    <row r="178" spans="1:5">
      <c r="A178" t="s">
        <v>327</v>
      </c>
      <c r="B178" t="s">
        <v>611</v>
      </c>
      <c r="C178" t="s">
        <v>563</v>
      </c>
      <c r="D178" t="s">
        <v>274</v>
      </c>
      <c r="E178">
        <v>3</v>
      </c>
    </row>
    <row r="179" spans="1:5">
      <c r="A179" t="s">
        <v>327</v>
      </c>
      <c r="B179" t="s">
        <v>611</v>
      </c>
      <c r="C179" t="s">
        <v>570</v>
      </c>
      <c r="D179" t="s">
        <v>270</v>
      </c>
      <c r="E179">
        <v>2</v>
      </c>
    </row>
    <row r="180" spans="1:5">
      <c r="A180" t="s">
        <v>327</v>
      </c>
      <c r="B180" t="s">
        <v>611</v>
      </c>
      <c r="C180" t="s">
        <v>573</v>
      </c>
      <c r="D180" t="s">
        <v>272</v>
      </c>
      <c r="E180">
        <v>2</v>
      </c>
    </row>
    <row r="181" spans="1:5">
      <c r="A181" t="s">
        <v>327</v>
      </c>
      <c r="B181" t="s">
        <v>611</v>
      </c>
      <c r="C181" t="s">
        <v>574</v>
      </c>
      <c r="D181" t="s">
        <v>271</v>
      </c>
      <c r="E181">
        <v>2</v>
      </c>
    </row>
    <row r="182" spans="1:5">
      <c r="A182" t="s">
        <v>327</v>
      </c>
      <c r="B182" t="s">
        <v>611</v>
      </c>
      <c r="C182" t="s">
        <v>441</v>
      </c>
      <c r="D182" t="s">
        <v>275</v>
      </c>
      <c r="E182">
        <v>2</v>
      </c>
    </row>
    <row r="183" spans="1:5">
      <c r="A183" t="s">
        <v>327</v>
      </c>
      <c r="B183" t="s">
        <v>612</v>
      </c>
      <c r="C183" t="s">
        <v>254</v>
      </c>
      <c r="D183" t="s">
        <v>276</v>
      </c>
      <c r="E183">
        <v>2</v>
      </c>
    </row>
    <row r="184" spans="1:5">
      <c r="A184" t="s">
        <v>327</v>
      </c>
      <c r="B184" t="s">
        <v>612</v>
      </c>
      <c r="C184" t="s">
        <v>608</v>
      </c>
      <c r="D184" t="s">
        <v>275</v>
      </c>
      <c r="E184">
        <v>2</v>
      </c>
    </row>
    <row r="185" spans="1:5">
      <c r="A185" t="s">
        <v>327</v>
      </c>
      <c r="B185" t="s">
        <v>612</v>
      </c>
      <c r="C185" t="s">
        <v>613</v>
      </c>
      <c r="D185" t="s">
        <v>270</v>
      </c>
      <c r="E185">
        <v>1</v>
      </c>
    </row>
    <row r="186" spans="1:5">
      <c r="A186" t="s">
        <v>327</v>
      </c>
      <c r="B186" t="s">
        <v>612</v>
      </c>
      <c r="C186" t="s">
        <v>614</v>
      </c>
      <c r="D186" t="s">
        <v>271</v>
      </c>
      <c r="E186">
        <v>1</v>
      </c>
    </row>
    <row r="187" spans="1:5">
      <c r="A187" t="s">
        <v>327</v>
      </c>
      <c r="B187" t="s">
        <v>612</v>
      </c>
      <c r="C187" t="s">
        <v>615</v>
      </c>
      <c r="D187" t="s">
        <v>274</v>
      </c>
      <c r="E187">
        <v>1</v>
      </c>
    </row>
    <row r="188" spans="1:5">
      <c r="A188" t="s">
        <v>327</v>
      </c>
      <c r="B188" t="s">
        <v>612</v>
      </c>
      <c r="C188" t="s">
        <v>616</v>
      </c>
      <c r="D188" t="s">
        <v>272</v>
      </c>
      <c r="E188">
        <v>1</v>
      </c>
    </row>
    <row r="189" spans="1:5">
      <c r="A189" t="s">
        <v>311</v>
      </c>
      <c r="B189" t="s">
        <v>617</v>
      </c>
      <c r="C189" t="s">
        <v>268</v>
      </c>
      <c r="D189" t="s">
        <v>276</v>
      </c>
      <c r="E189">
        <v>3</v>
      </c>
    </row>
    <row r="190" spans="1:5">
      <c r="A190" t="s">
        <v>311</v>
      </c>
      <c r="B190" t="s">
        <v>617</v>
      </c>
      <c r="C190" t="s">
        <v>618</v>
      </c>
      <c r="D190" t="s">
        <v>275</v>
      </c>
      <c r="E190">
        <v>3</v>
      </c>
    </row>
    <row r="191" spans="1:5">
      <c r="A191" t="s">
        <v>311</v>
      </c>
      <c r="B191" t="s">
        <v>617</v>
      </c>
      <c r="C191" t="s">
        <v>537</v>
      </c>
      <c r="D191" t="s">
        <v>270</v>
      </c>
      <c r="E191">
        <v>2</v>
      </c>
    </row>
    <row r="192" spans="1:5">
      <c r="A192" t="s">
        <v>311</v>
      </c>
      <c r="B192" t="s">
        <v>617</v>
      </c>
      <c r="C192" t="s">
        <v>619</v>
      </c>
      <c r="D192" t="s">
        <v>271</v>
      </c>
      <c r="E192">
        <v>1</v>
      </c>
    </row>
    <row r="193" spans="1:5">
      <c r="A193" t="s">
        <v>311</v>
      </c>
      <c r="B193" t="s">
        <v>617</v>
      </c>
      <c r="C193" t="s">
        <v>620</v>
      </c>
      <c r="D193" t="s">
        <v>274</v>
      </c>
      <c r="E193">
        <v>1</v>
      </c>
    </row>
    <row r="194" spans="1:5">
      <c r="A194" t="s">
        <v>311</v>
      </c>
      <c r="B194" t="s">
        <v>617</v>
      </c>
      <c r="C194" t="s">
        <v>621</v>
      </c>
      <c r="D194" t="s">
        <v>272</v>
      </c>
      <c r="E194">
        <v>1</v>
      </c>
    </row>
    <row r="195" spans="1:5">
      <c r="A195" t="s">
        <v>311</v>
      </c>
      <c r="B195" t="s">
        <v>622</v>
      </c>
      <c r="C195" t="s">
        <v>268</v>
      </c>
      <c r="D195" t="s">
        <v>276</v>
      </c>
      <c r="E195">
        <v>3</v>
      </c>
    </row>
    <row r="196" spans="1:5">
      <c r="A196" t="s">
        <v>311</v>
      </c>
      <c r="B196" t="s">
        <v>622</v>
      </c>
      <c r="C196" t="s">
        <v>618</v>
      </c>
      <c r="D196" t="s">
        <v>275</v>
      </c>
      <c r="E196">
        <v>3</v>
      </c>
    </row>
    <row r="197" spans="1:5">
      <c r="A197" t="s">
        <v>311</v>
      </c>
      <c r="B197" t="s">
        <v>622</v>
      </c>
      <c r="C197" t="s">
        <v>623</v>
      </c>
      <c r="D197" t="s">
        <v>272</v>
      </c>
      <c r="E197">
        <v>1</v>
      </c>
    </row>
    <row r="198" spans="1:5">
      <c r="A198" t="s">
        <v>311</v>
      </c>
      <c r="B198" t="s">
        <v>622</v>
      </c>
      <c r="C198" t="s">
        <v>624</v>
      </c>
      <c r="D198" t="s">
        <v>274</v>
      </c>
      <c r="E198">
        <v>1</v>
      </c>
    </row>
    <row r="199" spans="1:5">
      <c r="A199" t="s">
        <v>311</v>
      </c>
      <c r="B199" t="s">
        <v>622</v>
      </c>
      <c r="C199" t="s">
        <v>625</v>
      </c>
      <c r="D199" t="s">
        <v>270</v>
      </c>
      <c r="E199">
        <v>1</v>
      </c>
    </row>
    <row r="200" spans="1:5">
      <c r="A200" t="s">
        <v>311</v>
      </c>
      <c r="B200" t="s">
        <v>622</v>
      </c>
      <c r="C200" t="s">
        <v>626</v>
      </c>
      <c r="D200" t="s">
        <v>271</v>
      </c>
      <c r="E200">
        <v>1</v>
      </c>
    </row>
    <row r="201" spans="1:5">
      <c r="A201" t="s">
        <v>311</v>
      </c>
      <c r="B201" t="s">
        <v>627</v>
      </c>
      <c r="C201" t="s">
        <v>628</v>
      </c>
      <c r="D201" t="s">
        <v>275</v>
      </c>
      <c r="E201">
        <v>1</v>
      </c>
    </row>
    <row r="202" spans="1:5">
      <c r="A202" t="s">
        <v>311</v>
      </c>
      <c r="B202" t="s">
        <v>627</v>
      </c>
      <c r="C202" t="s">
        <v>254</v>
      </c>
      <c r="D202" t="s">
        <v>276</v>
      </c>
      <c r="E202">
        <v>2</v>
      </c>
    </row>
    <row r="203" spans="1:5">
      <c r="A203" t="s">
        <v>311</v>
      </c>
      <c r="B203" t="s">
        <v>627</v>
      </c>
      <c r="C203" t="s">
        <v>629</v>
      </c>
      <c r="D203" t="s">
        <v>271</v>
      </c>
      <c r="E203">
        <v>1</v>
      </c>
    </row>
    <row r="204" spans="1:5">
      <c r="A204" t="s">
        <v>311</v>
      </c>
      <c r="B204" t="s">
        <v>627</v>
      </c>
      <c r="C204" t="s">
        <v>630</v>
      </c>
      <c r="D204" t="s">
        <v>270</v>
      </c>
      <c r="E204">
        <v>1</v>
      </c>
    </row>
    <row r="205" spans="1:5">
      <c r="A205" t="s">
        <v>311</v>
      </c>
      <c r="B205" t="s">
        <v>627</v>
      </c>
      <c r="C205" t="s">
        <v>631</v>
      </c>
      <c r="D205" t="s">
        <v>274</v>
      </c>
      <c r="E205">
        <v>1</v>
      </c>
    </row>
    <row r="206" spans="1:5">
      <c r="A206" t="s">
        <v>311</v>
      </c>
      <c r="B206" t="s">
        <v>627</v>
      </c>
      <c r="C206" t="s">
        <v>632</v>
      </c>
      <c r="D206" t="s">
        <v>272</v>
      </c>
      <c r="E206">
        <v>1</v>
      </c>
    </row>
    <row r="207" spans="1:5">
      <c r="A207" t="s">
        <v>311</v>
      </c>
      <c r="B207" t="s">
        <v>633</v>
      </c>
      <c r="C207" t="s">
        <v>268</v>
      </c>
      <c r="D207" t="s">
        <v>276</v>
      </c>
      <c r="E207">
        <v>3</v>
      </c>
    </row>
    <row r="208" spans="1:5">
      <c r="A208" t="s">
        <v>311</v>
      </c>
      <c r="B208" t="s">
        <v>633</v>
      </c>
      <c r="C208" t="s">
        <v>618</v>
      </c>
      <c r="D208" t="s">
        <v>275</v>
      </c>
      <c r="E208">
        <v>3</v>
      </c>
    </row>
    <row r="209" spans="1:5">
      <c r="A209" t="s">
        <v>311</v>
      </c>
      <c r="B209" t="s">
        <v>633</v>
      </c>
      <c r="C209" t="s">
        <v>634</v>
      </c>
      <c r="D209" t="s">
        <v>270</v>
      </c>
      <c r="E209">
        <v>1</v>
      </c>
    </row>
    <row r="210" spans="1:5">
      <c r="A210" t="s">
        <v>311</v>
      </c>
      <c r="B210" t="s">
        <v>633</v>
      </c>
      <c r="C210" t="s">
        <v>635</v>
      </c>
      <c r="D210" t="s">
        <v>274</v>
      </c>
      <c r="E210">
        <v>1</v>
      </c>
    </row>
    <row r="211" spans="1:5">
      <c r="A211" t="s">
        <v>311</v>
      </c>
      <c r="B211" t="s">
        <v>633</v>
      </c>
      <c r="C211" t="s">
        <v>636</v>
      </c>
      <c r="D211" t="s">
        <v>271</v>
      </c>
      <c r="E211">
        <v>1</v>
      </c>
    </row>
    <row r="212" spans="1:5">
      <c r="A212" t="s">
        <v>311</v>
      </c>
      <c r="B212" t="s">
        <v>633</v>
      </c>
      <c r="C212" t="s">
        <v>637</v>
      </c>
      <c r="D212" t="s">
        <v>272</v>
      </c>
      <c r="E212">
        <v>1</v>
      </c>
    </row>
    <row r="213" spans="1:5">
      <c r="A213" t="s">
        <v>302</v>
      </c>
      <c r="B213" t="s">
        <v>638</v>
      </c>
      <c r="C213" t="s">
        <v>639</v>
      </c>
      <c r="D213" t="s">
        <v>276</v>
      </c>
      <c r="E213">
        <v>3</v>
      </c>
    </row>
    <row r="214" spans="1:5">
      <c r="A214" t="s">
        <v>302</v>
      </c>
      <c r="B214" t="s">
        <v>638</v>
      </c>
      <c r="C214" t="s">
        <v>640</v>
      </c>
      <c r="D214" t="s">
        <v>274</v>
      </c>
      <c r="E214">
        <v>1</v>
      </c>
    </row>
    <row r="215" spans="1:5">
      <c r="A215" t="s">
        <v>302</v>
      </c>
      <c r="B215" t="s">
        <v>638</v>
      </c>
      <c r="C215" t="s">
        <v>641</v>
      </c>
      <c r="D215" t="s">
        <v>275</v>
      </c>
      <c r="E215">
        <v>1</v>
      </c>
    </row>
    <row r="216" spans="1:5">
      <c r="A216" t="s">
        <v>302</v>
      </c>
      <c r="B216" t="s">
        <v>638</v>
      </c>
      <c r="C216" t="s">
        <v>642</v>
      </c>
      <c r="D216" t="s">
        <v>271</v>
      </c>
      <c r="E216">
        <v>1</v>
      </c>
    </row>
    <row r="217" spans="1:5">
      <c r="A217" t="s">
        <v>302</v>
      </c>
      <c r="B217" t="s">
        <v>638</v>
      </c>
      <c r="C217" t="s">
        <v>296</v>
      </c>
      <c r="D217" t="s">
        <v>272</v>
      </c>
      <c r="E217">
        <v>1</v>
      </c>
    </row>
    <row r="218" spans="1:5">
      <c r="A218" t="s">
        <v>302</v>
      </c>
      <c r="B218" t="s">
        <v>638</v>
      </c>
      <c r="C218" t="s">
        <v>643</v>
      </c>
      <c r="D218" t="s">
        <v>270</v>
      </c>
      <c r="E218">
        <v>1</v>
      </c>
    </row>
    <row r="219" spans="1:5">
      <c r="A219" t="s">
        <v>302</v>
      </c>
      <c r="B219" t="s">
        <v>644</v>
      </c>
      <c r="C219" t="s">
        <v>449</v>
      </c>
      <c r="D219" t="s">
        <v>274</v>
      </c>
      <c r="E219">
        <v>3</v>
      </c>
    </row>
    <row r="220" spans="1:5">
      <c r="A220" t="s">
        <v>302</v>
      </c>
      <c r="B220" t="s">
        <v>644</v>
      </c>
      <c r="C220" t="s">
        <v>645</v>
      </c>
      <c r="D220" t="s">
        <v>275</v>
      </c>
      <c r="E220">
        <v>1</v>
      </c>
    </row>
    <row r="221" spans="1:5">
      <c r="A221" t="s">
        <v>302</v>
      </c>
      <c r="B221" t="s">
        <v>644</v>
      </c>
      <c r="C221" t="s">
        <v>258</v>
      </c>
      <c r="D221" t="s">
        <v>270</v>
      </c>
      <c r="E221">
        <v>1</v>
      </c>
    </row>
    <row r="222" spans="1:5">
      <c r="A222" t="s">
        <v>302</v>
      </c>
      <c r="B222" t="s">
        <v>644</v>
      </c>
      <c r="C222" t="s">
        <v>404</v>
      </c>
      <c r="D222" t="s">
        <v>271</v>
      </c>
      <c r="E222">
        <v>1</v>
      </c>
    </row>
    <row r="223" spans="1:5">
      <c r="A223" t="s">
        <v>302</v>
      </c>
      <c r="B223" t="s">
        <v>644</v>
      </c>
      <c r="C223" t="s">
        <v>646</v>
      </c>
      <c r="D223" t="s">
        <v>276</v>
      </c>
      <c r="E223">
        <v>1</v>
      </c>
    </row>
    <row r="224" spans="1:5">
      <c r="A224" t="s">
        <v>302</v>
      </c>
      <c r="B224" t="s">
        <v>644</v>
      </c>
      <c r="C224" t="s">
        <v>408</v>
      </c>
      <c r="D224" t="s">
        <v>647</v>
      </c>
      <c r="E224">
        <v>1</v>
      </c>
    </row>
    <row r="225" spans="1:5">
      <c r="A225" t="s">
        <v>293</v>
      </c>
      <c r="B225" t="s">
        <v>648</v>
      </c>
      <c r="C225" t="s">
        <v>639</v>
      </c>
      <c r="D225" t="s">
        <v>274</v>
      </c>
      <c r="E225">
        <v>3</v>
      </c>
    </row>
    <row r="226" spans="1:5">
      <c r="A226" t="s">
        <v>293</v>
      </c>
      <c r="B226" t="s">
        <v>648</v>
      </c>
      <c r="C226" t="s">
        <v>649</v>
      </c>
      <c r="D226" t="s">
        <v>271</v>
      </c>
      <c r="E226">
        <v>1</v>
      </c>
    </row>
    <row r="227" spans="1:5">
      <c r="A227" t="s">
        <v>293</v>
      </c>
      <c r="B227" t="s">
        <v>648</v>
      </c>
      <c r="C227" t="s">
        <v>650</v>
      </c>
      <c r="D227" t="s">
        <v>272</v>
      </c>
      <c r="E227">
        <v>1</v>
      </c>
    </row>
    <row r="228" spans="1:5">
      <c r="A228" t="s">
        <v>293</v>
      </c>
      <c r="B228" t="s">
        <v>648</v>
      </c>
      <c r="C228" t="s">
        <v>651</v>
      </c>
      <c r="D228" t="s">
        <v>275</v>
      </c>
      <c r="E228">
        <v>1</v>
      </c>
    </row>
    <row r="229" spans="1:5">
      <c r="A229" t="s">
        <v>293</v>
      </c>
      <c r="B229" t="s">
        <v>648</v>
      </c>
      <c r="C229" t="s">
        <v>652</v>
      </c>
      <c r="D229" t="s">
        <v>270</v>
      </c>
      <c r="E229">
        <v>1</v>
      </c>
    </row>
    <row r="230" spans="1:5">
      <c r="A230" t="s">
        <v>293</v>
      </c>
      <c r="B230" t="s">
        <v>648</v>
      </c>
      <c r="C230" t="s">
        <v>653</v>
      </c>
      <c r="D230" t="s">
        <v>274</v>
      </c>
      <c r="E230">
        <v>1</v>
      </c>
    </row>
    <row r="231" spans="1:5">
      <c r="A231" t="s">
        <v>293</v>
      </c>
      <c r="B231" t="s">
        <v>654</v>
      </c>
      <c r="C231" t="s">
        <v>655</v>
      </c>
      <c r="D231" t="s">
        <v>270</v>
      </c>
      <c r="E231">
        <v>1</v>
      </c>
    </row>
    <row r="232" spans="1:5">
      <c r="A232" t="s">
        <v>293</v>
      </c>
      <c r="B232" t="s">
        <v>654</v>
      </c>
      <c r="C232" t="s">
        <v>656</v>
      </c>
      <c r="D232" t="s">
        <v>276</v>
      </c>
      <c r="E232">
        <v>1</v>
      </c>
    </row>
    <row r="233" spans="1:5">
      <c r="A233" t="s">
        <v>293</v>
      </c>
      <c r="B233" t="s">
        <v>654</v>
      </c>
      <c r="C233" t="s">
        <v>657</v>
      </c>
      <c r="D233" t="s">
        <v>274</v>
      </c>
      <c r="E233">
        <v>1</v>
      </c>
    </row>
    <row r="234" spans="1:5">
      <c r="A234" t="s">
        <v>293</v>
      </c>
      <c r="B234" t="s">
        <v>654</v>
      </c>
      <c r="C234" t="s">
        <v>658</v>
      </c>
      <c r="D234" t="s">
        <v>275</v>
      </c>
      <c r="E234">
        <v>1</v>
      </c>
    </row>
    <row r="235" spans="1:5">
      <c r="A235" t="s">
        <v>293</v>
      </c>
      <c r="B235" t="s">
        <v>654</v>
      </c>
      <c r="C235" t="s">
        <v>659</v>
      </c>
      <c r="D235" t="s">
        <v>271</v>
      </c>
      <c r="E235">
        <v>1</v>
      </c>
    </row>
    <row r="236" spans="1:5">
      <c r="A236" t="s">
        <v>293</v>
      </c>
      <c r="B236" t="s">
        <v>654</v>
      </c>
      <c r="C236" t="s">
        <v>660</v>
      </c>
      <c r="D236" t="s">
        <v>272</v>
      </c>
      <c r="E236">
        <v>1</v>
      </c>
    </row>
    <row r="237" spans="1:5">
      <c r="A237" t="s">
        <v>278</v>
      </c>
      <c r="B237" t="s">
        <v>661</v>
      </c>
      <c r="C237" t="s">
        <v>639</v>
      </c>
      <c r="D237" t="s">
        <v>276</v>
      </c>
      <c r="E237">
        <v>3</v>
      </c>
    </row>
    <row r="238" spans="1:5">
      <c r="A238" t="s">
        <v>278</v>
      </c>
      <c r="B238" t="s">
        <v>661</v>
      </c>
      <c r="C238" t="s">
        <v>542</v>
      </c>
      <c r="D238" t="s">
        <v>272</v>
      </c>
      <c r="E238">
        <v>2</v>
      </c>
    </row>
    <row r="239" spans="1:5">
      <c r="A239" t="s">
        <v>278</v>
      </c>
      <c r="B239" t="s">
        <v>661</v>
      </c>
      <c r="C239" t="s">
        <v>662</v>
      </c>
      <c r="D239" t="s">
        <v>274</v>
      </c>
      <c r="E239">
        <v>1</v>
      </c>
    </row>
    <row r="240" spans="1:5">
      <c r="A240" t="s">
        <v>278</v>
      </c>
      <c r="B240" t="s">
        <v>661</v>
      </c>
      <c r="C240" t="s">
        <v>663</v>
      </c>
      <c r="D240" t="s">
        <v>275</v>
      </c>
      <c r="E240">
        <v>1</v>
      </c>
    </row>
    <row r="241" spans="1:5">
      <c r="A241" t="s">
        <v>278</v>
      </c>
      <c r="B241" t="s">
        <v>661</v>
      </c>
      <c r="C241" t="s">
        <v>664</v>
      </c>
      <c r="D241" t="s">
        <v>271</v>
      </c>
      <c r="E241">
        <v>1</v>
      </c>
    </row>
    <row r="242" spans="1:5">
      <c r="A242" t="s">
        <v>278</v>
      </c>
      <c r="B242" t="s">
        <v>661</v>
      </c>
      <c r="C242" t="s">
        <v>665</v>
      </c>
      <c r="D242" t="s">
        <v>270</v>
      </c>
      <c r="E242">
        <v>1</v>
      </c>
    </row>
    <row r="243" spans="1:5">
      <c r="A243" t="s">
        <v>278</v>
      </c>
      <c r="B243" t="s">
        <v>666</v>
      </c>
      <c r="C243" t="s">
        <v>543</v>
      </c>
      <c r="D243" t="s">
        <v>272</v>
      </c>
      <c r="E243">
        <v>2</v>
      </c>
    </row>
    <row r="244" spans="1:5">
      <c r="A244" t="s">
        <v>278</v>
      </c>
      <c r="B244" t="s">
        <v>666</v>
      </c>
      <c r="C244" t="s">
        <v>667</v>
      </c>
      <c r="D244" t="s">
        <v>274</v>
      </c>
      <c r="E244">
        <v>1</v>
      </c>
    </row>
    <row r="245" spans="1:5">
      <c r="A245" t="s">
        <v>278</v>
      </c>
      <c r="B245" t="s">
        <v>666</v>
      </c>
      <c r="C245" t="s">
        <v>668</v>
      </c>
      <c r="D245" t="s">
        <v>270</v>
      </c>
      <c r="E245">
        <v>1</v>
      </c>
    </row>
    <row r="246" spans="1:5">
      <c r="A246" t="s">
        <v>278</v>
      </c>
      <c r="B246" t="s">
        <v>666</v>
      </c>
      <c r="C246" t="s">
        <v>298</v>
      </c>
      <c r="D246" t="s">
        <v>271</v>
      </c>
      <c r="E246">
        <v>1</v>
      </c>
    </row>
    <row r="247" spans="1:5">
      <c r="A247" t="s">
        <v>278</v>
      </c>
      <c r="B247" t="s">
        <v>666</v>
      </c>
      <c r="C247" t="s">
        <v>669</v>
      </c>
      <c r="D247" t="s">
        <v>276</v>
      </c>
      <c r="E247">
        <v>1</v>
      </c>
    </row>
    <row r="248" spans="1:5">
      <c r="A248" t="s">
        <v>278</v>
      </c>
      <c r="B248" t="s">
        <v>666</v>
      </c>
      <c r="C248" t="s">
        <v>670</v>
      </c>
      <c r="D248" t="s">
        <v>275</v>
      </c>
      <c r="E248">
        <v>1</v>
      </c>
    </row>
    <row r="249" spans="1:5">
      <c r="A249" t="s">
        <v>247</v>
      </c>
      <c r="B249" t="s">
        <v>447</v>
      </c>
      <c r="C249" t="s">
        <v>448</v>
      </c>
      <c r="D249" t="s">
        <v>270</v>
      </c>
      <c r="E249">
        <v>3</v>
      </c>
    </row>
    <row r="250" spans="1:5">
      <c r="A250" t="s">
        <v>247</v>
      </c>
      <c r="B250" t="s">
        <v>447</v>
      </c>
      <c r="C250" t="s">
        <v>449</v>
      </c>
      <c r="D250" t="s">
        <v>276</v>
      </c>
      <c r="E250">
        <v>3</v>
      </c>
    </row>
    <row r="251" spans="1:5">
      <c r="A251" t="s">
        <v>247</v>
      </c>
      <c r="B251" t="s">
        <v>447</v>
      </c>
      <c r="C251" t="s">
        <v>450</v>
      </c>
      <c r="D251" t="s">
        <v>271</v>
      </c>
      <c r="E251">
        <v>2</v>
      </c>
    </row>
    <row r="252" spans="1:5">
      <c r="A252" t="s">
        <v>247</v>
      </c>
      <c r="B252" t="s">
        <v>447</v>
      </c>
      <c r="C252" t="s">
        <v>451</v>
      </c>
      <c r="D252" t="s">
        <v>272</v>
      </c>
      <c r="E252">
        <v>2</v>
      </c>
    </row>
    <row r="253" spans="1:5">
      <c r="A253" t="s">
        <v>247</v>
      </c>
      <c r="B253" t="s">
        <v>447</v>
      </c>
      <c r="C253" t="s">
        <v>452</v>
      </c>
      <c r="D253" t="s">
        <v>274</v>
      </c>
      <c r="E253">
        <v>2</v>
      </c>
    </row>
    <row r="254" spans="1:5">
      <c r="A254" t="s">
        <v>247</v>
      </c>
      <c r="B254" t="s">
        <v>447</v>
      </c>
      <c r="C254" t="s">
        <v>453</v>
      </c>
      <c r="D254" t="s">
        <v>275</v>
      </c>
      <c r="E254">
        <v>2</v>
      </c>
    </row>
    <row r="255" spans="1:5">
      <c r="A255" t="s">
        <v>247</v>
      </c>
      <c r="B255" t="s">
        <v>671</v>
      </c>
      <c r="C255" t="s">
        <v>532</v>
      </c>
      <c r="D255" t="s">
        <v>276</v>
      </c>
      <c r="E255">
        <v>2</v>
      </c>
    </row>
    <row r="256" spans="1:5">
      <c r="A256" t="s">
        <v>247</v>
      </c>
      <c r="B256" t="s">
        <v>671</v>
      </c>
      <c r="C256" t="s">
        <v>672</v>
      </c>
      <c r="D256" t="s">
        <v>272</v>
      </c>
      <c r="E256">
        <v>1</v>
      </c>
    </row>
    <row r="257" spans="1:5">
      <c r="A257" t="s">
        <v>247</v>
      </c>
      <c r="B257" t="s">
        <v>671</v>
      </c>
      <c r="C257" t="s">
        <v>673</v>
      </c>
      <c r="D257" t="s">
        <v>275</v>
      </c>
      <c r="E257">
        <v>1</v>
      </c>
    </row>
    <row r="258" spans="1:5">
      <c r="A258" t="s">
        <v>247</v>
      </c>
      <c r="B258" t="s">
        <v>671</v>
      </c>
      <c r="C258" t="s">
        <v>674</v>
      </c>
      <c r="D258" t="s">
        <v>270</v>
      </c>
      <c r="E258">
        <v>1</v>
      </c>
    </row>
    <row r="259" spans="1:5">
      <c r="A259" t="s">
        <v>247</v>
      </c>
      <c r="B259" t="s">
        <v>671</v>
      </c>
      <c r="C259" t="s">
        <v>675</v>
      </c>
      <c r="D259" t="s">
        <v>274</v>
      </c>
      <c r="E259">
        <v>1</v>
      </c>
    </row>
    <row r="260" spans="1:5">
      <c r="A260" t="s">
        <v>247</v>
      </c>
      <c r="B260" t="s">
        <v>671</v>
      </c>
      <c r="C260" t="s">
        <v>676</v>
      </c>
      <c r="D260" t="s">
        <v>271</v>
      </c>
      <c r="E260">
        <v>1</v>
      </c>
    </row>
    <row r="261" spans="1:5">
      <c r="A261" t="s">
        <v>247</v>
      </c>
      <c r="B261" t="s">
        <v>677</v>
      </c>
      <c r="C261" t="s">
        <v>524</v>
      </c>
      <c r="D261" t="s">
        <v>274</v>
      </c>
      <c r="E261">
        <v>3</v>
      </c>
    </row>
    <row r="262" spans="1:5">
      <c r="A262" t="s">
        <v>247</v>
      </c>
      <c r="B262" t="s">
        <v>677</v>
      </c>
      <c r="C262" t="s">
        <v>303</v>
      </c>
      <c r="D262" t="s">
        <v>272</v>
      </c>
      <c r="E262">
        <v>1</v>
      </c>
    </row>
    <row r="263" spans="1:5">
      <c r="A263" t="s">
        <v>247</v>
      </c>
      <c r="B263" t="s">
        <v>677</v>
      </c>
      <c r="C263" t="s">
        <v>678</v>
      </c>
      <c r="D263" t="s">
        <v>270</v>
      </c>
      <c r="E263">
        <v>1</v>
      </c>
    </row>
    <row r="264" spans="1:5">
      <c r="A264" t="s">
        <v>247</v>
      </c>
      <c r="B264" t="s">
        <v>677</v>
      </c>
      <c r="C264" t="s">
        <v>679</v>
      </c>
      <c r="D264" t="s">
        <v>275</v>
      </c>
      <c r="E264">
        <v>1</v>
      </c>
    </row>
    <row r="265" spans="1:5">
      <c r="A265" t="s">
        <v>247</v>
      </c>
      <c r="B265" t="s">
        <v>677</v>
      </c>
      <c r="C265" t="s">
        <v>680</v>
      </c>
      <c r="D265" t="s">
        <v>276</v>
      </c>
      <c r="E265">
        <v>1</v>
      </c>
    </row>
    <row r="266" spans="1:5">
      <c r="A266" t="s">
        <v>247</v>
      </c>
      <c r="B266" t="s">
        <v>677</v>
      </c>
      <c r="C266" t="s">
        <v>681</v>
      </c>
      <c r="D266" t="s">
        <v>271</v>
      </c>
      <c r="E266">
        <v>1</v>
      </c>
    </row>
    <row r="267" spans="1:5">
      <c r="A267" t="s">
        <v>247</v>
      </c>
      <c r="B267" t="s">
        <v>682</v>
      </c>
      <c r="C267" t="s">
        <v>448</v>
      </c>
      <c r="D267" t="s">
        <v>271</v>
      </c>
      <c r="E267">
        <v>3</v>
      </c>
    </row>
    <row r="268" spans="1:5">
      <c r="A268" t="s">
        <v>247</v>
      </c>
      <c r="B268" t="s">
        <v>682</v>
      </c>
      <c r="C268" t="s">
        <v>602</v>
      </c>
      <c r="D268" t="s">
        <v>275</v>
      </c>
      <c r="E268">
        <v>2</v>
      </c>
    </row>
    <row r="269" spans="1:5">
      <c r="A269" t="s">
        <v>247</v>
      </c>
      <c r="B269" t="s">
        <v>682</v>
      </c>
      <c r="C269" t="s">
        <v>683</v>
      </c>
      <c r="D269" t="s">
        <v>276</v>
      </c>
      <c r="E269">
        <v>1</v>
      </c>
    </row>
    <row r="270" spans="1:5">
      <c r="A270" t="s">
        <v>247</v>
      </c>
      <c r="B270" t="s">
        <v>682</v>
      </c>
      <c r="C270" t="s">
        <v>684</v>
      </c>
      <c r="D270" t="s">
        <v>274</v>
      </c>
      <c r="E270">
        <v>1</v>
      </c>
    </row>
    <row r="271" spans="1:5">
      <c r="A271" t="s">
        <v>247</v>
      </c>
      <c r="B271" t="s">
        <v>682</v>
      </c>
      <c r="C271" t="s">
        <v>685</v>
      </c>
      <c r="D271" t="s">
        <v>270</v>
      </c>
      <c r="E271">
        <v>1</v>
      </c>
    </row>
    <row r="272" spans="1:5">
      <c r="A272" t="s">
        <v>247</v>
      </c>
      <c r="B272" t="s">
        <v>682</v>
      </c>
      <c r="C272" t="s">
        <v>686</v>
      </c>
      <c r="D272" t="s">
        <v>272</v>
      </c>
      <c r="E272">
        <v>1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03"/>
  <sheetViews>
    <sheetView workbookViewId="0">
      <selection sqref="A1:I1"/>
    </sheetView>
  </sheetViews>
  <sheetFormatPr baseColWidth="10" defaultColWidth="8.6640625" defaultRowHeight="14"/>
  <cols>
    <col min="1" max="1" width="24" customWidth="1"/>
    <col min="2" max="2" width="12" customWidth="1"/>
    <col min="3" max="3" width="18" customWidth="1"/>
    <col min="4" max="4" width="36" customWidth="1"/>
    <col min="5" max="5" width="12" customWidth="1"/>
    <col min="6" max="6" width="16" customWidth="1"/>
    <col min="7" max="8" width="18" customWidth="1"/>
    <col min="9" max="9" width="60" customWidth="1"/>
    <col min="10" max="12" width="24" customWidth="1"/>
  </cols>
  <sheetData>
    <row r="1" spans="1:12" ht="0.65" customHeight="1">
      <c r="A1" s="96" t="s">
        <v>687</v>
      </c>
      <c r="B1" s="89"/>
      <c r="C1" s="89"/>
      <c r="D1" s="89"/>
      <c r="E1" s="89"/>
      <c r="F1" s="89"/>
      <c r="G1" s="89"/>
      <c r="H1" s="89"/>
      <c r="I1" s="89"/>
      <c r="J1" s="23" t="s">
        <v>688</v>
      </c>
      <c r="K1" s="23"/>
      <c r="L1" s="23"/>
    </row>
    <row r="2" spans="1:12" ht="56">
      <c r="J2" s="18" t="s">
        <v>689</v>
      </c>
      <c r="K2" s="18" t="s">
        <v>690</v>
      </c>
      <c r="L2" s="18"/>
    </row>
    <row r="3" spans="1:12" ht="0.65" customHeight="1">
      <c r="A3" s="17" t="s">
        <v>414</v>
      </c>
      <c r="B3" s="17" t="s">
        <v>691</v>
      </c>
      <c r="C3" s="17" t="s">
        <v>415</v>
      </c>
      <c r="D3" s="17" t="s">
        <v>241</v>
      </c>
      <c r="E3" s="17" t="s">
        <v>692</v>
      </c>
      <c r="F3" s="17" t="s">
        <v>693</v>
      </c>
      <c r="G3" s="17" t="s">
        <v>694</v>
      </c>
      <c r="H3" s="17" t="s">
        <v>695</v>
      </c>
      <c r="I3" s="17" t="s">
        <v>246</v>
      </c>
      <c r="J3" s="18" t="s">
        <v>696</v>
      </c>
      <c r="K3" s="18" t="s">
        <v>697</v>
      </c>
      <c r="L3" s="18"/>
    </row>
    <row r="4" spans="1:12" ht="28">
      <c r="A4" s="19" t="s">
        <v>58</v>
      </c>
      <c r="B4" s="19" t="s">
        <v>47</v>
      </c>
      <c r="C4" s="19" t="s">
        <v>51</v>
      </c>
      <c r="D4" s="19" t="s">
        <v>247</v>
      </c>
      <c r="E4" s="19">
        <v>2026</v>
      </c>
      <c r="F4" s="19">
        <v>13</v>
      </c>
      <c r="G4" s="19">
        <v>105</v>
      </c>
      <c r="H4" s="20"/>
      <c r="I4" s="19" t="s">
        <v>698</v>
      </c>
      <c r="J4" s="18" t="s">
        <v>699</v>
      </c>
      <c r="K4" s="18" t="s">
        <v>700</v>
      </c>
      <c r="L4" s="18"/>
    </row>
    <row r="5" spans="1:12">
      <c r="A5" t="s">
        <v>58</v>
      </c>
      <c r="B5" t="s">
        <v>47</v>
      </c>
      <c r="C5" t="s">
        <v>51</v>
      </c>
      <c r="D5" t="s">
        <v>278</v>
      </c>
      <c r="E5">
        <v>2026</v>
      </c>
      <c r="F5">
        <v>21</v>
      </c>
      <c r="G5" s="19">
        <v>105</v>
      </c>
      <c r="H5" s="14"/>
    </row>
    <row r="6" spans="1:12">
      <c r="A6" t="s">
        <v>58</v>
      </c>
      <c r="B6" t="s">
        <v>47</v>
      </c>
      <c r="C6" t="s">
        <v>51</v>
      </c>
      <c r="D6" t="s">
        <v>311</v>
      </c>
      <c r="E6">
        <v>2026</v>
      </c>
      <c r="F6">
        <v>7</v>
      </c>
      <c r="G6" s="19">
        <v>105</v>
      </c>
      <c r="H6" s="14"/>
    </row>
    <row r="7" spans="1:12">
      <c r="A7" t="s">
        <v>58</v>
      </c>
      <c r="B7" t="s">
        <v>47</v>
      </c>
      <c r="C7" t="s">
        <v>51</v>
      </c>
      <c r="D7" t="s">
        <v>327</v>
      </c>
      <c r="E7">
        <v>2026</v>
      </c>
      <c r="F7">
        <v>10</v>
      </c>
      <c r="G7" s="19">
        <v>105</v>
      </c>
      <c r="H7" s="14"/>
    </row>
    <row r="8" spans="1:12">
      <c r="A8" t="s">
        <v>58</v>
      </c>
      <c r="B8" t="s">
        <v>47</v>
      </c>
      <c r="C8" t="s">
        <v>51</v>
      </c>
      <c r="D8" t="s">
        <v>355</v>
      </c>
      <c r="E8">
        <v>2026</v>
      </c>
      <c r="F8">
        <v>26</v>
      </c>
      <c r="G8" s="19">
        <v>105</v>
      </c>
      <c r="H8" s="14"/>
    </row>
    <row r="9" spans="1:12">
      <c r="A9" t="s">
        <v>58</v>
      </c>
      <c r="B9" t="s">
        <v>47</v>
      </c>
      <c r="C9" t="s">
        <v>51</v>
      </c>
      <c r="D9" t="s">
        <v>403</v>
      </c>
      <c r="E9">
        <v>2026</v>
      </c>
      <c r="F9">
        <v>13</v>
      </c>
      <c r="G9" s="19">
        <v>105</v>
      </c>
      <c r="H9" s="14"/>
    </row>
    <row r="10" spans="1:12">
      <c r="A10" t="s">
        <v>58</v>
      </c>
      <c r="B10" t="s">
        <v>47</v>
      </c>
      <c r="C10" t="s">
        <v>51</v>
      </c>
      <c r="D10" t="s">
        <v>420</v>
      </c>
      <c r="E10">
        <v>2026</v>
      </c>
      <c r="F10">
        <v>15</v>
      </c>
      <c r="G10" s="19">
        <v>105</v>
      </c>
      <c r="H10" s="14"/>
    </row>
    <row r="11" spans="1:12">
      <c r="A11" t="s">
        <v>60</v>
      </c>
      <c r="B11" t="s">
        <v>47</v>
      </c>
      <c r="C11" t="s">
        <v>51</v>
      </c>
      <c r="D11" t="s">
        <v>278</v>
      </c>
      <c r="E11">
        <v>2026</v>
      </c>
      <c r="F11">
        <v>23</v>
      </c>
      <c r="G11">
        <v>107</v>
      </c>
      <c r="H11" s="14"/>
    </row>
    <row r="12" spans="1:12">
      <c r="A12" t="s">
        <v>60</v>
      </c>
      <c r="B12" t="s">
        <v>47</v>
      </c>
      <c r="C12" t="s">
        <v>51</v>
      </c>
      <c r="D12" t="s">
        <v>302</v>
      </c>
      <c r="E12">
        <v>2026</v>
      </c>
      <c r="F12">
        <v>12</v>
      </c>
      <c r="G12">
        <v>107</v>
      </c>
      <c r="H12" s="14"/>
    </row>
    <row r="13" spans="1:12">
      <c r="A13" t="s">
        <v>60</v>
      </c>
      <c r="B13" t="s">
        <v>47</v>
      </c>
      <c r="C13" t="s">
        <v>51</v>
      </c>
      <c r="D13" t="s">
        <v>311</v>
      </c>
      <c r="E13">
        <v>2026</v>
      </c>
      <c r="F13">
        <v>14</v>
      </c>
      <c r="G13">
        <v>107</v>
      </c>
      <c r="H13" s="14"/>
    </row>
    <row r="14" spans="1:12">
      <c r="A14" t="s">
        <v>60</v>
      </c>
      <c r="B14" t="s">
        <v>47</v>
      </c>
      <c r="C14" t="s">
        <v>51</v>
      </c>
      <c r="D14" t="s">
        <v>327</v>
      </c>
      <c r="E14">
        <v>2026</v>
      </c>
      <c r="F14">
        <v>17</v>
      </c>
      <c r="G14">
        <v>107</v>
      </c>
      <c r="H14" s="14"/>
    </row>
    <row r="15" spans="1:12">
      <c r="A15" t="s">
        <v>60</v>
      </c>
      <c r="B15" t="s">
        <v>47</v>
      </c>
      <c r="C15" t="s">
        <v>51</v>
      </c>
      <c r="D15" t="s">
        <v>381</v>
      </c>
      <c r="E15">
        <v>2026</v>
      </c>
      <c r="F15">
        <v>11</v>
      </c>
      <c r="G15">
        <v>107</v>
      </c>
      <c r="H15" s="14"/>
    </row>
    <row r="16" spans="1:12">
      <c r="A16" t="s">
        <v>60</v>
      </c>
      <c r="B16" t="s">
        <v>47</v>
      </c>
      <c r="C16" t="s">
        <v>51</v>
      </c>
      <c r="D16" t="s">
        <v>392</v>
      </c>
      <c r="E16">
        <v>2026</v>
      </c>
      <c r="F16">
        <v>11</v>
      </c>
      <c r="G16">
        <v>107</v>
      </c>
      <c r="H16" s="14"/>
    </row>
    <row r="17" spans="1:8">
      <c r="A17" t="s">
        <v>60</v>
      </c>
      <c r="B17" t="s">
        <v>47</v>
      </c>
      <c r="C17" t="s">
        <v>51</v>
      </c>
      <c r="D17" t="s">
        <v>355</v>
      </c>
      <c r="E17">
        <v>2026</v>
      </c>
      <c r="F17">
        <v>19</v>
      </c>
      <c r="G17">
        <v>107</v>
      </c>
      <c r="H17" s="14"/>
    </row>
    <row r="18" spans="1:8">
      <c r="A18" t="s">
        <v>60</v>
      </c>
      <c r="B18" t="s">
        <v>47</v>
      </c>
      <c r="C18" t="s">
        <v>51</v>
      </c>
      <c r="D18" t="s">
        <v>403</v>
      </c>
      <c r="E18">
        <v>2026</v>
      </c>
      <c r="F18">
        <v>0</v>
      </c>
      <c r="G18">
        <v>107</v>
      </c>
      <c r="H18" s="38">
        <v>1E-3</v>
      </c>
    </row>
    <row r="19" spans="1:8">
      <c r="A19" t="s">
        <v>62</v>
      </c>
      <c r="B19" t="s">
        <v>47</v>
      </c>
      <c r="C19" t="s">
        <v>51</v>
      </c>
      <c r="D19" t="s">
        <v>278</v>
      </c>
      <c r="E19">
        <v>2026</v>
      </c>
      <c r="F19">
        <v>33</v>
      </c>
      <c r="G19">
        <v>84</v>
      </c>
      <c r="H19" s="14"/>
    </row>
    <row r="20" spans="1:8">
      <c r="A20" t="s">
        <v>62</v>
      </c>
      <c r="B20" t="s">
        <v>47</v>
      </c>
      <c r="C20" t="s">
        <v>51</v>
      </c>
      <c r="D20" t="s">
        <v>327</v>
      </c>
      <c r="E20">
        <v>2026</v>
      </c>
      <c r="F20">
        <v>4</v>
      </c>
      <c r="G20">
        <v>84</v>
      </c>
      <c r="H20" s="14"/>
    </row>
    <row r="21" spans="1:8">
      <c r="A21" t="s">
        <v>62</v>
      </c>
      <c r="B21" t="s">
        <v>47</v>
      </c>
      <c r="C21" t="s">
        <v>51</v>
      </c>
      <c r="D21" t="s">
        <v>247</v>
      </c>
      <c r="E21">
        <v>2026</v>
      </c>
      <c r="F21">
        <v>9</v>
      </c>
      <c r="G21">
        <v>84</v>
      </c>
      <c r="H21" s="14"/>
    </row>
    <row r="22" spans="1:8">
      <c r="A22" t="s">
        <v>62</v>
      </c>
      <c r="B22" t="s">
        <v>47</v>
      </c>
      <c r="C22" t="s">
        <v>51</v>
      </c>
      <c r="D22" t="s">
        <v>381</v>
      </c>
      <c r="E22">
        <v>2026</v>
      </c>
      <c r="F22">
        <v>9</v>
      </c>
      <c r="G22">
        <v>84</v>
      </c>
      <c r="H22" s="14"/>
    </row>
    <row r="23" spans="1:8">
      <c r="A23" t="s">
        <v>62</v>
      </c>
      <c r="B23" t="s">
        <v>47</v>
      </c>
      <c r="C23" t="s">
        <v>51</v>
      </c>
      <c r="D23" t="s">
        <v>392</v>
      </c>
      <c r="E23">
        <v>2026</v>
      </c>
      <c r="F23">
        <v>13</v>
      </c>
      <c r="G23">
        <v>84</v>
      </c>
      <c r="H23" s="14"/>
    </row>
    <row r="24" spans="1:8">
      <c r="A24" t="s">
        <v>62</v>
      </c>
      <c r="B24" t="s">
        <v>47</v>
      </c>
      <c r="C24" t="s">
        <v>51</v>
      </c>
      <c r="D24" t="s">
        <v>355</v>
      </c>
      <c r="E24">
        <v>2026</v>
      </c>
      <c r="F24">
        <v>10</v>
      </c>
      <c r="G24">
        <v>84</v>
      </c>
      <c r="H24" s="14"/>
    </row>
    <row r="25" spans="1:8">
      <c r="A25" t="s">
        <v>62</v>
      </c>
      <c r="B25" t="s">
        <v>47</v>
      </c>
      <c r="C25" t="s">
        <v>51</v>
      </c>
      <c r="D25" t="s">
        <v>403</v>
      </c>
      <c r="E25">
        <v>2026</v>
      </c>
      <c r="F25">
        <v>6</v>
      </c>
      <c r="G25">
        <v>84</v>
      </c>
      <c r="H25" s="14"/>
    </row>
    <row r="26" spans="1:8">
      <c r="A26" t="s">
        <v>64</v>
      </c>
      <c r="B26" t="s">
        <v>47</v>
      </c>
      <c r="C26" t="s">
        <v>51</v>
      </c>
      <c r="D26" t="s">
        <v>247</v>
      </c>
      <c r="E26">
        <v>2026</v>
      </c>
      <c r="F26">
        <v>21</v>
      </c>
      <c r="G26">
        <v>269</v>
      </c>
      <c r="H26" s="14"/>
    </row>
    <row r="27" spans="1:8">
      <c r="A27" t="s">
        <v>64</v>
      </c>
      <c r="B27" t="s">
        <v>47</v>
      </c>
      <c r="C27" t="s">
        <v>51</v>
      </c>
      <c r="D27" t="s">
        <v>278</v>
      </c>
      <c r="E27">
        <v>2026</v>
      </c>
      <c r="F27">
        <v>42</v>
      </c>
      <c r="G27">
        <v>269</v>
      </c>
      <c r="H27" s="14"/>
    </row>
    <row r="28" spans="1:8">
      <c r="A28" t="s">
        <v>64</v>
      </c>
      <c r="B28" t="s">
        <v>47</v>
      </c>
      <c r="C28" t="s">
        <v>51</v>
      </c>
      <c r="D28" t="s">
        <v>293</v>
      </c>
      <c r="E28">
        <v>2026</v>
      </c>
      <c r="F28">
        <v>20</v>
      </c>
      <c r="G28">
        <v>269</v>
      </c>
      <c r="H28" s="14"/>
    </row>
    <row r="29" spans="1:8">
      <c r="A29" t="s">
        <v>64</v>
      </c>
      <c r="B29" t="s">
        <v>47</v>
      </c>
      <c r="C29" t="s">
        <v>51</v>
      </c>
      <c r="D29" t="s">
        <v>311</v>
      </c>
      <c r="E29">
        <v>2026</v>
      </c>
      <c r="F29">
        <v>20</v>
      </c>
      <c r="G29">
        <v>269</v>
      </c>
      <c r="H29" s="14"/>
    </row>
    <row r="30" spans="1:8">
      <c r="A30" t="s">
        <v>64</v>
      </c>
      <c r="B30" t="s">
        <v>47</v>
      </c>
      <c r="C30" t="s">
        <v>51</v>
      </c>
      <c r="D30" t="s">
        <v>327</v>
      </c>
      <c r="E30">
        <v>2026</v>
      </c>
      <c r="F30">
        <v>31</v>
      </c>
      <c r="G30">
        <v>269</v>
      </c>
      <c r="H30" s="14"/>
    </row>
    <row r="31" spans="1:8">
      <c r="A31" t="s">
        <v>64</v>
      </c>
      <c r="B31" t="s">
        <v>47</v>
      </c>
      <c r="C31" t="s">
        <v>51</v>
      </c>
      <c r="D31" t="s">
        <v>381</v>
      </c>
      <c r="E31">
        <v>2026</v>
      </c>
      <c r="F31">
        <v>17</v>
      </c>
      <c r="G31">
        <v>269</v>
      </c>
      <c r="H31" s="14"/>
    </row>
    <row r="32" spans="1:8">
      <c r="A32" t="s">
        <v>64</v>
      </c>
      <c r="B32" t="s">
        <v>47</v>
      </c>
      <c r="C32" t="s">
        <v>51</v>
      </c>
      <c r="D32" t="s">
        <v>392</v>
      </c>
      <c r="E32">
        <v>2026</v>
      </c>
      <c r="F32">
        <v>27</v>
      </c>
      <c r="G32">
        <v>269</v>
      </c>
      <c r="H32" s="14"/>
    </row>
    <row r="33" spans="1:8">
      <c r="A33" t="s">
        <v>64</v>
      </c>
      <c r="B33" t="s">
        <v>47</v>
      </c>
      <c r="C33" t="s">
        <v>51</v>
      </c>
      <c r="D33" t="s">
        <v>355</v>
      </c>
      <c r="E33">
        <v>2026</v>
      </c>
      <c r="F33">
        <v>50</v>
      </c>
      <c r="G33">
        <v>269</v>
      </c>
      <c r="H33" s="14"/>
    </row>
    <row r="34" spans="1:8">
      <c r="A34" t="s">
        <v>64</v>
      </c>
      <c r="B34" t="s">
        <v>47</v>
      </c>
      <c r="C34" t="s">
        <v>51</v>
      </c>
      <c r="D34" t="s">
        <v>403</v>
      </c>
      <c r="E34">
        <v>2026</v>
      </c>
      <c r="F34">
        <v>41</v>
      </c>
      <c r="G34">
        <v>269</v>
      </c>
      <c r="H34" s="14"/>
    </row>
    <row r="35" spans="1:8">
      <c r="A35" t="s">
        <v>66</v>
      </c>
      <c r="B35" t="s">
        <v>47</v>
      </c>
      <c r="C35" t="s">
        <v>51</v>
      </c>
      <c r="D35" t="s">
        <v>247</v>
      </c>
      <c r="E35">
        <v>2026</v>
      </c>
      <c r="F35">
        <v>7</v>
      </c>
      <c r="G35">
        <v>95</v>
      </c>
      <c r="H35" s="14"/>
    </row>
    <row r="36" spans="1:8">
      <c r="A36" t="s">
        <v>66</v>
      </c>
      <c r="B36" t="s">
        <v>47</v>
      </c>
      <c r="C36" t="s">
        <v>51</v>
      </c>
      <c r="D36" t="s">
        <v>278</v>
      </c>
      <c r="E36">
        <v>2026</v>
      </c>
      <c r="F36">
        <v>23</v>
      </c>
      <c r="G36">
        <v>95</v>
      </c>
      <c r="H36" s="14"/>
    </row>
    <row r="37" spans="1:8">
      <c r="A37" t="s">
        <v>66</v>
      </c>
      <c r="B37" t="s">
        <v>47</v>
      </c>
      <c r="C37" t="s">
        <v>51</v>
      </c>
      <c r="D37" t="s">
        <v>327</v>
      </c>
      <c r="E37">
        <v>2026</v>
      </c>
      <c r="F37">
        <v>10</v>
      </c>
      <c r="G37">
        <v>95</v>
      </c>
      <c r="H37" s="14"/>
    </row>
    <row r="38" spans="1:8">
      <c r="A38" t="s">
        <v>66</v>
      </c>
      <c r="B38" t="s">
        <v>47</v>
      </c>
      <c r="C38" t="s">
        <v>51</v>
      </c>
      <c r="D38" t="s">
        <v>381</v>
      </c>
      <c r="E38">
        <v>2026</v>
      </c>
      <c r="F38">
        <v>0</v>
      </c>
      <c r="G38">
        <v>95</v>
      </c>
      <c r="H38" s="38">
        <v>1E-3</v>
      </c>
    </row>
    <row r="39" spans="1:8">
      <c r="A39" t="s">
        <v>66</v>
      </c>
      <c r="B39" t="s">
        <v>47</v>
      </c>
      <c r="C39" t="s">
        <v>51</v>
      </c>
      <c r="D39" t="s">
        <v>392</v>
      </c>
      <c r="E39">
        <v>2026</v>
      </c>
      <c r="F39">
        <v>19</v>
      </c>
      <c r="G39">
        <v>95</v>
      </c>
      <c r="H39" s="14"/>
    </row>
    <row r="40" spans="1:8">
      <c r="A40" t="s">
        <v>66</v>
      </c>
      <c r="B40" t="s">
        <v>47</v>
      </c>
      <c r="C40" t="s">
        <v>51</v>
      </c>
      <c r="D40" t="s">
        <v>355</v>
      </c>
      <c r="E40">
        <v>2026</v>
      </c>
      <c r="F40">
        <v>22</v>
      </c>
      <c r="G40">
        <v>95</v>
      </c>
      <c r="H40" s="14"/>
    </row>
    <row r="41" spans="1:8">
      <c r="A41" t="s">
        <v>66</v>
      </c>
      <c r="B41" t="s">
        <v>47</v>
      </c>
      <c r="C41" t="s">
        <v>51</v>
      </c>
      <c r="D41" t="s">
        <v>403</v>
      </c>
      <c r="E41">
        <v>2026</v>
      </c>
      <c r="F41">
        <v>14</v>
      </c>
      <c r="G41">
        <v>95</v>
      </c>
      <c r="H41" s="14"/>
    </row>
    <row r="42" spans="1:8">
      <c r="A42" t="s">
        <v>68</v>
      </c>
      <c r="B42" t="s">
        <v>47</v>
      </c>
      <c r="C42" t="s">
        <v>51</v>
      </c>
      <c r="D42" t="s">
        <v>247</v>
      </c>
      <c r="E42">
        <v>2026</v>
      </c>
      <c r="F42">
        <v>30</v>
      </c>
      <c r="G42">
        <v>250</v>
      </c>
      <c r="H42" s="14"/>
    </row>
    <row r="43" spans="1:8">
      <c r="A43" t="s">
        <v>68</v>
      </c>
      <c r="B43" t="s">
        <v>47</v>
      </c>
      <c r="C43" t="s">
        <v>51</v>
      </c>
      <c r="D43" t="s">
        <v>278</v>
      </c>
      <c r="E43">
        <v>2026</v>
      </c>
      <c r="F43">
        <v>62</v>
      </c>
      <c r="G43">
        <v>250</v>
      </c>
      <c r="H43" s="14"/>
    </row>
    <row r="44" spans="1:8">
      <c r="A44" t="s">
        <v>68</v>
      </c>
      <c r="B44" t="s">
        <v>47</v>
      </c>
      <c r="C44" t="s">
        <v>51</v>
      </c>
      <c r="D44" t="s">
        <v>293</v>
      </c>
      <c r="E44">
        <v>2026</v>
      </c>
      <c r="F44">
        <v>38</v>
      </c>
      <c r="G44">
        <v>250</v>
      </c>
      <c r="H44" s="14"/>
    </row>
    <row r="45" spans="1:8">
      <c r="A45" t="s">
        <v>68</v>
      </c>
      <c r="B45" t="s">
        <v>47</v>
      </c>
      <c r="C45" t="s">
        <v>51</v>
      </c>
      <c r="D45" t="s">
        <v>327</v>
      </c>
      <c r="E45">
        <v>2026</v>
      </c>
      <c r="F45">
        <v>10</v>
      </c>
      <c r="G45">
        <v>250</v>
      </c>
      <c r="H45" s="14"/>
    </row>
    <row r="46" spans="1:8">
      <c r="A46" t="s">
        <v>68</v>
      </c>
      <c r="B46" t="s">
        <v>47</v>
      </c>
      <c r="C46" t="s">
        <v>51</v>
      </c>
      <c r="D46" t="s">
        <v>381</v>
      </c>
      <c r="E46">
        <v>2026</v>
      </c>
      <c r="F46">
        <v>39</v>
      </c>
      <c r="G46">
        <v>250</v>
      </c>
      <c r="H46" s="14"/>
    </row>
    <row r="47" spans="1:8">
      <c r="A47" t="s">
        <v>68</v>
      </c>
      <c r="B47" t="s">
        <v>47</v>
      </c>
      <c r="C47" t="s">
        <v>51</v>
      </c>
      <c r="D47" t="s">
        <v>355</v>
      </c>
      <c r="E47">
        <v>2026</v>
      </c>
      <c r="F47">
        <v>42</v>
      </c>
      <c r="G47">
        <v>250</v>
      </c>
      <c r="H47" s="14"/>
    </row>
    <row r="48" spans="1:8">
      <c r="A48" t="s">
        <v>68</v>
      </c>
      <c r="B48" t="s">
        <v>47</v>
      </c>
      <c r="C48" t="s">
        <v>51</v>
      </c>
      <c r="D48" t="s">
        <v>403</v>
      </c>
      <c r="E48">
        <v>2026</v>
      </c>
      <c r="F48">
        <v>29</v>
      </c>
      <c r="G48">
        <v>250</v>
      </c>
      <c r="H48" s="14"/>
    </row>
    <row r="49" spans="1:8">
      <c r="A49" t="s">
        <v>69</v>
      </c>
      <c r="B49" t="s">
        <v>47</v>
      </c>
      <c r="C49" t="s">
        <v>51</v>
      </c>
      <c r="D49" t="s">
        <v>247</v>
      </c>
      <c r="E49">
        <v>2026</v>
      </c>
      <c r="F49">
        <v>22</v>
      </c>
      <c r="G49">
        <v>195</v>
      </c>
      <c r="H49" s="14"/>
    </row>
    <row r="50" spans="1:8">
      <c r="A50" t="s">
        <v>69</v>
      </c>
      <c r="B50" t="s">
        <v>47</v>
      </c>
      <c r="C50" t="s">
        <v>51</v>
      </c>
      <c r="D50" t="s">
        <v>278</v>
      </c>
      <c r="E50">
        <v>2026</v>
      </c>
      <c r="F50">
        <v>43</v>
      </c>
      <c r="G50">
        <v>195</v>
      </c>
      <c r="H50" s="14"/>
    </row>
    <row r="51" spans="1:8">
      <c r="A51" t="s">
        <v>69</v>
      </c>
      <c r="B51" t="s">
        <v>47</v>
      </c>
      <c r="C51" t="s">
        <v>51</v>
      </c>
      <c r="D51" t="s">
        <v>327</v>
      </c>
      <c r="E51">
        <v>2026</v>
      </c>
      <c r="F51">
        <v>17</v>
      </c>
      <c r="G51">
        <v>195</v>
      </c>
      <c r="H51" s="14"/>
    </row>
    <row r="52" spans="1:8">
      <c r="A52" t="s">
        <v>69</v>
      </c>
      <c r="B52" t="s">
        <v>47</v>
      </c>
      <c r="C52" t="s">
        <v>51</v>
      </c>
      <c r="D52" t="s">
        <v>381</v>
      </c>
      <c r="E52">
        <v>2026</v>
      </c>
      <c r="F52">
        <v>24</v>
      </c>
      <c r="G52">
        <v>195</v>
      </c>
      <c r="H52" s="14"/>
    </row>
    <row r="53" spans="1:8">
      <c r="A53" t="s">
        <v>69</v>
      </c>
      <c r="B53" t="s">
        <v>47</v>
      </c>
      <c r="C53" t="s">
        <v>51</v>
      </c>
      <c r="D53" t="s">
        <v>355</v>
      </c>
      <c r="E53">
        <v>2026</v>
      </c>
      <c r="F53">
        <v>26</v>
      </c>
      <c r="G53">
        <v>195</v>
      </c>
      <c r="H53" s="14"/>
    </row>
    <row r="54" spans="1:8">
      <c r="A54" t="s">
        <v>69</v>
      </c>
      <c r="B54" t="s">
        <v>47</v>
      </c>
      <c r="C54" t="s">
        <v>51</v>
      </c>
      <c r="D54" t="s">
        <v>403</v>
      </c>
      <c r="E54">
        <v>2026</v>
      </c>
      <c r="F54">
        <v>22</v>
      </c>
      <c r="G54">
        <v>195</v>
      </c>
      <c r="H54" s="14"/>
    </row>
    <row r="55" spans="1:8">
      <c r="A55" t="s">
        <v>69</v>
      </c>
      <c r="B55" t="s">
        <v>47</v>
      </c>
      <c r="C55" t="s">
        <v>51</v>
      </c>
      <c r="D55" t="s">
        <v>421</v>
      </c>
      <c r="E55">
        <v>2026</v>
      </c>
      <c r="F55">
        <v>23</v>
      </c>
      <c r="G55">
        <v>195</v>
      </c>
      <c r="H55" s="14"/>
    </row>
    <row r="56" spans="1:8">
      <c r="A56" t="s">
        <v>71</v>
      </c>
      <c r="B56" t="s">
        <v>47</v>
      </c>
      <c r="C56" t="s">
        <v>51</v>
      </c>
      <c r="D56" t="s">
        <v>247</v>
      </c>
      <c r="E56">
        <v>2026</v>
      </c>
      <c r="F56">
        <v>19</v>
      </c>
      <c r="G56">
        <v>46</v>
      </c>
      <c r="H56" s="14"/>
    </row>
    <row r="57" spans="1:8">
      <c r="A57" t="s">
        <v>71</v>
      </c>
      <c r="B57" t="s">
        <v>47</v>
      </c>
      <c r="C57" t="s">
        <v>51</v>
      </c>
      <c r="D57" t="s">
        <v>278</v>
      </c>
      <c r="E57">
        <v>2026</v>
      </c>
      <c r="F57">
        <v>11</v>
      </c>
      <c r="G57">
        <v>46</v>
      </c>
      <c r="H57" s="14"/>
    </row>
    <row r="58" spans="1:8">
      <c r="A58" t="s">
        <v>71</v>
      </c>
      <c r="B58" t="s">
        <v>47</v>
      </c>
      <c r="C58" t="s">
        <v>51</v>
      </c>
      <c r="D58" t="s">
        <v>327</v>
      </c>
      <c r="E58">
        <v>2026</v>
      </c>
      <c r="F58">
        <v>6</v>
      </c>
      <c r="G58">
        <v>46</v>
      </c>
      <c r="H58" s="14"/>
    </row>
    <row r="59" spans="1:8">
      <c r="A59" t="s">
        <v>71</v>
      </c>
      <c r="B59" t="s">
        <v>47</v>
      </c>
      <c r="C59" t="s">
        <v>51</v>
      </c>
      <c r="D59" t="s">
        <v>355</v>
      </c>
      <c r="E59">
        <v>2026</v>
      </c>
      <c r="F59">
        <v>10</v>
      </c>
      <c r="G59">
        <v>46</v>
      </c>
      <c r="H59" s="14"/>
    </row>
    <row r="60" spans="1:8">
      <c r="A60" t="s">
        <v>71</v>
      </c>
      <c r="B60" t="s">
        <v>47</v>
      </c>
      <c r="C60" t="s">
        <v>51</v>
      </c>
      <c r="D60" t="s">
        <v>403</v>
      </c>
      <c r="E60">
        <v>2026</v>
      </c>
      <c r="F60">
        <v>0</v>
      </c>
      <c r="G60">
        <v>46</v>
      </c>
      <c r="H60" s="29">
        <v>5.0000000000000001E-4</v>
      </c>
    </row>
    <row r="61" spans="1:8">
      <c r="A61" t="s">
        <v>73</v>
      </c>
      <c r="B61" t="s">
        <v>47</v>
      </c>
      <c r="C61" t="s">
        <v>51</v>
      </c>
      <c r="D61" t="s">
        <v>247</v>
      </c>
      <c r="E61">
        <v>2026</v>
      </c>
      <c r="F61">
        <v>13</v>
      </c>
      <c r="G61">
        <v>242</v>
      </c>
      <c r="H61" s="14"/>
    </row>
    <row r="62" spans="1:8">
      <c r="A62" t="s">
        <v>73</v>
      </c>
      <c r="B62" t="s">
        <v>47</v>
      </c>
      <c r="C62" t="s">
        <v>51</v>
      </c>
      <c r="D62" t="s">
        <v>278</v>
      </c>
      <c r="E62">
        <v>2026</v>
      </c>
      <c r="F62">
        <v>43</v>
      </c>
      <c r="G62">
        <v>242</v>
      </c>
      <c r="H62" s="14"/>
    </row>
    <row r="63" spans="1:8">
      <c r="A63" t="s">
        <v>73</v>
      </c>
      <c r="B63" t="s">
        <v>47</v>
      </c>
      <c r="C63" t="s">
        <v>51</v>
      </c>
      <c r="D63" t="s">
        <v>293</v>
      </c>
      <c r="E63">
        <v>2026</v>
      </c>
      <c r="F63">
        <v>17</v>
      </c>
      <c r="G63">
        <v>242</v>
      </c>
      <c r="H63" s="14"/>
    </row>
    <row r="64" spans="1:8">
      <c r="A64" t="s">
        <v>73</v>
      </c>
      <c r="B64" t="s">
        <v>47</v>
      </c>
      <c r="C64" t="s">
        <v>51</v>
      </c>
      <c r="D64" t="s">
        <v>311</v>
      </c>
      <c r="E64">
        <v>2026</v>
      </c>
      <c r="F64">
        <v>16</v>
      </c>
      <c r="G64">
        <v>242</v>
      </c>
      <c r="H64" s="14"/>
    </row>
    <row r="65" spans="1:8">
      <c r="A65" t="s">
        <v>73</v>
      </c>
      <c r="B65" t="s">
        <v>47</v>
      </c>
      <c r="C65" t="s">
        <v>51</v>
      </c>
      <c r="D65" t="s">
        <v>327</v>
      </c>
      <c r="E65">
        <v>2026</v>
      </c>
      <c r="F65">
        <v>25</v>
      </c>
      <c r="G65">
        <v>242</v>
      </c>
      <c r="H65" s="14"/>
    </row>
    <row r="66" spans="1:8">
      <c r="A66" t="s">
        <v>73</v>
      </c>
      <c r="B66" t="s">
        <v>47</v>
      </c>
      <c r="C66" t="s">
        <v>51</v>
      </c>
      <c r="D66" t="s">
        <v>381</v>
      </c>
      <c r="E66">
        <v>2026</v>
      </c>
      <c r="F66">
        <v>9</v>
      </c>
      <c r="G66">
        <v>242</v>
      </c>
      <c r="H66" s="14"/>
    </row>
    <row r="67" spans="1:8">
      <c r="A67" t="s">
        <v>73</v>
      </c>
      <c r="B67" t="s">
        <v>47</v>
      </c>
      <c r="C67" t="s">
        <v>51</v>
      </c>
      <c r="D67" t="s">
        <v>392</v>
      </c>
      <c r="E67">
        <v>2026</v>
      </c>
      <c r="F67">
        <v>23</v>
      </c>
      <c r="G67">
        <v>242</v>
      </c>
      <c r="H67" s="14"/>
    </row>
    <row r="68" spans="1:8">
      <c r="A68" t="s">
        <v>73</v>
      </c>
      <c r="B68" t="s">
        <v>47</v>
      </c>
      <c r="C68" t="s">
        <v>51</v>
      </c>
      <c r="D68" t="s">
        <v>355</v>
      </c>
      <c r="E68">
        <v>2026</v>
      </c>
      <c r="F68">
        <v>28</v>
      </c>
      <c r="G68">
        <v>242</v>
      </c>
      <c r="H68" s="14"/>
    </row>
    <row r="69" spans="1:8">
      <c r="A69" t="s">
        <v>73</v>
      </c>
      <c r="B69" t="s">
        <v>47</v>
      </c>
      <c r="C69" t="s">
        <v>51</v>
      </c>
      <c r="D69" t="s">
        <v>403</v>
      </c>
      <c r="E69">
        <v>2026</v>
      </c>
      <c r="F69">
        <v>29</v>
      </c>
      <c r="G69">
        <v>242</v>
      </c>
      <c r="H69" s="14"/>
    </row>
    <row r="70" spans="1:8">
      <c r="A70" t="s">
        <v>73</v>
      </c>
      <c r="B70" t="s">
        <v>47</v>
      </c>
      <c r="C70" t="s">
        <v>51</v>
      </c>
      <c r="D70" t="s">
        <v>420</v>
      </c>
      <c r="E70">
        <v>2026</v>
      </c>
      <c r="F70">
        <v>15</v>
      </c>
      <c r="G70">
        <v>242</v>
      </c>
      <c r="H70" s="14"/>
    </row>
    <row r="71" spans="1:8">
      <c r="A71" t="s">
        <v>73</v>
      </c>
      <c r="B71" t="s">
        <v>47</v>
      </c>
      <c r="C71" t="s">
        <v>51</v>
      </c>
      <c r="D71" t="s">
        <v>421</v>
      </c>
      <c r="E71">
        <v>2026</v>
      </c>
      <c r="F71">
        <v>24</v>
      </c>
      <c r="G71">
        <v>242</v>
      </c>
      <c r="H71" s="14"/>
    </row>
    <row r="72" spans="1:8">
      <c r="A72" t="s">
        <v>74</v>
      </c>
      <c r="B72" t="s">
        <v>47</v>
      </c>
      <c r="C72" t="s">
        <v>51</v>
      </c>
      <c r="D72" t="s">
        <v>247</v>
      </c>
      <c r="E72">
        <v>2026</v>
      </c>
      <c r="F72">
        <v>8</v>
      </c>
      <c r="G72">
        <v>98</v>
      </c>
      <c r="H72" s="14"/>
    </row>
    <row r="73" spans="1:8">
      <c r="A73" t="s">
        <v>74</v>
      </c>
      <c r="B73" t="s">
        <v>47</v>
      </c>
      <c r="C73" t="s">
        <v>51</v>
      </c>
      <c r="D73" t="s">
        <v>278</v>
      </c>
      <c r="E73">
        <v>2026</v>
      </c>
      <c r="F73">
        <v>14</v>
      </c>
      <c r="G73">
        <v>98</v>
      </c>
      <c r="H73" s="14"/>
    </row>
    <row r="74" spans="1:8">
      <c r="A74" t="s">
        <v>74</v>
      </c>
      <c r="B74" t="s">
        <v>47</v>
      </c>
      <c r="C74" t="s">
        <v>51</v>
      </c>
      <c r="D74" t="s">
        <v>293</v>
      </c>
      <c r="E74">
        <v>2026</v>
      </c>
      <c r="F74">
        <v>13</v>
      </c>
      <c r="G74">
        <v>98</v>
      </c>
      <c r="H74" s="14"/>
    </row>
    <row r="75" spans="1:8">
      <c r="A75" t="s">
        <v>74</v>
      </c>
      <c r="B75" t="s">
        <v>47</v>
      </c>
      <c r="C75" t="s">
        <v>51</v>
      </c>
      <c r="D75" t="s">
        <v>381</v>
      </c>
      <c r="E75">
        <v>2026</v>
      </c>
      <c r="F75">
        <v>31</v>
      </c>
      <c r="G75">
        <v>98</v>
      </c>
      <c r="H75" s="14"/>
    </row>
    <row r="76" spans="1:8">
      <c r="A76" t="s">
        <v>74</v>
      </c>
      <c r="B76" t="s">
        <v>47</v>
      </c>
      <c r="C76" t="s">
        <v>51</v>
      </c>
      <c r="D76" t="s">
        <v>392</v>
      </c>
      <c r="E76">
        <v>2026</v>
      </c>
      <c r="F76">
        <v>20</v>
      </c>
      <c r="G76">
        <v>98</v>
      </c>
      <c r="H76" s="14"/>
    </row>
    <row r="77" spans="1:8">
      <c r="A77" t="s">
        <v>74</v>
      </c>
      <c r="B77" t="s">
        <v>47</v>
      </c>
      <c r="C77" t="s">
        <v>51</v>
      </c>
      <c r="D77" t="s">
        <v>355</v>
      </c>
      <c r="E77">
        <v>2026</v>
      </c>
      <c r="F77">
        <v>20</v>
      </c>
      <c r="G77">
        <v>98</v>
      </c>
      <c r="H77" s="14"/>
    </row>
    <row r="78" spans="1:8">
      <c r="A78" t="s">
        <v>74</v>
      </c>
      <c r="B78" t="s">
        <v>47</v>
      </c>
      <c r="C78" t="s">
        <v>51</v>
      </c>
      <c r="D78" t="s">
        <v>369</v>
      </c>
      <c r="E78">
        <v>2026</v>
      </c>
      <c r="F78">
        <v>0</v>
      </c>
      <c r="G78">
        <v>98</v>
      </c>
      <c r="H78" s="38">
        <v>1E-3</v>
      </c>
    </row>
    <row r="79" spans="1:8">
      <c r="A79" t="s">
        <v>74</v>
      </c>
      <c r="B79" t="s">
        <v>47</v>
      </c>
      <c r="C79" t="s">
        <v>51</v>
      </c>
      <c r="D79" t="s">
        <v>403</v>
      </c>
      <c r="E79">
        <v>2026</v>
      </c>
      <c r="F79">
        <v>10</v>
      </c>
      <c r="G79">
        <v>98</v>
      </c>
      <c r="H79" s="14"/>
    </row>
    <row r="80" spans="1:8">
      <c r="A80" t="s">
        <v>75</v>
      </c>
      <c r="B80" t="s">
        <v>47</v>
      </c>
      <c r="C80" t="s">
        <v>51</v>
      </c>
      <c r="D80" t="s">
        <v>247</v>
      </c>
      <c r="E80">
        <v>2026</v>
      </c>
      <c r="F80">
        <v>29</v>
      </c>
      <c r="G80">
        <v>169</v>
      </c>
      <c r="H80" s="14"/>
    </row>
    <row r="81" spans="1:8">
      <c r="A81" t="s">
        <v>75</v>
      </c>
      <c r="B81" t="s">
        <v>47</v>
      </c>
      <c r="C81" t="s">
        <v>51</v>
      </c>
      <c r="D81" t="s">
        <v>278</v>
      </c>
      <c r="E81">
        <v>2026</v>
      </c>
      <c r="F81">
        <v>48</v>
      </c>
      <c r="G81">
        <v>169</v>
      </c>
      <c r="H81" s="14"/>
    </row>
    <row r="82" spans="1:8">
      <c r="A82" t="s">
        <v>75</v>
      </c>
      <c r="B82" t="s">
        <v>47</v>
      </c>
      <c r="C82" t="s">
        <v>51</v>
      </c>
      <c r="D82" t="s">
        <v>381</v>
      </c>
      <c r="E82">
        <v>2026</v>
      </c>
      <c r="F82">
        <v>31</v>
      </c>
      <c r="G82">
        <v>169</v>
      </c>
      <c r="H82" s="14"/>
    </row>
    <row r="83" spans="1:8">
      <c r="A83" t="s">
        <v>75</v>
      </c>
      <c r="B83" t="s">
        <v>47</v>
      </c>
      <c r="C83" t="s">
        <v>51</v>
      </c>
      <c r="D83" t="s">
        <v>392</v>
      </c>
      <c r="E83">
        <v>2026</v>
      </c>
      <c r="F83">
        <v>16</v>
      </c>
      <c r="G83">
        <v>169</v>
      </c>
      <c r="H83" s="14"/>
    </row>
    <row r="84" spans="1:8">
      <c r="A84" t="s">
        <v>75</v>
      </c>
      <c r="B84" t="s">
        <v>47</v>
      </c>
      <c r="C84" t="s">
        <v>51</v>
      </c>
      <c r="D84" t="s">
        <v>355</v>
      </c>
      <c r="E84">
        <v>2026</v>
      </c>
      <c r="F84">
        <v>23</v>
      </c>
      <c r="G84">
        <v>169</v>
      </c>
      <c r="H84" s="14"/>
    </row>
    <row r="85" spans="1:8">
      <c r="A85" t="s">
        <v>75</v>
      </c>
      <c r="B85" t="s">
        <v>47</v>
      </c>
      <c r="C85" t="s">
        <v>51</v>
      </c>
      <c r="D85" t="s">
        <v>403</v>
      </c>
      <c r="E85">
        <v>2026</v>
      </c>
      <c r="F85">
        <v>22</v>
      </c>
      <c r="G85">
        <v>169</v>
      </c>
      <c r="H85" s="14"/>
    </row>
    <row r="86" spans="1:8">
      <c r="A86" t="s">
        <v>76</v>
      </c>
      <c r="B86" t="s">
        <v>47</v>
      </c>
      <c r="C86" t="s">
        <v>51</v>
      </c>
      <c r="D86" t="s">
        <v>247</v>
      </c>
      <c r="E86">
        <v>2026</v>
      </c>
      <c r="F86">
        <v>6</v>
      </c>
      <c r="G86">
        <v>42</v>
      </c>
      <c r="H86" s="14"/>
    </row>
    <row r="87" spans="1:8">
      <c r="A87" t="s">
        <v>76</v>
      </c>
      <c r="B87" t="s">
        <v>47</v>
      </c>
      <c r="C87" t="s">
        <v>51</v>
      </c>
      <c r="D87" t="s">
        <v>278</v>
      </c>
      <c r="E87">
        <v>2026</v>
      </c>
      <c r="F87">
        <v>4</v>
      </c>
      <c r="G87">
        <v>42</v>
      </c>
      <c r="H87" s="14"/>
    </row>
    <row r="88" spans="1:8">
      <c r="A88" t="s">
        <v>76</v>
      </c>
      <c r="B88" t="s">
        <v>47</v>
      </c>
      <c r="C88" t="s">
        <v>51</v>
      </c>
      <c r="D88" t="s">
        <v>327</v>
      </c>
      <c r="E88">
        <v>2026</v>
      </c>
      <c r="F88">
        <v>8</v>
      </c>
      <c r="G88">
        <v>42</v>
      </c>
      <c r="H88" s="14"/>
    </row>
    <row r="89" spans="1:8">
      <c r="A89" t="s">
        <v>76</v>
      </c>
      <c r="B89" t="s">
        <v>47</v>
      </c>
      <c r="C89" t="s">
        <v>51</v>
      </c>
      <c r="D89" t="s">
        <v>381</v>
      </c>
      <c r="E89">
        <v>2026</v>
      </c>
      <c r="F89">
        <v>7</v>
      </c>
      <c r="G89">
        <v>42</v>
      </c>
      <c r="H89" s="14"/>
    </row>
    <row r="90" spans="1:8">
      <c r="A90" t="s">
        <v>76</v>
      </c>
      <c r="B90" t="s">
        <v>47</v>
      </c>
      <c r="C90" t="s">
        <v>51</v>
      </c>
      <c r="D90" t="s">
        <v>355</v>
      </c>
      <c r="E90">
        <v>2026</v>
      </c>
      <c r="F90">
        <v>7</v>
      </c>
      <c r="G90">
        <v>42</v>
      </c>
      <c r="H90" s="14"/>
    </row>
    <row r="91" spans="1:8">
      <c r="A91" t="s">
        <v>76</v>
      </c>
      <c r="B91" t="s">
        <v>47</v>
      </c>
      <c r="C91" t="s">
        <v>51</v>
      </c>
      <c r="D91" t="s">
        <v>403</v>
      </c>
      <c r="E91">
        <v>2026</v>
      </c>
      <c r="F91">
        <v>4</v>
      </c>
      <c r="G91">
        <v>42</v>
      </c>
      <c r="H91" s="14"/>
    </row>
    <row r="92" spans="1:8">
      <c r="A92" t="s">
        <v>76</v>
      </c>
      <c r="B92" t="s">
        <v>47</v>
      </c>
      <c r="C92" t="s">
        <v>51</v>
      </c>
      <c r="D92" t="s">
        <v>421</v>
      </c>
      <c r="E92">
        <v>2026</v>
      </c>
      <c r="F92">
        <v>6</v>
      </c>
      <c r="G92">
        <v>42</v>
      </c>
      <c r="H92" s="14"/>
    </row>
    <row r="93" spans="1:8">
      <c r="A93" t="s">
        <v>77</v>
      </c>
      <c r="B93" t="s">
        <v>47</v>
      </c>
      <c r="C93" t="s">
        <v>51</v>
      </c>
      <c r="D93" t="s">
        <v>247</v>
      </c>
      <c r="E93">
        <v>2026</v>
      </c>
      <c r="F93">
        <v>22</v>
      </c>
      <c r="G93">
        <v>150</v>
      </c>
      <c r="H93" s="14"/>
    </row>
    <row r="94" spans="1:8">
      <c r="A94" t="s">
        <v>77</v>
      </c>
      <c r="B94" t="s">
        <v>47</v>
      </c>
      <c r="C94" t="s">
        <v>51</v>
      </c>
      <c r="D94" t="s">
        <v>278</v>
      </c>
      <c r="E94">
        <v>2026</v>
      </c>
      <c r="F94">
        <v>30</v>
      </c>
      <c r="G94">
        <v>150</v>
      </c>
      <c r="H94" s="14"/>
    </row>
    <row r="95" spans="1:8">
      <c r="A95" t="s">
        <v>77</v>
      </c>
      <c r="B95" t="s">
        <v>47</v>
      </c>
      <c r="C95" t="s">
        <v>51</v>
      </c>
      <c r="D95" t="s">
        <v>327</v>
      </c>
      <c r="E95">
        <v>2026</v>
      </c>
      <c r="F95">
        <v>14</v>
      </c>
      <c r="G95">
        <v>150</v>
      </c>
      <c r="H95" s="14"/>
    </row>
    <row r="96" spans="1:8">
      <c r="A96" t="s">
        <v>77</v>
      </c>
      <c r="B96" t="s">
        <v>47</v>
      </c>
      <c r="C96" t="s">
        <v>51</v>
      </c>
      <c r="D96" t="s">
        <v>355</v>
      </c>
      <c r="E96">
        <v>2026</v>
      </c>
      <c r="F96">
        <v>20</v>
      </c>
      <c r="G96">
        <v>150</v>
      </c>
      <c r="H96" s="14"/>
    </row>
    <row r="97" spans="1:8">
      <c r="A97" t="s">
        <v>77</v>
      </c>
      <c r="B97" t="s">
        <v>47</v>
      </c>
      <c r="C97" t="s">
        <v>51</v>
      </c>
      <c r="D97" t="s">
        <v>701</v>
      </c>
      <c r="E97">
        <v>2026</v>
      </c>
      <c r="F97">
        <v>10</v>
      </c>
      <c r="G97">
        <v>150</v>
      </c>
      <c r="H97" s="14"/>
    </row>
    <row r="98" spans="1:8">
      <c r="A98" t="s">
        <v>77</v>
      </c>
      <c r="B98" t="s">
        <v>47</v>
      </c>
      <c r="C98" t="s">
        <v>51</v>
      </c>
      <c r="D98" t="s">
        <v>702</v>
      </c>
      <c r="E98">
        <v>2026</v>
      </c>
      <c r="F98">
        <v>26</v>
      </c>
      <c r="G98">
        <v>150</v>
      </c>
      <c r="H98" s="14"/>
    </row>
    <row r="99" spans="1:8">
      <c r="A99" t="s">
        <v>77</v>
      </c>
      <c r="B99" t="s">
        <v>47</v>
      </c>
      <c r="C99" t="s">
        <v>51</v>
      </c>
      <c r="D99" t="s">
        <v>381</v>
      </c>
      <c r="E99">
        <v>2026</v>
      </c>
      <c r="F99">
        <v>12</v>
      </c>
      <c r="G99">
        <v>150</v>
      </c>
      <c r="H99" s="14"/>
    </row>
    <row r="100" spans="1:8">
      <c r="A100" t="s">
        <v>77</v>
      </c>
      <c r="B100" t="s">
        <v>47</v>
      </c>
      <c r="C100" t="s">
        <v>51</v>
      </c>
      <c r="D100" t="s">
        <v>403</v>
      </c>
      <c r="E100">
        <v>2026</v>
      </c>
      <c r="F100">
        <v>16</v>
      </c>
      <c r="G100">
        <v>150</v>
      </c>
      <c r="H100" s="14"/>
    </row>
    <row r="101" spans="1:8">
      <c r="A101" t="s">
        <v>78</v>
      </c>
      <c r="B101" t="s">
        <v>47</v>
      </c>
      <c r="C101" t="s">
        <v>51</v>
      </c>
      <c r="D101" t="s">
        <v>247</v>
      </c>
      <c r="E101">
        <v>2026</v>
      </c>
      <c r="F101">
        <v>74</v>
      </c>
      <c r="G101">
        <v>673</v>
      </c>
      <c r="H101" s="14"/>
    </row>
    <row r="102" spans="1:8">
      <c r="A102" t="s">
        <v>78</v>
      </c>
      <c r="B102" t="s">
        <v>47</v>
      </c>
      <c r="C102" t="s">
        <v>51</v>
      </c>
      <c r="D102" t="s">
        <v>278</v>
      </c>
      <c r="E102">
        <v>2026</v>
      </c>
      <c r="F102">
        <v>108</v>
      </c>
      <c r="G102">
        <v>673</v>
      </c>
      <c r="H102" s="14"/>
    </row>
    <row r="103" spans="1:8">
      <c r="A103" t="s">
        <v>78</v>
      </c>
      <c r="B103" t="s">
        <v>47</v>
      </c>
      <c r="C103" t="s">
        <v>51</v>
      </c>
      <c r="D103" t="s">
        <v>293</v>
      </c>
      <c r="E103">
        <v>2026</v>
      </c>
      <c r="F103">
        <v>76</v>
      </c>
      <c r="G103">
        <v>673</v>
      </c>
      <c r="H103" s="14"/>
    </row>
    <row r="104" spans="1:8">
      <c r="A104" t="s">
        <v>78</v>
      </c>
      <c r="B104" t="s">
        <v>47</v>
      </c>
      <c r="C104" t="s">
        <v>51</v>
      </c>
      <c r="D104" t="s">
        <v>311</v>
      </c>
      <c r="E104">
        <v>2026</v>
      </c>
      <c r="F104">
        <v>39</v>
      </c>
      <c r="G104">
        <v>673</v>
      </c>
      <c r="H104" s="14"/>
    </row>
    <row r="105" spans="1:8">
      <c r="A105" t="s">
        <v>78</v>
      </c>
      <c r="B105" t="s">
        <v>47</v>
      </c>
      <c r="C105" t="s">
        <v>51</v>
      </c>
      <c r="D105" t="s">
        <v>327</v>
      </c>
      <c r="E105">
        <v>2026</v>
      </c>
      <c r="F105">
        <v>26</v>
      </c>
      <c r="G105">
        <v>673</v>
      </c>
      <c r="H105" s="14"/>
    </row>
    <row r="106" spans="1:8">
      <c r="A106" t="s">
        <v>78</v>
      </c>
      <c r="B106" t="s">
        <v>47</v>
      </c>
      <c r="C106" t="s">
        <v>51</v>
      </c>
      <c r="D106" t="s">
        <v>422</v>
      </c>
      <c r="E106">
        <v>2026</v>
      </c>
      <c r="F106">
        <v>28</v>
      </c>
      <c r="G106">
        <v>673</v>
      </c>
      <c r="H106" s="14"/>
    </row>
    <row r="107" spans="1:8">
      <c r="A107" t="s">
        <v>78</v>
      </c>
      <c r="B107" t="s">
        <v>47</v>
      </c>
      <c r="C107" t="s">
        <v>51</v>
      </c>
      <c r="D107" t="s">
        <v>341</v>
      </c>
      <c r="E107">
        <v>2026</v>
      </c>
      <c r="F107">
        <v>27</v>
      </c>
      <c r="G107">
        <v>673</v>
      </c>
      <c r="H107" s="14"/>
    </row>
    <row r="108" spans="1:8">
      <c r="A108" t="s">
        <v>78</v>
      </c>
      <c r="B108" t="s">
        <v>47</v>
      </c>
      <c r="C108" t="s">
        <v>51</v>
      </c>
      <c r="D108" t="s">
        <v>355</v>
      </c>
      <c r="E108">
        <v>2026</v>
      </c>
      <c r="F108">
        <v>52</v>
      </c>
      <c r="G108">
        <v>673</v>
      </c>
      <c r="H108" s="14"/>
    </row>
    <row r="109" spans="1:8">
      <c r="A109" t="s">
        <v>78</v>
      </c>
      <c r="B109" t="s">
        <v>47</v>
      </c>
      <c r="C109" t="s">
        <v>51</v>
      </c>
      <c r="D109" t="s">
        <v>701</v>
      </c>
      <c r="E109">
        <v>2026</v>
      </c>
      <c r="F109">
        <v>15</v>
      </c>
      <c r="G109">
        <v>673</v>
      </c>
      <c r="H109" s="14"/>
    </row>
    <row r="110" spans="1:8">
      <c r="A110" t="s">
        <v>78</v>
      </c>
      <c r="B110" t="s">
        <v>47</v>
      </c>
      <c r="C110" t="s">
        <v>51</v>
      </c>
      <c r="D110" t="s">
        <v>702</v>
      </c>
      <c r="E110">
        <v>2026</v>
      </c>
      <c r="F110">
        <v>32</v>
      </c>
      <c r="G110">
        <v>673</v>
      </c>
      <c r="H110" s="14"/>
    </row>
    <row r="111" spans="1:8">
      <c r="A111" t="s">
        <v>78</v>
      </c>
      <c r="B111" t="s">
        <v>47</v>
      </c>
      <c r="C111" t="s">
        <v>51</v>
      </c>
      <c r="D111" t="s">
        <v>381</v>
      </c>
      <c r="E111">
        <v>2026</v>
      </c>
      <c r="F111">
        <v>41</v>
      </c>
      <c r="G111">
        <v>673</v>
      </c>
      <c r="H111" s="14"/>
    </row>
    <row r="112" spans="1:8">
      <c r="A112" t="s">
        <v>78</v>
      </c>
      <c r="B112" t="s">
        <v>47</v>
      </c>
      <c r="C112" t="s">
        <v>51</v>
      </c>
      <c r="D112" t="s">
        <v>403</v>
      </c>
      <c r="E112">
        <v>2026</v>
      </c>
      <c r="F112">
        <v>47</v>
      </c>
      <c r="G112">
        <v>673</v>
      </c>
      <c r="H112" s="14"/>
    </row>
    <row r="113" spans="1:8">
      <c r="A113" t="s">
        <v>78</v>
      </c>
      <c r="B113" t="s">
        <v>47</v>
      </c>
      <c r="C113" t="s">
        <v>51</v>
      </c>
      <c r="D113" t="s">
        <v>420</v>
      </c>
      <c r="E113">
        <v>2026</v>
      </c>
      <c r="F113">
        <v>32</v>
      </c>
      <c r="G113">
        <v>673</v>
      </c>
      <c r="H113" s="14"/>
    </row>
    <row r="114" spans="1:8">
      <c r="A114" t="s">
        <v>78</v>
      </c>
      <c r="B114" t="s">
        <v>47</v>
      </c>
      <c r="C114" t="s">
        <v>51</v>
      </c>
      <c r="D114" t="s">
        <v>421</v>
      </c>
      <c r="E114">
        <v>2026</v>
      </c>
      <c r="F114">
        <v>76</v>
      </c>
      <c r="G114">
        <v>673</v>
      </c>
      <c r="H114" s="14"/>
    </row>
    <row r="115" spans="1:8">
      <c r="A115" t="s">
        <v>79</v>
      </c>
      <c r="B115" t="s">
        <v>47</v>
      </c>
      <c r="C115" t="s">
        <v>51</v>
      </c>
      <c r="D115" t="s">
        <v>247</v>
      </c>
      <c r="E115">
        <v>2026</v>
      </c>
      <c r="F115">
        <v>6</v>
      </c>
      <c r="G115">
        <v>26</v>
      </c>
      <c r="H115" s="14"/>
    </row>
    <row r="116" spans="1:8">
      <c r="A116" t="s">
        <v>79</v>
      </c>
      <c r="B116" t="s">
        <v>47</v>
      </c>
      <c r="C116" t="s">
        <v>51</v>
      </c>
      <c r="D116" t="s">
        <v>278</v>
      </c>
      <c r="E116">
        <v>2026</v>
      </c>
      <c r="F116">
        <v>11</v>
      </c>
      <c r="G116">
        <v>26</v>
      </c>
      <c r="H116" s="14"/>
    </row>
    <row r="117" spans="1:8">
      <c r="A117" t="s">
        <v>79</v>
      </c>
      <c r="B117" t="s">
        <v>47</v>
      </c>
      <c r="C117" t="s">
        <v>51</v>
      </c>
      <c r="D117" t="s">
        <v>381</v>
      </c>
      <c r="E117">
        <v>2026</v>
      </c>
      <c r="F117">
        <v>7</v>
      </c>
      <c r="G117">
        <v>26</v>
      </c>
      <c r="H117" s="14"/>
    </row>
    <row r="118" spans="1:8">
      <c r="A118" t="s">
        <v>79</v>
      </c>
      <c r="B118" t="s">
        <v>47</v>
      </c>
      <c r="C118" t="s">
        <v>51</v>
      </c>
      <c r="D118" t="s">
        <v>403</v>
      </c>
      <c r="E118">
        <v>2026</v>
      </c>
      <c r="F118">
        <v>2</v>
      </c>
      <c r="G118">
        <v>26</v>
      </c>
      <c r="H118" s="14"/>
    </row>
    <row r="119" spans="1:8">
      <c r="A119" t="s">
        <v>80</v>
      </c>
      <c r="B119" t="s">
        <v>47</v>
      </c>
      <c r="C119" t="s">
        <v>51</v>
      </c>
      <c r="D119" t="s">
        <v>247</v>
      </c>
      <c r="E119">
        <v>2026</v>
      </c>
      <c r="F119">
        <v>22</v>
      </c>
      <c r="G119">
        <v>105</v>
      </c>
      <c r="H119" s="14"/>
    </row>
    <row r="120" spans="1:8">
      <c r="A120" t="s">
        <v>80</v>
      </c>
      <c r="B120" t="s">
        <v>47</v>
      </c>
      <c r="C120" t="s">
        <v>51</v>
      </c>
      <c r="D120" t="s">
        <v>278</v>
      </c>
      <c r="E120">
        <v>2026</v>
      </c>
      <c r="F120">
        <v>40</v>
      </c>
      <c r="G120">
        <v>105</v>
      </c>
      <c r="H120" s="14"/>
    </row>
    <row r="121" spans="1:8">
      <c r="A121" t="s">
        <v>80</v>
      </c>
      <c r="B121" t="s">
        <v>47</v>
      </c>
      <c r="C121" t="s">
        <v>51</v>
      </c>
      <c r="D121" t="s">
        <v>381</v>
      </c>
      <c r="E121">
        <v>2026</v>
      </c>
      <c r="F121">
        <v>31</v>
      </c>
      <c r="G121">
        <v>105</v>
      </c>
      <c r="H121" s="14"/>
    </row>
    <row r="122" spans="1:8">
      <c r="A122" t="s">
        <v>80</v>
      </c>
      <c r="B122" t="s">
        <v>47</v>
      </c>
      <c r="C122" t="s">
        <v>51</v>
      </c>
      <c r="D122" t="s">
        <v>403</v>
      </c>
      <c r="E122">
        <v>2026</v>
      </c>
      <c r="F122">
        <v>12</v>
      </c>
      <c r="G122">
        <v>105</v>
      </c>
      <c r="H122" s="14"/>
    </row>
    <row r="123" spans="1:8">
      <c r="A123" t="s">
        <v>95</v>
      </c>
      <c r="B123" t="s">
        <v>47</v>
      </c>
      <c r="C123" t="s">
        <v>51</v>
      </c>
      <c r="D123" t="s">
        <v>247</v>
      </c>
      <c r="E123">
        <v>2026</v>
      </c>
      <c r="F123">
        <v>17</v>
      </c>
      <c r="G123">
        <v>86</v>
      </c>
      <c r="H123" s="14"/>
    </row>
    <row r="124" spans="1:8">
      <c r="A124" t="s">
        <v>95</v>
      </c>
      <c r="B124" t="s">
        <v>47</v>
      </c>
      <c r="C124" t="s">
        <v>51</v>
      </c>
      <c r="D124" t="s">
        <v>278</v>
      </c>
      <c r="E124">
        <v>2026</v>
      </c>
      <c r="F124">
        <v>33</v>
      </c>
      <c r="G124">
        <v>86</v>
      </c>
      <c r="H124" s="14"/>
    </row>
    <row r="125" spans="1:8">
      <c r="A125" t="s">
        <v>95</v>
      </c>
      <c r="B125" t="s">
        <v>47</v>
      </c>
      <c r="C125" t="s">
        <v>51</v>
      </c>
      <c r="D125" t="s">
        <v>293</v>
      </c>
      <c r="E125">
        <v>2026</v>
      </c>
      <c r="F125">
        <v>3</v>
      </c>
      <c r="G125">
        <v>86</v>
      </c>
      <c r="H125" s="14"/>
    </row>
    <row r="126" spans="1:8">
      <c r="A126" t="s">
        <v>95</v>
      </c>
      <c r="B126" t="s">
        <v>47</v>
      </c>
      <c r="C126" t="s">
        <v>51</v>
      </c>
      <c r="D126" t="s">
        <v>311</v>
      </c>
      <c r="E126">
        <v>2026</v>
      </c>
      <c r="F126">
        <v>4</v>
      </c>
      <c r="G126">
        <v>86</v>
      </c>
      <c r="H126" s="14"/>
    </row>
    <row r="127" spans="1:8">
      <c r="A127" t="s">
        <v>95</v>
      </c>
      <c r="B127" t="s">
        <v>47</v>
      </c>
      <c r="C127" t="s">
        <v>51</v>
      </c>
      <c r="D127" t="s">
        <v>327</v>
      </c>
      <c r="E127">
        <v>2026</v>
      </c>
      <c r="F127">
        <v>6</v>
      </c>
      <c r="G127">
        <v>86</v>
      </c>
      <c r="H127" s="14"/>
    </row>
    <row r="128" spans="1:8">
      <c r="A128" t="s">
        <v>95</v>
      </c>
      <c r="B128" t="s">
        <v>47</v>
      </c>
      <c r="C128" t="s">
        <v>51</v>
      </c>
      <c r="D128" t="s">
        <v>381</v>
      </c>
      <c r="E128">
        <v>2026</v>
      </c>
      <c r="F128">
        <v>5</v>
      </c>
      <c r="G128">
        <v>86</v>
      </c>
      <c r="H128" s="14"/>
    </row>
    <row r="129" spans="1:8">
      <c r="A129" t="s">
        <v>95</v>
      </c>
      <c r="B129" t="s">
        <v>47</v>
      </c>
      <c r="C129" t="s">
        <v>51</v>
      </c>
      <c r="D129" t="s">
        <v>392</v>
      </c>
      <c r="E129">
        <v>2026</v>
      </c>
      <c r="F129">
        <v>11</v>
      </c>
      <c r="G129">
        <v>86</v>
      </c>
      <c r="H129" s="14"/>
    </row>
    <row r="130" spans="1:8">
      <c r="A130" t="s">
        <v>95</v>
      </c>
      <c r="B130" t="s">
        <v>47</v>
      </c>
      <c r="C130" t="s">
        <v>51</v>
      </c>
      <c r="D130" t="s">
        <v>355</v>
      </c>
      <c r="E130">
        <v>2026</v>
      </c>
      <c r="F130">
        <v>10</v>
      </c>
      <c r="G130">
        <v>86</v>
      </c>
      <c r="H130" s="14"/>
    </row>
    <row r="131" spans="1:8">
      <c r="A131" t="s">
        <v>81</v>
      </c>
      <c r="B131" t="s">
        <v>47</v>
      </c>
      <c r="C131" t="s">
        <v>51</v>
      </c>
      <c r="D131" t="s">
        <v>247</v>
      </c>
      <c r="E131">
        <v>2026</v>
      </c>
      <c r="F131">
        <v>3</v>
      </c>
      <c r="G131">
        <v>55</v>
      </c>
      <c r="H131" s="14"/>
    </row>
    <row r="132" spans="1:8">
      <c r="A132" t="s">
        <v>81</v>
      </c>
      <c r="B132" t="s">
        <v>47</v>
      </c>
      <c r="C132" t="s">
        <v>51</v>
      </c>
      <c r="D132" t="s">
        <v>278</v>
      </c>
      <c r="E132">
        <v>2026</v>
      </c>
      <c r="F132">
        <v>5</v>
      </c>
      <c r="G132">
        <v>55</v>
      </c>
      <c r="H132" s="14"/>
    </row>
    <row r="133" spans="1:8">
      <c r="A133" t="s">
        <v>81</v>
      </c>
      <c r="B133" t="s">
        <v>47</v>
      </c>
      <c r="C133" t="s">
        <v>51</v>
      </c>
      <c r="D133" t="s">
        <v>293</v>
      </c>
      <c r="E133">
        <v>2026</v>
      </c>
      <c r="F133">
        <v>2</v>
      </c>
      <c r="G133">
        <v>55</v>
      </c>
      <c r="H133" s="14"/>
    </row>
    <row r="134" spans="1:8">
      <c r="A134" t="s">
        <v>81</v>
      </c>
      <c r="B134" t="s">
        <v>47</v>
      </c>
      <c r="C134" t="s">
        <v>51</v>
      </c>
      <c r="D134" t="s">
        <v>327</v>
      </c>
      <c r="E134">
        <v>2026</v>
      </c>
      <c r="F134">
        <v>16</v>
      </c>
      <c r="G134">
        <v>55</v>
      </c>
      <c r="H134" s="14"/>
    </row>
    <row r="135" spans="1:8">
      <c r="A135" t="s">
        <v>81</v>
      </c>
      <c r="B135" t="s">
        <v>47</v>
      </c>
      <c r="C135" t="s">
        <v>51</v>
      </c>
      <c r="D135" t="s">
        <v>355</v>
      </c>
      <c r="E135">
        <v>2026</v>
      </c>
      <c r="F135">
        <v>9</v>
      </c>
      <c r="G135">
        <v>55</v>
      </c>
      <c r="H135" s="14"/>
    </row>
    <row r="136" spans="1:8">
      <c r="A136" t="s">
        <v>81</v>
      </c>
      <c r="B136" t="s">
        <v>47</v>
      </c>
      <c r="C136" t="s">
        <v>51</v>
      </c>
      <c r="D136" t="s">
        <v>702</v>
      </c>
      <c r="E136">
        <v>2026</v>
      </c>
      <c r="F136">
        <v>9</v>
      </c>
      <c r="G136">
        <v>55</v>
      </c>
      <c r="H136" s="14"/>
    </row>
    <row r="137" spans="1:8">
      <c r="A137" t="s">
        <v>81</v>
      </c>
      <c r="B137" t="s">
        <v>47</v>
      </c>
      <c r="C137" t="s">
        <v>51</v>
      </c>
      <c r="D137" t="s">
        <v>381</v>
      </c>
      <c r="E137">
        <v>2026</v>
      </c>
      <c r="F137">
        <v>5</v>
      </c>
      <c r="G137">
        <v>55</v>
      </c>
      <c r="H137" s="14"/>
    </row>
    <row r="138" spans="1:8">
      <c r="A138" t="s">
        <v>81</v>
      </c>
      <c r="B138" t="s">
        <v>47</v>
      </c>
      <c r="C138" t="s">
        <v>51</v>
      </c>
      <c r="D138" t="s">
        <v>403</v>
      </c>
      <c r="E138">
        <v>2026</v>
      </c>
      <c r="F138">
        <v>6</v>
      </c>
      <c r="G138">
        <v>55</v>
      </c>
      <c r="H138" s="14"/>
    </row>
    <row r="139" spans="1:8">
      <c r="A139" t="s">
        <v>82</v>
      </c>
      <c r="B139" t="s">
        <v>47</v>
      </c>
      <c r="C139" t="s">
        <v>51</v>
      </c>
      <c r="D139" t="s">
        <v>247</v>
      </c>
      <c r="E139">
        <v>2026</v>
      </c>
      <c r="F139">
        <v>10</v>
      </c>
      <c r="G139">
        <v>60</v>
      </c>
      <c r="H139" s="14"/>
    </row>
    <row r="140" spans="1:8">
      <c r="A140" t="s">
        <v>82</v>
      </c>
      <c r="B140" t="s">
        <v>47</v>
      </c>
      <c r="C140" t="s">
        <v>51</v>
      </c>
      <c r="D140" t="s">
        <v>278</v>
      </c>
      <c r="E140">
        <v>2026</v>
      </c>
      <c r="F140">
        <v>19</v>
      </c>
      <c r="G140">
        <v>60</v>
      </c>
      <c r="H140" s="14"/>
    </row>
    <row r="141" spans="1:8">
      <c r="A141" t="s">
        <v>82</v>
      </c>
      <c r="B141" t="s">
        <v>47</v>
      </c>
      <c r="C141" t="s">
        <v>51</v>
      </c>
      <c r="D141" t="s">
        <v>327</v>
      </c>
      <c r="E141">
        <v>2026</v>
      </c>
      <c r="F141">
        <v>18</v>
      </c>
      <c r="G141">
        <v>60</v>
      </c>
      <c r="H141" s="14"/>
    </row>
    <row r="142" spans="1:8">
      <c r="A142" t="s">
        <v>82</v>
      </c>
      <c r="B142" t="s">
        <v>47</v>
      </c>
      <c r="C142" t="s">
        <v>51</v>
      </c>
      <c r="D142" t="s">
        <v>381</v>
      </c>
      <c r="E142">
        <v>2026</v>
      </c>
      <c r="F142">
        <v>0</v>
      </c>
      <c r="G142">
        <v>60</v>
      </c>
      <c r="H142" s="29">
        <v>8.0000000000000004E-4</v>
      </c>
    </row>
    <row r="143" spans="1:8">
      <c r="A143" t="s">
        <v>82</v>
      </c>
      <c r="B143" t="s">
        <v>47</v>
      </c>
      <c r="C143" t="s">
        <v>51</v>
      </c>
      <c r="D143" t="s">
        <v>403</v>
      </c>
      <c r="E143">
        <v>2026</v>
      </c>
      <c r="F143">
        <v>13</v>
      </c>
      <c r="G143">
        <v>60</v>
      </c>
      <c r="H143" s="14"/>
    </row>
    <row r="144" spans="1:8">
      <c r="A144" t="s">
        <v>84</v>
      </c>
      <c r="B144" t="s">
        <v>47</v>
      </c>
      <c r="C144" t="s">
        <v>51</v>
      </c>
      <c r="D144" t="s">
        <v>247</v>
      </c>
      <c r="E144">
        <v>2026</v>
      </c>
      <c r="F144">
        <v>8</v>
      </c>
      <c r="G144">
        <v>114</v>
      </c>
      <c r="H144" s="14"/>
    </row>
    <row r="145" spans="1:8">
      <c r="A145" t="s">
        <v>84</v>
      </c>
      <c r="B145" t="s">
        <v>47</v>
      </c>
      <c r="C145" t="s">
        <v>51</v>
      </c>
      <c r="D145" t="s">
        <v>278</v>
      </c>
      <c r="E145">
        <v>2026</v>
      </c>
      <c r="F145">
        <v>17</v>
      </c>
      <c r="G145">
        <v>114</v>
      </c>
      <c r="H145" s="14"/>
    </row>
    <row r="146" spans="1:8">
      <c r="A146" t="s">
        <v>84</v>
      </c>
      <c r="B146" t="s">
        <v>47</v>
      </c>
      <c r="C146" t="s">
        <v>51</v>
      </c>
      <c r="D146" t="s">
        <v>311</v>
      </c>
      <c r="E146">
        <v>2026</v>
      </c>
      <c r="F146">
        <v>18</v>
      </c>
      <c r="G146">
        <v>114</v>
      </c>
      <c r="H146" s="14"/>
    </row>
    <row r="147" spans="1:8">
      <c r="A147" t="s">
        <v>84</v>
      </c>
      <c r="B147" t="s">
        <v>47</v>
      </c>
      <c r="C147" t="s">
        <v>51</v>
      </c>
      <c r="D147" t="s">
        <v>327</v>
      </c>
      <c r="E147">
        <v>2026</v>
      </c>
      <c r="F147">
        <v>6</v>
      </c>
      <c r="G147">
        <v>114</v>
      </c>
      <c r="H147" s="14"/>
    </row>
    <row r="148" spans="1:8">
      <c r="A148" t="s">
        <v>84</v>
      </c>
      <c r="B148" t="s">
        <v>47</v>
      </c>
      <c r="C148" t="s">
        <v>51</v>
      </c>
      <c r="D148" t="s">
        <v>355</v>
      </c>
      <c r="E148">
        <v>2026</v>
      </c>
      <c r="F148">
        <v>22</v>
      </c>
      <c r="G148">
        <v>114</v>
      </c>
      <c r="H148" s="14"/>
    </row>
    <row r="149" spans="1:8">
      <c r="A149" t="s">
        <v>84</v>
      </c>
      <c r="B149" t="s">
        <v>47</v>
      </c>
      <c r="C149" t="s">
        <v>51</v>
      </c>
      <c r="D149" t="s">
        <v>702</v>
      </c>
      <c r="E149">
        <v>2026</v>
      </c>
      <c r="F149">
        <v>23</v>
      </c>
      <c r="G149">
        <v>114</v>
      </c>
      <c r="H149" s="14"/>
    </row>
    <row r="150" spans="1:8">
      <c r="A150" t="s">
        <v>84</v>
      </c>
      <c r="B150" t="s">
        <v>47</v>
      </c>
      <c r="C150" t="s">
        <v>51</v>
      </c>
      <c r="D150" t="s">
        <v>381</v>
      </c>
      <c r="E150">
        <v>2026</v>
      </c>
      <c r="F150">
        <v>10</v>
      </c>
      <c r="G150">
        <v>114</v>
      </c>
      <c r="H150" s="14"/>
    </row>
    <row r="151" spans="1:8">
      <c r="A151" t="s">
        <v>84</v>
      </c>
      <c r="B151" t="s">
        <v>47</v>
      </c>
      <c r="C151" t="s">
        <v>51</v>
      </c>
      <c r="D151" t="s">
        <v>403</v>
      </c>
      <c r="E151">
        <v>2026</v>
      </c>
      <c r="F151">
        <v>10</v>
      </c>
      <c r="G151">
        <v>114</v>
      </c>
      <c r="H151" s="14"/>
    </row>
    <row r="152" spans="1:8">
      <c r="A152" t="s">
        <v>85</v>
      </c>
      <c r="B152" t="s">
        <v>47</v>
      </c>
      <c r="C152" t="s">
        <v>51</v>
      </c>
      <c r="D152" t="s">
        <v>247</v>
      </c>
      <c r="E152">
        <v>2026</v>
      </c>
      <c r="F152">
        <v>6</v>
      </c>
      <c r="G152">
        <v>71</v>
      </c>
      <c r="H152" s="14"/>
    </row>
    <row r="153" spans="1:8">
      <c r="A153" t="s">
        <v>85</v>
      </c>
      <c r="B153" t="s">
        <v>47</v>
      </c>
      <c r="C153" t="s">
        <v>51</v>
      </c>
      <c r="D153" t="s">
        <v>278</v>
      </c>
      <c r="E153">
        <v>2026</v>
      </c>
      <c r="F153">
        <v>18</v>
      </c>
      <c r="G153">
        <v>71</v>
      </c>
      <c r="H153" s="14"/>
    </row>
    <row r="154" spans="1:8">
      <c r="A154" t="s">
        <v>85</v>
      </c>
      <c r="B154" t="s">
        <v>47</v>
      </c>
      <c r="C154" t="s">
        <v>51</v>
      </c>
      <c r="D154" t="s">
        <v>327</v>
      </c>
      <c r="E154">
        <v>2026</v>
      </c>
      <c r="F154">
        <v>8</v>
      </c>
      <c r="G154">
        <v>71</v>
      </c>
      <c r="H154" s="14"/>
    </row>
    <row r="155" spans="1:8">
      <c r="A155" t="s">
        <v>85</v>
      </c>
      <c r="B155" t="s">
        <v>47</v>
      </c>
      <c r="C155" t="s">
        <v>51</v>
      </c>
      <c r="D155" t="s">
        <v>355</v>
      </c>
      <c r="E155">
        <v>2026</v>
      </c>
      <c r="F155">
        <v>22</v>
      </c>
      <c r="G155">
        <v>71</v>
      </c>
      <c r="H155" s="14"/>
    </row>
    <row r="156" spans="1:8">
      <c r="A156" t="s">
        <v>85</v>
      </c>
      <c r="B156" t="s">
        <v>47</v>
      </c>
      <c r="C156" t="s">
        <v>51</v>
      </c>
      <c r="D156" t="s">
        <v>702</v>
      </c>
      <c r="E156">
        <v>2026</v>
      </c>
      <c r="F156">
        <v>5</v>
      </c>
      <c r="G156">
        <v>71</v>
      </c>
      <c r="H156" s="14"/>
    </row>
    <row r="157" spans="1:8">
      <c r="A157" t="s">
        <v>85</v>
      </c>
      <c r="B157" t="s">
        <v>47</v>
      </c>
      <c r="C157" t="s">
        <v>51</v>
      </c>
      <c r="D157" t="s">
        <v>381</v>
      </c>
      <c r="E157">
        <v>2026</v>
      </c>
      <c r="F157">
        <v>5</v>
      </c>
      <c r="G157">
        <v>71</v>
      </c>
      <c r="H157" s="14"/>
    </row>
    <row r="158" spans="1:8">
      <c r="A158" t="s">
        <v>85</v>
      </c>
      <c r="B158" t="s">
        <v>47</v>
      </c>
      <c r="C158" t="s">
        <v>51</v>
      </c>
      <c r="D158" t="s">
        <v>403</v>
      </c>
      <c r="E158">
        <v>2026</v>
      </c>
      <c r="F158">
        <v>7</v>
      </c>
      <c r="G158">
        <v>71</v>
      </c>
      <c r="H158" s="14"/>
    </row>
    <row r="159" spans="1:8">
      <c r="A159" t="s">
        <v>86</v>
      </c>
      <c r="B159" t="s">
        <v>47</v>
      </c>
      <c r="C159" t="s">
        <v>51</v>
      </c>
      <c r="D159" t="s">
        <v>703</v>
      </c>
      <c r="E159">
        <v>2026</v>
      </c>
      <c r="F159">
        <v>9</v>
      </c>
      <c r="G159">
        <v>102</v>
      </c>
      <c r="H159" s="14"/>
    </row>
    <row r="160" spans="1:8">
      <c r="A160" t="s">
        <v>86</v>
      </c>
      <c r="B160" t="s">
        <v>47</v>
      </c>
      <c r="C160" t="s">
        <v>51</v>
      </c>
      <c r="D160" t="s">
        <v>247</v>
      </c>
      <c r="E160">
        <v>2026</v>
      </c>
      <c r="F160">
        <v>7</v>
      </c>
      <c r="G160">
        <v>102</v>
      </c>
      <c r="H160" s="14"/>
    </row>
    <row r="161" spans="1:8">
      <c r="A161" t="s">
        <v>86</v>
      </c>
      <c r="B161" t="s">
        <v>47</v>
      </c>
      <c r="C161" t="s">
        <v>51</v>
      </c>
      <c r="D161" t="s">
        <v>278</v>
      </c>
      <c r="E161">
        <v>2026</v>
      </c>
      <c r="F161">
        <v>20</v>
      </c>
      <c r="G161">
        <v>102</v>
      </c>
      <c r="H161" s="14"/>
    </row>
    <row r="162" spans="1:8">
      <c r="A162" t="s">
        <v>86</v>
      </c>
      <c r="B162" t="s">
        <v>47</v>
      </c>
      <c r="C162" t="s">
        <v>51</v>
      </c>
      <c r="D162" t="s">
        <v>311</v>
      </c>
      <c r="E162">
        <v>2026</v>
      </c>
      <c r="F162">
        <v>5</v>
      </c>
      <c r="G162">
        <v>102</v>
      </c>
      <c r="H162" s="14"/>
    </row>
    <row r="163" spans="1:8">
      <c r="A163" t="s">
        <v>86</v>
      </c>
      <c r="B163" t="s">
        <v>47</v>
      </c>
      <c r="C163" t="s">
        <v>51</v>
      </c>
      <c r="D163" t="s">
        <v>327</v>
      </c>
      <c r="E163">
        <v>2026</v>
      </c>
      <c r="F163">
        <v>16</v>
      </c>
      <c r="G163">
        <v>102</v>
      </c>
      <c r="H163" s="14"/>
    </row>
    <row r="164" spans="1:8">
      <c r="A164" t="s">
        <v>86</v>
      </c>
      <c r="B164" t="s">
        <v>47</v>
      </c>
      <c r="C164" t="s">
        <v>51</v>
      </c>
      <c r="D164" t="s">
        <v>355</v>
      </c>
      <c r="E164">
        <v>2026</v>
      </c>
      <c r="F164">
        <v>17</v>
      </c>
      <c r="G164">
        <v>102</v>
      </c>
      <c r="H164" s="14"/>
    </row>
    <row r="165" spans="1:8">
      <c r="A165" t="s">
        <v>86</v>
      </c>
      <c r="B165" t="s">
        <v>47</v>
      </c>
      <c r="C165" t="s">
        <v>51</v>
      </c>
      <c r="D165" t="s">
        <v>702</v>
      </c>
      <c r="E165">
        <v>2026</v>
      </c>
      <c r="F165">
        <v>18</v>
      </c>
      <c r="G165">
        <v>102</v>
      </c>
      <c r="H165" s="14"/>
    </row>
    <row r="166" spans="1:8">
      <c r="A166" t="s">
        <v>86</v>
      </c>
      <c r="B166" t="s">
        <v>47</v>
      </c>
      <c r="C166" t="s">
        <v>51</v>
      </c>
      <c r="D166" t="s">
        <v>381</v>
      </c>
      <c r="E166">
        <v>2026</v>
      </c>
      <c r="F166">
        <v>10</v>
      </c>
      <c r="G166">
        <v>102</v>
      </c>
      <c r="H166" s="14"/>
    </row>
    <row r="167" spans="1:8">
      <c r="A167" t="s">
        <v>87</v>
      </c>
      <c r="B167" t="s">
        <v>47</v>
      </c>
      <c r="C167" t="s">
        <v>51</v>
      </c>
      <c r="D167" t="s">
        <v>247</v>
      </c>
      <c r="E167">
        <v>2026</v>
      </c>
      <c r="F167">
        <v>8</v>
      </c>
      <c r="G167">
        <v>121</v>
      </c>
      <c r="H167" s="14"/>
    </row>
    <row r="168" spans="1:8">
      <c r="A168" t="s">
        <v>87</v>
      </c>
      <c r="B168" t="s">
        <v>47</v>
      </c>
      <c r="C168" t="s">
        <v>51</v>
      </c>
      <c r="D168" t="s">
        <v>278</v>
      </c>
      <c r="E168">
        <v>2026</v>
      </c>
      <c r="F168">
        <v>32</v>
      </c>
      <c r="G168">
        <v>121</v>
      </c>
      <c r="H168" s="14"/>
    </row>
    <row r="169" spans="1:8">
      <c r="A169" t="s">
        <v>87</v>
      </c>
      <c r="B169" t="s">
        <v>47</v>
      </c>
      <c r="C169" t="s">
        <v>51</v>
      </c>
      <c r="D169" t="s">
        <v>293</v>
      </c>
      <c r="E169">
        <v>2026</v>
      </c>
      <c r="F169">
        <v>12</v>
      </c>
      <c r="G169">
        <v>121</v>
      </c>
      <c r="H169" s="14"/>
    </row>
    <row r="170" spans="1:8">
      <c r="A170" t="s">
        <v>87</v>
      </c>
      <c r="B170" t="s">
        <v>47</v>
      </c>
      <c r="C170" t="s">
        <v>51</v>
      </c>
      <c r="D170" t="s">
        <v>327</v>
      </c>
      <c r="E170">
        <v>2026</v>
      </c>
      <c r="F170">
        <v>14</v>
      </c>
      <c r="G170">
        <v>121</v>
      </c>
      <c r="H170" s="14"/>
    </row>
    <row r="171" spans="1:8">
      <c r="A171" t="s">
        <v>87</v>
      </c>
      <c r="B171" t="s">
        <v>47</v>
      </c>
      <c r="C171" t="s">
        <v>51</v>
      </c>
      <c r="D171" t="s">
        <v>381</v>
      </c>
      <c r="E171">
        <v>2026</v>
      </c>
      <c r="F171">
        <v>14</v>
      </c>
      <c r="G171">
        <v>121</v>
      </c>
      <c r="H171" s="14"/>
    </row>
    <row r="172" spans="1:8">
      <c r="A172" t="s">
        <v>87</v>
      </c>
      <c r="B172" t="s">
        <v>47</v>
      </c>
      <c r="C172" t="s">
        <v>51</v>
      </c>
      <c r="D172" t="s">
        <v>392</v>
      </c>
      <c r="E172">
        <v>2026</v>
      </c>
      <c r="F172">
        <v>13</v>
      </c>
      <c r="G172">
        <v>121</v>
      </c>
      <c r="H172" s="14"/>
    </row>
    <row r="173" spans="1:8">
      <c r="A173" t="s">
        <v>87</v>
      </c>
      <c r="B173" t="s">
        <v>47</v>
      </c>
      <c r="C173" t="s">
        <v>51</v>
      </c>
      <c r="D173" t="s">
        <v>355</v>
      </c>
      <c r="E173">
        <v>2026</v>
      </c>
      <c r="F173">
        <v>15</v>
      </c>
      <c r="G173">
        <v>121</v>
      </c>
      <c r="H173" s="14"/>
    </row>
    <row r="174" spans="1:8">
      <c r="A174" t="s">
        <v>87</v>
      </c>
      <c r="B174" t="s">
        <v>47</v>
      </c>
      <c r="C174" t="s">
        <v>51</v>
      </c>
      <c r="D174" t="s">
        <v>403</v>
      </c>
      <c r="E174">
        <v>2026</v>
      </c>
      <c r="F174">
        <v>8</v>
      </c>
      <c r="G174">
        <v>121</v>
      </c>
      <c r="H174" s="14"/>
    </row>
    <row r="175" spans="1:8">
      <c r="A175" t="s">
        <v>87</v>
      </c>
      <c r="B175" t="s">
        <v>47</v>
      </c>
      <c r="C175" t="s">
        <v>51</v>
      </c>
      <c r="D175" t="s">
        <v>420</v>
      </c>
      <c r="E175">
        <v>2026</v>
      </c>
      <c r="F175">
        <v>5</v>
      </c>
      <c r="G175">
        <v>121</v>
      </c>
      <c r="H175" s="14"/>
    </row>
    <row r="176" spans="1:8">
      <c r="A176" t="s">
        <v>88</v>
      </c>
      <c r="B176" t="s">
        <v>47</v>
      </c>
      <c r="C176" t="s">
        <v>51</v>
      </c>
      <c r="D176" t="s">
        <v>247</v>
      </c>
      <c r="E176">
        <v>2026</v>
      </c>
      <c r="F176">
        <v>41</v>
      </c>
      <c r="G176">
        <v>291</v>
      </c>
      <c r="H176" s="14"/>
    </row>
    <row r="177" spans="1:8">
      <c r="A177" t="s">
        <v>88</v>
      </c>
      <c r="B177" t="s">
        <v>47</v>
      </c>
      <c r="C177" t="s">
        <v>51</v>
      </c>
      <c r="D177" t="s">
        <v>278</v>
      </c>
      <c r="E177">
        <v>2026</v>
      </c>
      <c r="F177">
        <v>57</v>
      </c>
      <c r="G177">
        <v>291</v>
      </c>
      <c r="H177" s="14"/>
    </row>
    <row r="178" spans="1:8">
      <c r="A178" t="s">
        <v>88</v>
      </c>
      <c r="B178" t="s">
        <v>47</v>
      </c>
      <c r="C178" t="s">
        <v>51</v>
      </c>
      <c r="D178" t="s">
        <v>327</v>
      </c>
      <c r="E178">
        <v>2026</v>
      </c>
      <c r="F178">
        <v>26</v>
      </c>
      <c r="G178">
        <v>291</v>
      </c>
      <c r="H178" s="14"/>
    </row>
    <row r="179" spans="1:8">
      <c r="A179" t="s">
        <v>88</v>
      </c>
      <c r="B179" t="s">
        <v>47</v>
      </c>
      <c r="C179" t="s">
        <v>51</v>
      </c>
      <c r="D179" t="s">
        <v>381</v>
      </c>
      <c r="E179">
        <v>2026</v>
      </c>
      <c r="F179">
        <v>55</v>
      </c>
      <c r="G179">
        <v>291</v>
      </c>
      <c r="H179" s="14"/>
    </row>
    <row r="180" spans="1:8">
      <c r="A180" t="s">
        <v>88</v>
      </c>
      <c r="B180" t="s">
        <v>47</v>
      </c>
      <c r="C180" t="s">
        <v>51</v>
      </c>
      <c r="D180" t="s">
        <v>355</v>
      </c>
      <c r="E180">
        <v>2026</v>
      </c>
      <c r="F180">
        <v>66</v>
      </c>
      <c r="G180">
        <v>291</v>
      </c>
      <c r="H180" s="14"/>
    </row>
    <row r="181" spans="1:8">
      <c r="A181" t="s">
        <v>88</v>
      </c>
      <c r="B181" t="s">
        <v>47</v>
      </c>
      <c r="C181" t="s">
        <v>51</v>
      </c>
      <c r="D181" t="s">
        <v>403</v>
      </c>
      <c r="E181">
        <v>2026</v>
      </c>
      <c r="F181">
        <v>33</v>
      </c>
      <c r="G181">
        <v>291</v>
      </c>
      <c r="H181" s="14"/>
    </row>
    <row r="182" spans="1:8">
      <c r="A182" t="s">
        <v>88</v>
      </c>
      <c r="B182" t="s">
        <v>47</v>
      </c>
      <c r="C182" t="s">
        <v>51</v>
      </c>
      <c r="D182" t="s">
        <v>420</v>
      </c>
      <c r="E182">
        <v>2026</v>
      </c>
      <c r="F182">
        <v>13</v>
      </c>
      <c r="G182">
        <v>291</v>
      </c>
      <c r="H182" s="14"/>
    </row>
    <row r="183" spans="1:8">
      <c r="A183" t="s">
        <v>94</v>
      </c>
      <c r="B183" t="s">
        <v>47</v>
      </c>
      <c r="C183" t="s">
        <v>51</v>
      </c>
      <c r="D183" t="s">
        <v>247</v>
      </c>
      <c r="E183">
        <v>2026</v>
      </c>
      <c r="F183">
        <v>6</v>
      </c>
      <c r="G183">
        <v>43</v>
      </c>
      <c r="H183" s="14"/>
    </row>
    <row r="184" spans="1:8">
      <c r="A184" t="s">
        <v>94</v>
      </c>
      <c r="B184" t="s">
        <v>47</v>
      </c>
      <c r="C184" t="s">
        <v>51</v>
      </c>
      <c r="D184" t="s">
        <v>293</v>
      </c>
      <c r="E184">
        <v>2026</v>
      </c>
      <c r="F184">
        <v>10</v>
      </c>
      <c r="G184">
        <v>43</v>
      </c>
      <c r="H184" s="14"/>
    </row>
    <row r="185" spans="1:8">
      <c r="A185" t="s">
        <v>94</v>
      </c>
      <c r="B185" t="s">
        <v>47</v>
      </c>
      <c r="C185" t="s">
        <v>51</v>
      </c>
      <c r="D185" t="s">
        <v>381</v>
      </c>
      <c r="E185">
        <v>2026</v>
      </c>
      <c r="F185">
        <v>4</v>
      </c>
      <c r="G185">
        <v>43</v>
      </c>
      <c r="H185" s="14"/>
    </row>
    <row r="186" spans="1:8">
      <c r="A186" t="s">
        <v>94</v>
      </c>
      <c r="B186" t="s">
        <v>47</v>
      </c>
      <c r="C186" t="s">
        <v>51</v>
      </c>
      <c r="D186" t="s">
        <v>392</v>
      </c>
      <c r="E186">
        <v>2026</v>
      </c>
      <c r="F186">
        <v>10</v>
      </c>
      <c r="G186">
        <v>43</v>
      </c>
      <c r="H186" s="14"/>
    </row>
    <row r="187" spans="1:8">
      <c r="A187" t="s">
        <v>94</v>
      </c>
      <c r="B187" t="s">
        <v>47</v>
      </c>
      <c r="C187" t="s">
        <v>51</v>
      </c>
      <c r="D187" t="s">
        <v>369</v>
      </c>
      <c r="E187">
        <v>2026</v>
      </c>
      <c r="F187">
        <v>3</v>
      </c>
      <c r="G187">
        <v>43</v>
      </c>
      <c r="H187" s="14"/>
    </row>
    <row r="188" spans="1:8">
      <c r="A188" t="s">
        <v>94</v>
      </c>
      <c r="B188" t="s">
        <v>47</v>
      </c>
      <c r="C188" t="s">
        <v>51</v>
      </c>
      <c r="D188" t="s">
        <v>403</v>
      </c>
      <c r="E188">
        <v>2026</v>
      </c>
      <c r="F188">
        <v>10</v>
      </c>
      <c r="G188">
        <v>43</v>
      </c>
      <c r="H188" s="14"/>
    </row>
    <row r="189" spans="1:8">
      <c r="A189" t="s">
        <v>89</v>
      </c>
      <c r="B189" t="s">
        <v>47</v>
      </c>
      <c r="C189" t="s">
        <v>51</v>
      </c>
      <c r="D189" t="s">
        <v>247</v>
      </c>
      <c r="E189">
        <v>2026</v>
      </c>
      <c r="F189">
        <v>17</v>
      </c>
      <c r="G189">
        <v>175</v>
      </c>
      <c r="H189" s="14"/>
    </row>
    <row r="190" spans="1:8">
      <c r="A190" t="s">
        <v>89</v>
      </c>
      <c r="B190" t="s">
        <v>47</v>
      </c>
      <c r="C190" t="s">
        <v>51</v>
      </c>
      <c r="D190" t="s">
        <v>278</v>
      </c>
      <c r="E190">
        <v>2026</v>
      </c>
      <c r="F190">
        <v>29</v>
      </c>
      <c r="G190">
        <v>175</v>
      </c>
      <c r="H190" s="14"/>
    </row>
    <row r="191" spans="1:8">
      <c r="A191" t="s">
        <v>89</v>
      </c>
      <c r="B191" t="s">
        <v>47</v>
      </c>
      <c r="C191" t="s">
        <v>51</v>
      </c>
      <c r="D191" t="s">
        <v>311</v>
      </c>
      <c r="E191">
        <v>2026</v>
      </c>
      <c r="F191">
        <v>4</v>
      </c>
      <c r="G191">
        <v>175</v>
      </c>
      <c r="H191" s="14"/>
    </row>
    <row r="192" spans="1:8">
      <c r="A192" t="s">
        <v>89</v>
      </c>
      <c r="B192" t="s">
        <v>47</v>
      </c>
      <c r="C192" t="s">
        <v>51</v>
      </c>
      <c r="D192" t="s">
        <v>327</v>
      </c>
      <c r="E192">
        <v>2026</v>
      </c>
      <c r="F192">
        <v>13</v>
      </c>
      <c r="G192">
        <v>175</v>
      </c>
      <c r="H192" s="14"/>
    </row>
    <row r="193" spans="1:8">
      <c r="A193" t="s">
        <v>89</v>
      </c>
      <c r="B193" t="s">
        <v>47</v>
      </c>
      <c r="C193" t="s">
        <v>51</v>
      </c>
      <c r="D193" t="s">
        <v>381</v>
      </c>
      <c r="E193">
        <v>2026</v>
      </c>
      <c r="F193">
        <v>24</v>
      </c>
      <c r="G193">
        <v>175</v>
      </c>
      <c r="H193" s="14"/>
    </row>
    <row r="194" spans="1:8">
      <c r="A194" t="s">
        <v>89</v>
      </c>
      <c r="B194" t="s">
        <v>47</v>
      </c>
      <c r="C194" t="s">
        <v>51</v>
      </c>
      <c r="D194" t="s">
        <v>392</v>
      </c>
      <c r="E194">
        <v>2026</v>
      </c>
      <c r="F194">
        <v>30</v>
      </c>
      <c r="G194">
        <v>175</v>
      </c>
      <c r="H194" s="14"/>
    </row>
    <row r="195" spans="1:8">
      <c r="A195" t="s">
        <v>89</v>
      </c>
      <c r="B195" t="s">
        <v>47</v>
      </c>
      <c r="C195" t="s">
        <v>51</v>
      </c>
      <c r="D195" t="s">
        <v>355</v>
      </c>
      <c r="E195">
        <v>2026</v>
      </c>
      <c r="F195">
        <v>25</v>
      </c>
      <c r="G195">
        <v>175</v>
      </c>
      <c r="H195" s="14"/>
    </row>
    <row r="196" spans="1:8">
      <c r="A196" t="s">
        <v>89</v>
      </c>
      <c r="B196" t="s">
        <v>47</v>
      </c>
      <c r="C196" t="s">
        <v>51</v>
      </c>
      <c r="D196" t="s">
        <v>403</v>
      </c>
      <c r="E196">
        <v>2026</v>
      </c>
      <c r="F196">
        <v>16</v>
      </c>
      <c r="G196">
        <v>175</v>
      </c>
      <c r="H196" s="14"/>
    </row>
    <row r="197" spans="1:8">
      <c r="A197" t="s">
        <v>89</v>
      </c>
      <c r="B197" t="s">
        <v>47</v>
      </c>
      <c r="C197" t="s">
        <v>51</v>
      </c>
      <c r="D197" t="s">
        <v>421</v>
      </c>
      <c r="E197">
        <v>2026</v>
      </c>
      <c r="F197">
        <v>17</v>
      </c>
      <c r="G197">
        <v>175</v>
      </c>
      <c r="H197" s="14"/>
    </row>
    <row r="198" spans="1:8">
      <c r="A198" t="s">
        <v>90</v>
      </c>
      <c r="B198" t="s">
        <v>47</v>
      </c>
      <c r="C198" t="s">
        <v>51</v>
      </c>
      <c r="D198" t="s">
        <v>247</v>
      </c>
      <c r="E198">
        <v>2026</v>
      </c>
      <c r="F198">
        <v>10</v>
      </c>
      <c r="G198">
        <v>73</v>
      </c>
      <c r="H198" s="14"/>
    </row>
    <row r="199" spans="1:8">
      <c r="A199" t="s">
        <v>90</v>
      </c>
      <c r="B199" t="s">
        <v>47</v>
      </c>
      <c r="C199" t="s">
        <v>51</v>
      </c>
      <c r="D199" t="s">
        <v>278</v>
      </c>
      <c r="E199">
        <v>2026</v>
      </c>
      <c r="F199">
        <v>11</v>
      </c>
      <c r="G199">
        <v>73</v>
      </c>
      <c r="H199" s="14"/>
    </row>
    <row r="200" spans="1:8">
      <c r="A200" t="s">
        <v>90</v>
      </c>
      <c r="B200" t="s">
        <v>47</v>
      </c>
      <c r="C200" t="s">
        <v>51</v>
      </c>
      <c r="D200" t="s">
        <v>311</v>
      </c>
      <c r="E200">
        <v>2026</v>
      </c>
      <c r="F200">
        <v>5</v>
      </c>
      <c r="G200">
        <v>73</v>
      </c>
      <c r="H200" s="14"/>
    </row>
    <row r="201" spans="1:8">
      <c r="A201" t="s">
        <v>90</v>
      </c>
      <c r="B201" t="s">
        <v>47</v>
      </c>
      <c r="C201" t="s">
        <v>51</v>
      </c>
      <c r="D201" t="s">
        <v>327</v>
      </c>
      <c r="E201">
        <v>2026</v>
      </c>
      <c r="F201">
        <v>11</v>
      </c>
      <c r="G201">
        <v>73</v>
      </c>
      <c r="H201" s="14"/>
    </row>
    <row r="202" spans="1:8">
      <c r="A202" t="s">
        <v>90</v>
      </c>
      <c r="B202" t="s">
        <v>47</v>
      </c>
      <c r="C202" t="s">
        <v>51</v>
      </c>
      <c r="D202" t="s">
        <v>381</v>
      </c>
      <c r="E202">
        <v>2026</v>
      </c>
      <c r="F202">
        <v>6</v>
      </c>
      <c r="G202">
        <v>73</v>
      </c>
      <c r="H202" s="14"/>
    </row>
    <row r="203" spans="1:8">
      <c r="A203" t="s">
        <v>90</v>
      </c>
      <c r="B203" t="s">
        <v>47</v>
      </c>
      <c r="C203" t="s">
        <v>51</v>
      </c>
      <c r="D203" t="s">
        <v>392</v>
      </c>
      <c r="E203">
        <v>2026</v>
      </c>
      <c r="F203">
        <v>12</v>
      </c>
      <c r="G203">
        <v>73</v>
      </c>
      <c r="H203" s="14"/>
    </row>
    <row r="204" spans="1:8">
      <c r="A204" t="s">
        <v>90</v>
      </c>
      <c r="B204" t="s">
        <v>47</v>
      </c>
      <c r="C204" t="s">
        <v>51</v>
      </c>
      <c r="D204" t="s">
        <v>355</v>
      </c>
      <c r="E204">
        <v>2026</v>
      </c>
      <c r="F204">
        <v>12</v>
      </c>
      <c r="G204">
        <v>73</v>
      </c>
      <c r="H204" s="14"/>
    </row>
    <row r="205" spans="1:8">
      <c r="A205" t="s">
        <v>90</v>
      </c>
      <c r="B205" t="s">
        <v>47</v>
      </c>
      <c r="C205" t="s">
        <v>51</v>
      </c>
      <c r="D205" t="s">
        <v>403</v>
      </c>
      <c r="E205">
        <v>2026</v>
      </c>
      <c r="F205">
        <v>6</v>
      </c>
      <c r="G205">
        <v>73</v>
      </c>
      <c r="H205" s="14"/>
    </row>
    <row r="206" spans="1:8">
      <c r="A206" t="s">
        <v>91</v>
      </c>
      <c r="B206" t="s">
        <v>47</v>
      </c>
      <c r="C206" t="s">
        <v>51</v>
      </c>
      <c r="D206" t="s">
        <v>247</v>
      </c>
      <c r="E206">
        <v>2026</v>
      </c>
      <c r="F206">
        <v>16</v>
      </c>
      <c r="G206">
        <v>117</v>
      </c>
      <c r="H206" s="14"/>
    </row>
    <row r="207" spans="1:8">
      <c r="A207" t="s">
        <v>91</v>
      </c>
      <c r="B207" t="s">
        <v>47</v>
      </c>
      <c r="C207" t="s">
        <v>51</v>
      </c>
      <c r="D207" t="s">
        <v>278</v>
      </c>
      <c r="E207">
        <v>2026</v>
      </c>
      <c r="F207">
        <v>26</v>
      </c>
      <c r="G207">
        <v>117</v>
      </c>
      <c r="H207" s="14"/>
    </row>
    <row r="208" spans="1:8">
      <c r="A208" t="s">
        <v>91</v>
      </c>
      <c r="B208" t="s">
        <v>47</v>
      </c>
      <c r="C208" t="s">
        <v>51</v>
      </c>
      <c r="D208" t="s">
        <v>327</v>
      </c>
      <c r="E208">
        <v>2026</v>
      </c>
      <c r="F208">
        <v>19</v>
      </c>
      <c r="G208">
        <v>117</v>
      </c>
      <c r="H208" s="14"/>
    </row>
    <row r="209" spans="1:8">
      <c r="A209" t="s">
        <v>91</v>
      </c>
      <c r="B209" t="s">
        <v>47</v>
      </c>
      <c r="C209" t="s">
        <v>51</v>
      </c>
      <c r="D209" t="s">
        <v>381</v>
      </c>
      <c r="E209">
        <v>2026</v>
      </c>
      <c r="F209">
        <v>16</v>
      </c>
      <c r="G209">
        <v>117</v>
      </c>
      <c r="H209" s="14"/>
    </row>
    <row r="210" spans="1:8">
      <c r="A210" t="s">
        <v>91</v>
      </c>
      <c r="B210" t="s">
        <v>47</v>
      </c>
      <c r="C210" t="s">
        <v>51</v>
      </c>
      <c r="D210" t="s">
        <v>392</v>
      </c>
      <c r="E210">
        <v>2026</v>
      </c>
      <c r="F210">
        <v>21</v>
      </c>
      <c r="G210">
        <v>117</v>
      </c>
      <c r="H210" s="14"/>
    </row>
    <row r="211" spans="1:8">
      <c r="A211" t="s">
        <v>91</v>
      </c>
      <c r="B211" t="s">
        <v>47</v>
      </c>
      <c r="C211" t="s">
        <v>51</v>
      </c>
      <c r="D211" t="s">
        <v>355</v>
      </c>
      <c r="E211">
        <v>2026</v>
      </c>
      <c r="F211">
        <v>19</v>
      </c>
      <c r="G211">
        <v>117</v>
      </c>
      <c r="H211" s="14"/>
    </row>
    <row r="212" spans="1:8">
      <c r="A212" t="s">
        <v>93</v>
      </c>
      <c r="B212" t="s">
        <v>47</v>
      </c>
      <c r="C212" t="s">
        <v>51</v>
      </c>
      <c r="D212" t="s">
        <v>247</v>
      </c>
      <c r="E212">
        <v>2026</v>
      </c>
      <c r="F212">
        <v>4</v>
      </c>
      <c r="G212">
        <v>55</v>
      </c>
      <c r="H212" s="14"/>
    </row>
    <row r="213" spans="1:8">
      <c r="A213" t="s">
        <v>93</v>
      </c>
      <c r="B213" t="s">
        <v>47</v>
      </c>
      <c r="C213" t="s">
        <v>51</v>
      </c>
      <c r="D213" t="s">
        <v>278</v>
      </c>
      <c r="E213">
        <v>2026</v>
      </c>
      <c r="F213">
        <v>3</v>
      </c>
      <c r="G213">
        <v>55</v>
      </c>
      <c r="H213" s="14"/>
    </row>
    <row r="214" spans="1:8">
      <c r="A214" t="s">
        <v>93</v>
      </c>
      <c r="B214" t="s">
        <v>47</v>
      </c>
      <c r="C214" t="s">
        <v>51</v>
      </c>
      <c r="D214" t="s">
        <v>293</v>
      </c>
      <c r="E214">
        <v>2026</v>
      </c>
      <c r="F214">
        <v>6</v>
      </c>
      <c r="G214">
        <v>55</v>
      </c>
      <c r="H214" s="14"/>
    </row>
    <row r="215" spans="1:8">
      <c r="A215" t="s">
        <v>93</v>
      </c>
      <c r="B215" t="s">
        <v>47</v>
      </c>
      <c r="C215" t="s">
        <v>51</v>
      </c>
      <c r="D215" t="s">
        <v>302</v>
      </c>
      <c r="E215">
        <v>2026</v>
      </c>
      <c r="F215">
        <v>17</v>
      </c>
      <c r="G215">
        <v>55</v>
      </c>
      <c r="H215" s="14"/>
    </row>
    <row r="216" spans="1:8">
      <c r="A216" t="s">
        <v>93</v>
      </c>
      <c r="B216" t="s">
        <v>47</v>
      </c>
      <c r="C216" t="s">
        <v>51</v>
      </c>
      <c r="D216" t="s">
        <v>311</v>
      </c>
      <c r="E216">
        <v>2026</v>
      </c>
      <c r="F216">
        <v>3</v>
      </c>
      <c r="G216">
        <v>55</v>
      </c>
      <c r="H216" s="14"/>
    </row>
    <row r="217" spans="1:8">
      <c r="A217" t="s">
        <v>93</v>
      </c>
      <c r="B217" t="s">
        <v>47</v>
      </c>
      <c r="C217" t="s">
        <v>51</v>
      </c>
      <c r="D217" t="s">
        <v>381</v>
      </c>
      <c r="E217">
        <v>2026</v>
      </c>
      <c r="F217">
        <v>6</v>
      </c>
      <c r="G217">
        <v>55</v>
      </c>
      <c r="H217" s="14"/>
    </row>
    <row r="218" spans="1:8">
      <c r="A218" t="s">
        <v>93</v>
      </c>
      <c r="B218" t="s">
        <v>47</v>
      </c>
      <c r="C218" t="s">
        <v>51</v>
      </c>
      <c r="D218" t="s">
        <v>355</v>
      </c>
      <c r="E218">
        <v>2026</v>
      </c>
      <c r="F218">
        <v>10</v>
      </c>
      <c r="G218">
        <v>55</v>
      </c>
      <c r="H218" s="14"/>
    </row>
    <row r="219" spans="1:8">
      <c r="A219" t="s">
        <v>93</v>
      </c>
      <c r="B219" t="s">
        <v>47</v>
      </c>
      <c r="C219" t="s">
        <v>51</v>
      </c>
      <c r="D219" t="s">
        <v>403</v>
      </c>
      <c r="E219">
        <v>2026</v>
      </c>
      <c r="F219">
        <v>6</v>
      </c>
      <c r="G219">
        <v>55</v>
      </c>
      <c r="H219" s="14"/>
    </row>
    <row r="220" spans="1:8">
      <c r="A220" t="s">
        <v>92</v>
      </c>
      <c r="B220" t="s">
        <v>47</v>
      </c>
      <c r="C220" t="s">
        <v>51</v>
      </c>
      <c r="D220" t="s">
        <v>247</v>
      </c>
      <c r="E220">
        <v>2026</v>
      </c>
      <c r="F220">
        <v>21</v>
      </c>
      <c r="G220">
        <v>112</v>
      </c>
      <c r="H220" s="14"/>
    </row>
    <row r="221" spans="1:8">
      <c r="A221" t="s">
        <v>92</v>
      </c>
      <c r="B221" t="s">
        <v>47</v>
      </c>
      <c r="C221" t="s">
        <v>51</v>
      </c>
      <c r="D221" t="s">
        <v>278</v>
      </c>
      <c r="E221">
        <v>2026</v>
      </c>
      <c r="F221">
        <v>24</v>
      </c>
      <c r="G221">
        <v>112</v>
      </c>
      <c r="H221" s="14"/>
    </row>
    <row r="222" spans="1:8">
      <c r="A222" t="s">
        <v>92</v>
      </c>
      <c r="B222" t="s">
        <v>47</v>
      </c>
      <c r="C222" t="s">
        <v>51</v>
      </c>
      <c r="D222" t="s">
        <v>327</v>
      </c>
      <c r="E222">
        <v>2026</v>
      </c>
      <c r="F222">
        <v>13</v>
      </c>
      <c r="G222">
        <v>112</v>
      </c>
      <c r="H222" s="14"/>
    </row>
    <row r="223" spans="1:8">
      <c r="A223" t="s">
        <v>92</v>
      </c>
      <c r="B223" t="s">
        <v>47</v>
      </c>
      <c r="C223" t="s">
        <v>51</v>
      </c>
      <c r="D223" t="s">
        <v>381</v>
      </c>
      <c r="E223">
        <v>2026</v>
      </c>
      <c r="F223">
        <v>16</v>
      </c>
      <c r="G223">
        <v>112</v>
      </c>
      <c r="H223" s="14"/>
    </row>
    <row r="224" spans="1:8">
      <c r="A224" t="s">
        <v>92</v>
      </c>
      <c r="B224" t="s">
        <v>47</v>
      </c>
      <c r="C224" t="s">
        <v>51</v>
      </c>
      <c r="D224" t="s">
        <v>355</v>
      </c>
      <c r="E224">
        <v>2026</v>
      </c>
      <c r="F224">
        <v>22</v>
      </c>
      <c r="G224">
        <v>112</v>
      </c>
      <c r="H224" s="14"/>
    </row>
    <row r="225" spans="1:8">
      <c r="A225" t="s">
        <v>92</v>
      </c>
      <c r="B225" t="s">
        <v>47</v>
      </c>
      <c r="C225" t="s">
        <v>51</v>
      </c>
      <c r="D225" t="s">
        <v>403</v>
      </c>
      <c r="E225">
        <v>2026</v>
      </c>
      <c r="F225">
        <v>16</v>
      </c>
      <c r="G225">
        <v>112</v>
      </c>
      <c r="H225" s="14"/>
    </row>
    <row r="226" spans="1:8">
      <c r="A226" t="s">
        <v>56</v>
      </c>
      <c r="B226" t="s">
        <v>47</v>
      </c>
      <c r="C226" t="s">
        <v>51</v>
      </c>
      <c r="D226" t="s">
        <v>327</v>
      </c>
      <c r="E226">
        <v>2026</v>
      </c>
      <c r="F226" s="19">
        <v>7</v>
      </c>
      <c r="G226">
        <v>83</v>
      </c>
      <c r="H226" s="14"/>
    </row>
    <row r="227" spans="1:8">
      <c r="A227" t="s">
        <v>56</v>
      </c>
      <c r="B227" t="s">
        <v>47</v>
      </c>
      <c r="C227" t="s">
        <v>51</v>
      </c>
      <c r="D227" t="s">
        <v>311</v>
      </c>
      <c r="E227">
        <v>2026</v>
      </c>
      <c r="F227">
        <v>3</v>
      </c>
      <c r="G227">
        <v>83</v>
      </c>
      <c r="H227" s="14"/>
    </row>
    <row r="228" spans="1:8">
      <c r="A228" t="s">
        <v>56</v>
      </c>
      <c r="B228" t="s">
        <v>47</v>
      </c>
      <c r="C228" t="s">
        <v>51</v>
      </c>
      <c r="D228" t="s">
        <v>355</v>
      </c>
      <c r="E228">
        <v>2026</v>
      </c>
      <c r="F228">
        <v>19</v>
      </c>
      <c r="G228">
        <v>83</v>
      </c>
      <c r="H228" s="14"/>
    </row>
    <row r="229" spans="1:8">
      <c r="A229" t="s">
        <v>56</v>
      </c>
      <c r="B229" t="s">
        <v>47</v>
      </c>
      <c r="C229" t="s">
        <v>51</v>
      </c>
      <c r="D229" t="s">
        <v>403</v>
      </c>
      <c r="E229">
        <v>2026</v>
      </c>
      <c r="F229">
        <v>7</v>
      </c>
      <c r="G229">
        <v>83</v>
      </c>
      <c r="H229" s="14"/>
    </row>
    <row r="230" spans="1:8">
      <c r="A230" t="s">
        <v>56</v>
      </c>
      <c r="B230" t="s">
        <v>47</v>
      </c>
      <c r="C230" t="s">
        <v>51</v>
      </c>
      <c r="D230" t="s">
        <v>247</v>
      </c>
      <c r="E230">
        <v>2026</v>
      </c>
      <c r="F230">
        <v>5</v>
      </c>
      <c r="G230">
        <v>83</v>
      </c>
      <c r="H230" s="14"/>
    </row>
    <row r="231" spans="1:8">
      <c r="A231" t="s">
        <v>56</v>
      </c>
      <c r="B231" t="s">
        <v>47</v>
      </c>
      <c r="C231" t="s">
        <v>51</v>
      </c>
      <c r="D231" t="s">
        <v>278</v>
      </c>
      <c r="E231">
        <v>2026</v>
      </c>
      <c r="F231">
        <v>14</v>
      </c>
      <c r="G231">
        <v>83</v>
      </c>
      <c r="H231" s="14"/>
    </row>
    <row r="232" spans="1:8">
      <c r="A232" t="s">
        <v>56</v>
      </c>
      <c r="B232" t="s">
        <v>47</v>
      </c>
      <c r="C232" t="s">
        <v>51</v>
      </c>
      <c r="D232" t="s">
        <v>293</v>
      </c>
      <c r="E232">
        <v>2026</v>
      </c>
      <c r="F232">
        <v>7</v>
      </c>
      <c r="G232">
        <v>83</v>
      </c>
      <c r="H232" s="14"/>
    </row>
    <row r="233" spans="1:8">
      <c r="A233" t="s">
        <v>56</v>
      </c>
      <c r="B233" t="s">
        <v>47</v>
      </c>
      <c r="C233" t="s">
        <v>51</v>
      </c>
      <c r="D233" t="s">
        <v>369</v>
      </c>
      <c r="E233">
        <v>2026</v>
      </c>
      <c r="G233">
        <v>83</v>
      </c>
      <c r="H233" s="14"/>
    </row>
    <row r="234" spans="1:8">
      <c r="A234" t="s">
        <v>56</v>
      </c>
      <c r="B234" t="s">
        <v>47</v>
      </c>
      <c r="C234" t="s">
        <v>51</v>
      </c>
      <c r="D234" t="s">
        <v>392</v>
      </c>
      <c r="E234">
        <v>2026</v>
      </c>
      <c r="F234">
        <v>9</v>
      </c>
      <c r="G234">
        <v>83</v>
      </c>
      <c r="H234" s="14"/>
    </row>
    <row r="235" spans="1:8">
      <c r="A235" t="s">
        <v>56</v>
      </c>
      <c r="B235" t="s">
        <v>47</v>
      </c>
      <c r="C235" t="s">
        <v>51</v>
      </c>
      <c r="D235" t="s">
        <v>381</v>
      </c>
      <c r="E235">
        <v>2026</v>
      </c>
      <c r="F235">
        <v>12</v>
      </c>
      <c r="G235">
        <v>83</v>
      </c>
      <c r="H235" s="14"/>
    </row>
    <row r="236" spans="1:8">
      <c r="H236" s="14"/>
    </row>
    <row r="237" spans="1:8">
      <c r="H237" s="14"/>
    </row>
    <row r="238" spans="1:8">
      <c r="H238" s="14"/>
    </row>
    <row r="239" spans="1:8">
      <c r="H239" s="14"/>
    </row>
    <row r="240" spans="1:8">
      <c r="H240" s="14"/>
    </row>
    <row r="241" spans="8:8">
      <c r="H241" s="14"/>
    </row>
    <row r="242" spans="8:8">
      <c r="H242" s="14"/>
    </row>
    <row r="243" spans="8:8">
      <c r="H243" s="14"/>
    </row>
    <row r="244" spans="8:8">
      <c r="H244" s="14"/>
    </row>
    <row r="245" spans="8:8">
      <c r="H245" s="14"/>
    </row>
    <row r="246" spans="8:8">
      <c r="H246" s="14"/>
    </row>
    <row r="247" spans="8:8">
      <c r="H247" s="14"/>
    </row>
    <row r="248" spans="8:8">
      <c r="H248" s="14"/>
    </row>
    <row r="249" spans="8:8">
      <c r="H249" s="14"/>
    </row>
    <row r="250" spans="8:8">
      <c r="H250" s="14"/>
    </row>
    <row r="251" spans="8:8">
      <c r="H251" s="14"/>
    </row>
    <row r="252" spans="8:8">
      <c r="H252" s="14"/>
    </row>
    <row r="253" spans="8:8">
      <c r="H253" s="14"/>
    </row>
    <row r="254" spans="8:8">
      <c r="H254" s="14"/>
    </row>
    <row r="255" spans="8:8">
      <c r="H255" s="14"/>
    </row>
    <row r="256" spans="8:8">
      <c r="H256" s="14"/>
    </row>
    <row r="257" spans="8:8">
      <c r="H257" s="14"/>
    </row>
    <row r="258" spans="8:8">
      <c r="H258" s="14"/>
    </row>
    <row r="259" spans="8:8">
      <c r="H259" s="14"/>
    </row>
    <row r="260" spans="8:8">
      <c r="H260" s="14"/>
    </row>
    <row r="261" spans="8:8">
      <c r="H261" s="14"/>
    </row>
    <row r="262" spans="8:8">
      <c r="H262" s="14"/>
    </row>
    <row r="263" spans="8:8">
      <c r="H263" s="14"/>
    </row>
    <row r="264" spans="8:8">
      <c r="H264" s="14"/>
    </row>
    <row r="265" spans="8:8">
      <c r="H265" s="14"/>
    </row>
    <row r="266" spans="8:8">
      <c r="H266" s="14"/>
    </row>
    <row r="267" spans="8:8">
      <c r="H267" s="14"/>
    </row>
    <row r="268" spans="8:8">
      <c r="H268" s="14"/>
    </row>
    <row r="269" spans="8:8">
      <c r="H269" s="14"/>
    </row>
    <row r="270" spans="8:8">
      <c r="H270" s="14"/>
    </row>
    <row r="271" spans="8:8">
      <c r="H271" s="14"/>
    </row>
    <row r="272" spans="8:8">
      <c r="H272" s="14"/>
    </row>
    <row r="273" spans="8:8">
      <c r="H273" s="14"/>
    </row>
    <row r="274" spans="8:8">
      <c r="H274" s="14"/>
    </row>
    <row r="275" spans="8:8">
      <c r="H275" s="14"/>
    </row>
    <row r="276" spans="8:8">
      <c r="H276" s="14"/>
    </row>
    <row r="277" spans="8:8">
      <c r="H277" s="14"/>
    </row>
    <row r="278" spans="8:8">
      <c r="H278" s="14"/>
    </row>
    <row r="279" spans="8:8">
      <c r="H279" s="14"/>
    </row>
    <row r="280" spans="8:8">
      <c r="H280" s="14"/>
    </row>
    <row r="281" spans="8:8">
      <c r="H281" s="14"/>
    </row>
    <row r="282" spans="8:8">
      <c r="H282" s="14"/>
    </row>
    <row r="283" spans="8:8">
      <c r="H283" s="14"/>
    </row>
    <row r="284" spans="8:8">
      <c r="H284" s="14"/>
    </row>
    <row r="285" spans="8:8">
      <c r="H285" s="14"/>
    </row>
    <row r="286" spans="8:8">
      <c r="H286" s="14"/>
    </row>
    <row r="287" spans="8:8">
      <c r="H287" s="14"/>
    </row>
    <row r="288" spans="8:8">
      <c r="H288" s="14"/>
    </row>
    <row r="289" spans="8:8">
      <c r="H289" s="14"/>
    </row>
    <row r="290" spans="8:8">
      <c r="H290" s="14"/>
    </row>
    <row r="291" spans="8:8">
      <c r="H291" s="14"/>
    </row>
    <row r="292" spans="8:8">
      <c r="H292" s="14"/>
    </row>
    <row r="293" spans="8:8">
      <c r="H293" s="14"/>
    </row>
    <row r="294" spans="8:8">
      <c r="H294" s="14"/>
    </row>
    <row r="295" spans="8:8">
      <c r="H295" s="14"/>
    </row>
    <row r="296" spans="8:8">
      <c r="H296" s="14"/>
    </row>
    <row r="297" spans="8:8">
      <c r="H297" s="14"/>
    </row>
    <row r="298" spans="8:8">
      <c r="H298" s="14"/>
    </row>
    <row r="299" spans="8:8">
      <c r="H299" s="14"/>
    </row>
    <row r="300" spans="8:8">
      <c r="H300" s="14"/>
    </row>
    <row r="301" spans="8:8">
      <c r="H301" s="14"/>
    </row>
    <row r="302" spans="8:8">
      <c r="H302" s="14"/>
    </row>
    <row r="303" spans="8:8">
      <c r="H303" s="14"/>
    </row>
    <row r="304" spans="8:8">
      <c r="H304" s="14"/>
    </row>
    <row r="305" spans="8:8">
      <c r="H305" s="14"/>
    </row>
    <row r="306" spans="8:8">
      <c r="H306" s="14"/>
    </row>
    <row r="307" spans="8:8">
      <c r="H307" s="14"/>
    </row>
    <row r="308" spans="8:8">
      <c r="H308" s="14"/>
    </row>
    <row r="309" spans="8:8">
      <c r="H309" s="14"/>
    </row>
    <row r="310" spans="8:8">
      <c r="H310" s="14"/>
    </row>
    <row r="311" spans="8:8">
      <c r="H311" s="14"/>
    </row>
    <row r="312" spans="8:8">
      <c r="H312" s="14"/>
    </row>
    <row r="313" spans="8:8">
      <c r="H313" s="14"/>
    </row>
    <row r="314" spans="8:8">
      <c r="H314" s="14"/>
    </row>
    <row r="315" spans="8:8">
      <c r="H315" s="14"/>
    </row>
    <row r="316" spans="8:8">
      <c r="H316" s="14"/>
    </row>
    <row r="317" spans="8:8">
      <c r="H317" s="14"/>
    </row>
    <row r="318" spans="8:8">
      <c r="H318" s="14"/>
    </row>
    <row r="319" spans="8:8">
      <c r="H319" s="14"/>
    </row>
    <row r="320" spans="8:8">
      <c r="H320" s="14"/>
    </row>
    <row r="321" spans="8:8">
      <c r="H321" s="14"/>
    </row>
    <row r="322" spans="8:8">
      <c r="H322" s="14"/>
    </row>
    <row r="323" spans="8:8">
      <c r="H323" s="14"/>
    </row>
    <row r="324" spans="8:8">
      <c r="H324" s="14"/>
    </row>
    <row r="325" spans="8:8">
      <c r="H325" s="14"/>
    </row>
    <row r="326" spans="8:8">
      <c r="H326" s="14"/>
    </row>
    <row r="327" spans="8:8">
      <c r="H327" s="14"/>
    </row>
    <row r="328" spans="8:8">
      <c r="H328" s="14"/>
    </row>
    <row r="329" spans="8:8">
      <c r="H329" s="14"/>
    </row>
    <row r="330" spans="8:8">
      <c r="H330" s="14"/>
    </row>
    <row r="331" spans="8:8">
      <c r="H331" s="14"/>
    </row>
    <row r="332" spans="8:8">
      <c r="H332" s="14"/>
    </row>
    <row r="333" spans="8:8">
      <c r="H333" s="14"/>
    </row>
    <row r="334" spans="8:8">
      <c r="H334" s="14"/>
    </row>
    <row r="335" spans="8:8">
      <c r="H335" s="14"/>
    </row>
    <row r="336" spans="8:8">
      <c r="H336" s="14"/>
    </row>
    <row r="337" spans="8:8">
      <c r="H337" s="14"/>
    </row>
    <row r="338" spans="8:8">
      <c r="H338" s="14"/>
    </row>
    <row r="339" spans="8:8">
      <c r="H339" s="14"/>
    </row>
    <row r="340" spans="8:8">
      <c r="H340" s="14"/>
    </row>
    <row r="341" spans="8:8">
      <c r="H341" s="14"/>
    </row>
    <row r="342" spans="8:8">
      <c r="H342" s="14"/>
    </row>
    <row r="343" spans="8:8">
      <c r="H343" s="14"/>
    </row>
    <row r="344" spans="8:8">
      <c r="H344" s="14"/>
    </row>
    <row r="345" spans="8:8">
      <c r="H345" s="14"/>
    </row>
    <row r="346" spans="8:8">
      <c r="H346" s="14"/>
    </row>
    <row r="347" spans="8:8">
      <c r="H347" s="14"/>
    </row>
    <row r="348" spans="8:8">
      <c r="H348" s="14"/>
    </row>
    <row r="349" spans="8:8">
      <c r="H349" s="14"/>
    </row>
    <row r="350" spans="8:8">
      <c r="H350" s="14"/>
    </row>
    <row r="351" spans="8:8">
      <c r="H351" s="14"/>
    </row>
    <row r="352" spans="8:8">
      <c r="H352" s="14"/>
    </row>
    <row r="353" spans="8:8">
      <c r="H353" s="14"/>
    </row>
    <row r="354" spans="8:8">
      <c r="H354" s="14"/>
    </row>
    <row r="355" spans="8:8">
      <c r="H355" s="14"/>
    </row>
    <row r="356" spans="8:8">
      <c r="H356" s="14"/>
    </row>
    <row r="357" spans="8:8">
      <c r="H357" s="14"/>
    </row>
    <row r="358" spans="8:8">
      <c r="H358" s="14"/>
    </row>
    <row r="359" spans="8:8">
      <c r="H359" s="14"/>
    </row>
    <row r="360" spans="8:8">
      <c r="H360" s="14"/>
    </row>
    <row r="361" spans="8:8">
      <c r="H361" s="14"/>
    </row>
    <row r="362" spans="8:8">
      <c r="H362" s="14"/>
    </row>
    <row r="363" spans="8:8">
      <c r="H363" s="14"/>
    </row>
    <row r="364" spans="8:8">
      <c r="H364" s="14"/>
    </row>
    <row r="365" spans="8:8">
      <c r="H365" s="14"/>
    </row>
    <row r="366" spans="8:8">
      <c r="H366" s="14"/>
    </row>
    <row r="367" spans="8:8">
      <c r="H367" s="14"/>
    </row>
    <row r="368" spans="8:8">
      <c r="H368" s="14"/>
    </row>
    <row r="369" spans="8:8">
      <c r="H369" s="14"/>
    </row>
    <row r="370" spans="8:8">
      <c r="H370" s="14"/>
    </row>
    <row r="371" spans="8:8">
      <c r="H371" s="14"/>
    </row>
    <row r="372" spans="8:8">
      <c r="H372" s="14"/>
    </row>
    <row r="373" spans="8:8">
      <c r="H373" s="14"/>
    </row>
    <row r="374" spans="8:8">
      <c r="H374" s="14"/>
    </row>
    <row r="375" spans="8:8">
      <c r="H375" s="14"/>
    </row>
    <row r="376" spans="8:8">
      <c r="H376" s="14"/>
    </row>
    <row r="377" spans="8:8">
      <c r="H377" s="14"/>
    </row>
    <row r="378" spans="8:8">
      <c r="H378" s="14"/>
    </row>
    <row r="379" spans="8:8">
      <c r="H379" s="14"/>
    </row>
    <row r="380" spans="8:8">
      <c r="H380" s="14"/>
    </row>
    <row r="381" spans="8:8">
      <c r="H381" s="14"/>
    </row>
    <row r="382" spans="8:8">
      <c r="H382" s="14"/>
    </row>
    <row r="383" spans="8:8">
      <c r="H383" s="14"/>
    </row>
    <row r="384" spans="8:8">
      <c r="H384" s="14"/>
    </row>
    <row r="385" spans="8:8">
      <c r="H385" s="14"/>
    </row>
    <row r="386" spans="8:8">
      <c r="H386" s="14"/>
    </row>
    <row r="387" spans="8:8">
      <c r="H387" s="14"/>
    </row>
    <row r="388" spans="8:8">
      <c r="H388" s="14"/>
    </row>
    <row r="389" spans="8:8">
      <c r="H389" s="14"/>
    </row>
    <row r="390" spans="8:8">
      <c r="H390" s="14"/>
    </row>
    <row r="391" spans="8:8">
      <c r="H391" s="14"/>
    </row>
    <row r="392" spans="8:8">
      <c r="H392" s="14"/>
    </row>
    <row r="393" spans="8:8">
      <c r="H393" s="14"/>
    </row>
    <row r="394" spans="8:8">
      <c r="H394" s="14"/>
    </row>
    <row r="395" spans="8:8">
      <c r="H395" s="14"/>
    </row>
    <row r="396" spans="8:8">
      <c r="H396" s="14"/>
    </row>
    <row r="397" spans="8:8">
      <c r="H397" s="14"/>
    </row>
    <row r="398" spans="8:8">
      <c r="H398" s="14"/>
    </row>
    <row r="399" spans="8:8">
      <c r="H399" s="14"/>
    </row>
    <row r="400" spans="8:8">
      <c r="H400" s="14"/>
    </row>
    <row r="401" spans="8:8">
      <c r="H401" s="14"/>
    </row>
    <row r="402" spans="8:8">
      <c r="H402" s="14"/>
    </row>
    <row r="403" spans="8:8">
      <c r="H403" s="14"/>
    </row>
    <row r="404" spans="8:8">
      <c r="H404" s="14"/>
    </row>
    <row r="405" spans="8:8">
      <c r="H405" s="14"/>
    </row>
    <row r="406" spans="8:8">
      <c r="H406" s="14"/>
    </row>
    <row r="407" spans="8:8">
      <c r="H407" s="14"/>
    </row>
    <row r="408" spans="8:8">
      <c r="H408" s="14"/>
    </row>
    <row r="409" spans="8:8">
      <c r="H409" s="14"/>
    </row>
    <row r="410" spans="8:8">
      <c r="H410" s="14"/>
    </row>
    <row r="411" spans="8:8">
      <c r="H411" s="14"/>
    </row>
    <row r="412" spans="8:8">
      <c r="H412" s="14"/>
    </row>
    <row r="413" spans="8:8">
      <c r="H413" s="14"/>
    </row>
    <row r="414" spans="8:8">
      <c r="H414" s="14"/>
    </row>
    <row r="415" spans="8:8">
      <c r="H415" s="14"/>
    </row>
    <row r="416" spans="8:8">
      <c r="H416" s="14"/>
    </row>
    <row r="417" spans="8:8">
      <c r="H417" s="14"/>
    </row>
    <row r="418" spans="8:8">
      <c r="H418" s="14"/>
    </row>
    <row r="419" spans="8:8">
      <c r="H419" s="14"/>
    </row>
    <row r="420" spans="8:8">
      <c r="H420" s="14"/>
    </row>
    <row r="421" spans="8:8">
      <c r="H421" s="14"/>
    </row>
    <row r="422" spans="8:8">
      <c r="H422" s="14"/>
    </row>
    <row r="423" spans="8:8">
      <c r="H423" s="14"/>
    </row>
    <row r="424" spans="8:8">
      <c r="H424" s="14"/>
    </row>
    <row r="425" spans="8:8">
      <c r="H425" s="14"/>
    </row>
    <row r="426" spans="8:8">
      <c r="H426" s="14"/>
    </row>
    <row r="427" spans="8:8">
      <c r="H427" s="14"/>
    </row>
    <row r="428" spans="8:8">
      <c r="H428" s="14"/>
    </row>
    <row r="429" spans="8:8">
      <c r="H429" s="14"/>
    </row>
    <row r="430" spans="8:8">
      <c r="H430" s="14"/>
    </row>
    <row r="431" spans="8:8">
      <c r="H431" s="14"/>
    </row>
    <row r="432" spans="8:8">
      <c r="H432" s="14"/>
    </row>
    <row r="433" spans="8:8">
      <c r="H433" s="14"/>
    </row>
    <row r="434" spans="8:8">
      <c r="H434" s="14"/>
    </row>
    <row r="435" spans="8:8">
      <c r="H435" s="14"/>
    </row>
    <row r="436" spans="8:8">
      <c r="H436" s="14"/>
    </row>
    <row r="437" spans="8:8">
      <c r="H437" s="14"/>
    </row>
    <row r="438" spans="8:8">
      <c r="H438" s="14"/>
    </row>
    <row r="439" spans="8:8">
      <c r="H439" s="14"/>
    </row>
    <row r="440" spans="8:8">
      <c r="H440" s="14"/>
    </row>
    <row r="441" spans="8:8">
      <c r="H441" s="14"/>
    </row>
    <row r="442" spans="8:8">
      <c r="H442" s="14"/>
    </row>
    <row r="443" spans="8:8">
      <c r="H443" s="14"/>
    </row>
    <row r="444" spans="8:8">
      <c r="H444" s="14"/>
    </row>
    <row r="445" spans="8:8">
      <c r="H445" s="14"/>
    </row>
    <row r="446" spans="8:8">
      <c r="H446" s="14"/>
    </row>
    <row r="447" spans="8:8">
      <c r="H447" s="14"/>
    </row>
    <row r="448" spans="8:8">
      <c r="H448" s="14"/>
    </row>
    <row r="449" spans="8:8">
      <c r="H449" s="14"/>
    </row>
    <row r="450" spans="8:8">
      <c r="H450" s="14"/>
    </row>
    <row r="451" spans="8:8">
      <c r="H451" s="14"/>
    </row>
    <row r="452" spans="8:8">
      <c r="H452" s="14"/>
    </row>
    <row r="453" spans="8:8">
      <c r="H453" s="14"/>
    </row>
    <row r="454" spans="8:8">
      <c r="H454" s="14"/>
    </row>
    <row r="455" spans="8:8">
      <c r="H455" s="14"/>
    </row>
    <row r="456" spans="8:8">
      <c r="H456" s="14"/>
    </row>
    <row r="457" spans="8:8">
      <c r="H457" s="14"/>
    </row>
    <row r="458" spans="8:8">
      <c r="H458" s="14"/>
    </row>
    <row r="459" spans="8:8">
      <c r="H459" s="14"/>
    </row>
    <row r="460" spans="8:8">
      <c r="H460" s="14"/>
    </row>
    <row r="461" spans="8:8">
      <c r="H461" s="14"/>
    </row>
    <row r="462" spans="8:8">
      <c r="H462" s="14"/>
    </row>
    <row r="463" spans="8:8">
      <c r="H463" s="14"/>
    </row>
    <row r="464" spans="8:8">
      <c r="H464" s="14"/>
    </row>
    <row r="465" spans="8:8">
      <c r="H465" s="14"/>
    </row>
    <row r="466" spans="8:8">
      <c r="H466" s="14"/>
    </row>
    <row r="467" spans="8:8">
      <c r="H467" s="14"/>
    </row>
    <row r="468" spans="8:8">
      <c r="H468" s="14"/>
    </row>
    <row r="469" spans="8:8">
      <c r="H469" s="14"/>
    </row>
    <row r="470" spans="8:8">
      <c r="H470" s="14"/>
    </row>
    <row r="471" spans="8:8">
      <c r="H471" s="14"/>
    </row>
    <row r="472" spans="8:8">
      <c r="H472" s="14"/>
    </row>
    <row r="473" spans="8:8">
      <c r="H473" s="14"/>
    </row>
    <row r="474" spans="8:8">
      <c r="H474" s="14"/>
    </row>
    <row r="475" spans="8:8">
      <c r="H475" s="14"/>
    </row>
    <row r="476" spans="8:8">
      <c r="H476" s="14"/>
    </row>
    <row r="477" spans="8:8">
      <c r="H477" s="14"/>
    </row>
    <row r="478" spans="8:8">
      <c r="H478" s="14"/>
    </row>
    <row r="479" spans="8:8">
      <c r="H479" s="14"/>
    </row>
    <row r="480" spans="8:8">
      <c r="H480" s="14"/>
    </row>
    <row r="481" spans="8:8">
      <c r="H481" s="14"/>
    </row>
    <row r="482" spans="8:8">
      <c r="H482" s="14"/>
    </row>
    <row r="483" spans="8:8">
      <c r="H483" s="14"/>
    </row>
    <row r="484" spans="8:8">
      <c r="H484" s="14"/>
    </row>
    <row r="485" spans="8:8">
      <c r="H485" s="14"/>
    </row>
    <row r="486" spans="8:8">
      <c r="H486" s="14"/>
    </row>
    <row r="487" spans="8:8">
      <c r="H487" s="14"/>
    </row>
    <row r="488" spans="8:8">
      <c r="H488" s="14"/>
    </row>
    <row r="489" spans="8:8">
      <c r="H489" s="14"/>
    </row>
    <row r="490" spans="8:8">
      <c r="H490" s="14"/>
    </row>
    <row r="491" spans="8:8">
      <c r="H491" s="14"/>
    </row>
    <row r="492" spans="8:8">
      <c r="H492" s="14"/>
    </row>
    <row r="493" spans="8:8">
      <c r="H493" s="14"/>
    </row>
    <row r="494" spans="8:8">
      <c r="H494" s="14"/>
    </row>
    <row r="495" spans="8:8">
      <c r="H495" s="14"/>
    </row>
    <row r="496" spans="8:8">
      <c r="H496" s="14"/>
    </row>
    <row r="497" spans="8:8">
      <c r="H497" s="14"/>
    </row>
    <row r="498" spans="8:8">
      <c r="H498" s="14"/>
    </row>
    <row r="499" spans="8:8">
      <c r="H499" s="14"/>
    </row>
    <row r="500" spans="8:8">
      <c r="H500" s="14"/>
    </row>
    <row r="501" spans="8:8">
      <c r="H501" s="14"/>
    </row>
    <row r="502" spans="8:8">
      <c r="H502" s="14"/>
    </row>
    <row r="503" spans="8:8">
      <c r="H503" s="14"/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baseColWidth="10" defaultColWidth="8.6640625" defaultRowHeight="14"/>
  <cols>
    <col min="1" max="1" width="61.25" customWidth="1"/>
    <col min="2" max="2" width="23" customWidth="1"/>
    <col min="3" max="3" width="24.1640625" customWidth="1"/>
    <col min="8" max="10" width="24" customWidth="1"/>
  </cols>
  <sheetData>
    <row r="1" spans="1:10">
      <c r="A1" s="24" t="s">
        <v>704</v>
      </c>
      <c r="B1" s="24"/>
      <c r="C1" s="24"/>
      <c r="H1" s="30" t="s">
        <v>146</v>
      </c>
      <c r="I1" s="30"/>
      <c r="J1" s="30"/>
    </row>
    <row r="2" spans="1:10" ht="28">
      <c r="A2" s="18" t="s">
        <v>705</v>
      </c>
      <c r="B2" s="18"/>
      <c r="C2" s="18"/>
      <c r="H2" s="18" t="s">
        <v>706</v>
      </c>
      <c r="I2" s="18" t="s">
        <v>707</v>
      </c>
      <c r="J2" s="18"/>
    </row>
    <row r="3" spans="1:10" ht="28">
      <c r="A3" s="25" t="s">
        <v>241</v>
      </c>
      <c r="B3" s="25" t="s">
        <v>708</v>
      </c>
      <c r="C3" s="25" t="s">
        <v>709</v>
      </c>
      <c r="H3" s="18" t="s">
        <v>710</v>
      </c>
      <c r="I3" s="18" t="s">
        <v>711</v>
      </c>
      <c r="J3" s="18"/>
    </row>
    <row r="4" spans="1:10" ht="42">
      <c r="A4" s="18" t="s">
        <v>392</v>
      </c>
      <c r="B4" s="22">
        <v>8</v>
      </c>
      <c r="C4" s="18" t="s">
        <v>712</v>
      </c>
      <c r="H4" s="18" t="s">
        <v>713</v>
      </c>
      <c r="I4" s="18" t="s">
        <v>714</v>
      </c>
      <c r="J4" s="18"/>
    </row>
    <row r="5" spans="1:10" ht="28">
      <c r="A5" s="18" t="s">
        <v>369</v>
      </c>
      <c r="B5" s="22">
        <v>3</v>
      </c>
      <c r="C5" s="18" t="s">
        <v>712</v>
      </c>
    </row>
    <row r="6" spans="1:10">
      <c r="A6" t="s">
        <v>355</v>
      </c>
      <c r="B6" s="26">
        <v>6</v>
      </c>
    </row>
    <row r="7" spans="1:10">
      <c r="A7" t="s">
        <v>381</v>
      </c>
      <c r="B7" s="26">
        <v>4</v>
      </c>
    </row>
    <row r="8" spans="1:10">
      <c r="A8" t="s">
        <v>247</v>
      </c>
      <c r="B8" s="26">
        <v>4</v>
      </c>
    </row>
    <row r="9" spans="1:10">
      <c r="A9" t="s">
        <v>278</v>
      </c>
      <c r="B9" s="26">
        <v>2</v>
      </c>
    </row>
    <row r="10" spans="1:10">
      <c r="A10" t="s">
        <v>293</v>
      </c>
      <c r="B10" s="26">
        <v>2</v>
      </c>
    </row>
    <row r="11" spans="1:10">
      <c r="A11" t="s">
        <v>302</v>
      </c>
      <c r="B11" s="26">
        <v>2</v>
      </c>
    </row>
    <row r="12" spans="1:10">
      <c r="A12" t="s">
        <v>311</v>
      </c>
      <c r="B12" s="26">
        <v>4</v>
      </c>
    </row>
    <row r="13" spans="1:10">
      <c r="A13" t="s">
        <v>327</v>
      </c>
      <c r="B13" s="26">
        <v>3</v>
      </c>
    </row>
    <row r="14" spans="1:10">
      <c r="A14" t="s">
        <v>341</v>
      </c>
      <c r="B14" s="26">
        <v>3</v>
      </c>
    </row>
    <row r="15" spans="1:10">
      <c r="A15" t="s">
        <v>403</v>
      </c>
      <c r="B15" s="26">
        <v>4</v>
      </c>
    </row>
    <row r="16" spans="1:10">
      <c r="A16" t="s">
        <v>715</v>
      </c>
      <c r="B16" s="26">
        <v>5</v>
      </c>
    </row>
    <row r="17" spans="1:2">
      <c r="A17" t="s">
        <v>716</v>
      </c>
      <c r="B17" s="26">
        <v>2</v>
      </c>
    </row>
    <row r="18" spans="1:2">
      <c r="A18" t="s">
        <v>717</v>
      </c>
      <c r="B18" s="26">
        <v>3</v>
      </c>
    </row>
    <row r="19" spans="1:2">
      <c r="B19" s="26"/>
    </row>
    <row r="20" spans="1:2">
      <c r="B20" s="26"/>
    </row>
    <row r="21" spans="1:2">
      <c r="B21" s="26"/>
    </row>
    <row r="22" spans="1:2">
      <c r="B22" s="26"/>
    </row>
    <row r="23" spans="1:2">
      <c r="B23" s="26"/>
    </row>
    <row r="24" spans="1:2">
      <c r="B24" s="26"/>
    </row>
    <row r="25" spans="1:2">
      <c r="B25" s="26"/>
    </row>
    <row r="26" spans="1:2">
      <c r="B26" s="26"/>
    </row>
    <row r="27" spans="1:2">
      <c r="B27" s="26"/>
    </row>
    <row r="28" spans="1:2">
      <c r="B28" s="26"/>
    </row>
    <row r="29" spans="1:2">
      <c r="B29" s="26"/>
    </row>
    <row r="30" spans="1:2">
      <c r="B30" s="26"/>
    </row>
    <row r="31" spans="1:2">
      <c r="B31" s="26"/>
    </row>
    <row r="32" spans="1:2">
      <c r="B32" s="26"/>
    </row>
    <row r="33" spans="2:2">
      <c r="B33" s="26"/>
    </row>
    <row r="34" spans="2:2">
      <c r="B34" s="26"/>
    </row>
    <row r="35" spans="2:2">
      <c r="B35" s="26"/>
    </row>
    <row r="36" spans="2:2">
      <c r="B36" s="26"/>
    </row>
    <row r="37" spans="2:2">
      <c r="B37" s="26"/>
    </row>
    <row r="38" spans="2:2">
      <c r="B38" s="26"/>
    </row>
    <row r="39" spans="2:2">
      <c r="B39" s="26"/>
    </row>
    <row r="40" spans="2:2">
      <c r="B40" s="26"/>
    </row>
    <row r="41" spans="2:2">
      <c r="B41" s="26"/>
    </row>
    <row r="42" spans="2:2">
      <c r="B42" s="26"/>
    </row>
    <row r="43" spans="2:2">
      <c r="B43" s="26"/>
    </row>
    <row r="44" spans="2:2">
      <c r="B44" s="26"/>
    </row>
    <row r="45" spans="2:2">
      <c r="B45" s="26"/>
    </row>
    <row r="46" spans="2:2">
      <c r="B46" s="26"/>
    </row>
    <row r="47" spans="2:2">
      <c r="B47" s="26"/>
    </row>
    <row r="48" spans="2:2">
      <c r="B48" s="26"/>
    </row>
    <row r="49" spans="2:2">
      <c r="B49" s="26"/>
    </row>
    <row r="50" spans="2:2">
      <c r="B50" s="26"/>
    </row>
    <row r="51" spans="2:2">
      <c r="B51" s="26"/>
    </row>
    <row r="52" spans="2:2">
      <c r="B52" s="26"/>
    </row>
    <row r="53" spans="2:2">
      <c r="B53" s="26"/>
    </row>
    <row r="54" spans="2:2">
      <c r="B54" s="26"/>
    </row>
    <row r="55" spans="2:2">
      <c r="B55" s="26"/>
    </row>
    <row r="56" spans="2:2">
      <c r="B56" s="26"/>
    </row>
    <row r="57" spans="2:2">
      <c r="B57" s="26"/>
    </row>
    <row r="58" spans="2:2">
      <c r="B58" s="26"/>
    </row>
    <row r="59" spans="2:2">
      <c r="B59" s="26"/>
    </row>
    <row r="60" spans="2:2">
      <c r="B60" s="26"/>
    </row>
    <row r="61" spans="2:2">
      <c r="B61" s="26"/>
    </row>
    <row r="62" spans="2:2">
      <c r="B62" s="26"/>
    </row>
    <row r="63" spans="2:2">
      <c r="B63" s="26"/>
    </row>
    <row r="64" spans="2:2">
      <c r="B64" s="26"/>
    </row>
    <row r="65" spans="2:2">
      <c r="B65" s="26"/>
    </row>
    <row r="66" spans="2:2">
      <c r="B66" s="26"/>
    </row>
    <row r="67" spans="2:2">
      <c r="B67" s="26"/>
    </row>
    <row r="68" spans="2:2">
      <c r="B68" s="26"/>
    </row>
    <row r="69" spans="2:2">
      <c r="B69" s="26"/>
    </row>
    <row r="70" spans="2:2">
      <c r="B70" s="26"/>
    </row>
    <row r="71" spans="2:2">
      <c r="B71" s="26"/>
    </row>
    <row r="72" spans="2:2">
      <c r="B72" s="26"/>
    </row>
    <row r="73" spans="2:2">
      <c r="B73" s="26"/>
    </row>
    <row r="74" spans="2:2">
      <c r="B74" s="26"/>
    </row>
    <row r="75" spans="2:2">
      <c r="B75" s="26"/>
    </row>
    <row r="76" spans="2:2">
      <c r="B76" s="26"/>
    </row>
    <row r="77" spans="2:2">
      <c r="B77" s="26"/>
    </row>
    <row r="78" spans="2:2">
      <c r="B78" s="26"/>
    </row>
    <row r="79" spans="2:2">
      <c r="B79" s="26"/>
    </row>
    <row r="80" spans="2:2">
      <c r="B80" s="26"/>
    </row>
    <row r="81" spans="2:2">
      <c r="B81" s="26"/>
    </row>
    <row r="82" spans="2:2">
      <c r="B82" s="26"/>
    </row>
    <row r="83" spans="2:2">
      <c r="B83" s="26"/>
    </row>
    <row r="84" spans="2:2">
      <c r="B84" s="26"/>
    </row>
    <row r="85" spans="2:2">
      <c r="B85" s="26"/>
    </row>
    <row r="86" spans="2:2">
      <c r="B86" s="26"/>
    </row>
    <row r="87" spans="2:2">
      <c r="B87" s="26"/>
    </row>
    <row r="88" spans="2:2">
      <c r="B88" s="26"/>
    </row>
    <row r="89" spans="2:2">
      <c r="B89" s="26"/>
    </row>
    <row r="90" spans="2:2">
      <c r="B90" s="26"/>
    </row>
    <row r="91" spans="2:2">
      <c r="B91" s="26"/>
    </row>
    <row r="92" spans="2:2">
      <c r="B92" s="26"/>
    </row>
    <row r="93" spans="2:2">
      <c r="B93" s="26"/>
    </row>
    <row r="94" spans="2:2">
      <c r="B94" s="26"/>
    </row>
    <row r="95" spans="2:2">
      <c r="B95" s="26"/>
    </row>
    <row r="96" spans="2:2">
      <c r="B96" s="26"/>
    </row>
    <row r="97" spans="2:2">
      <c r="B97" s="26"/>
    </row>
    <row r="98" spans="2:2">
      <c r="B98" s="26"/>
    </row>
    <row r="99" spans="2:2">
      <c r="B99" s="26"/>
    </row>
    <row r="100" spans="2:2">
      <c r="B100" s="26"/>
    </row>
    <row r="101" spans="2:2">
      <c r="B101" s="26"/>
    </row>
    <row r="102" spans="2:2">
      <c r="B102" s="26"/>
    </row>
    <row r="103" spans="2:2">
      <c r="B103" s="26"/>
    </row>
    <row r="104" spans="2:2">
      <c r="B104" s="26"/>
    </row>
    <row r="105" spans="2:2">
      <c r="B105" s="26"/>
    </row>
    <row r="106" spans="2:2">
      <c r="B106" s="26"/>
    </row>
    <row r="107" spans="2:2">
      <c r="B107" s="26"/>
    </row>
    <row r="108" spans="2:2">
      <c r="B108" s="26"/>
    </row>
    <row r="109" spans="2:2">
      <c r="B109" s="26"/>
    </row>
    <row r="110" spans="2:2">
      <c r="B110" s="26"/>
    </row>
    <row r="111" spans="2:2">
      <c r="B111" s="26"/>
    </row>
    <row r="112" spans="2:2">
      <c r="B112" s="26"/>
    </row>
    <row r="113" spans="2:2">
      <c r="B113" s="26"/>
    </row>
    <row r="114" spans="2:2">
      <c r="B114" s="26"/>
    </row>
    <row r="115" spans="2:2">
      <c r="B115" s="26"/>
    </row>
    <row r="116" spans="2:2">
      <c r="B116" s="26"/>
    </row>
    <row r="117" spans="2:2">
      <c r="B117" s="26"/>
    </row>
    <row r="118" spans="2:2">
      <c r="B118" s="26"/>
    </row>
    <row r="119" spans="2:2">
      <c r="B119" s="26"/>
    </row>
    <row r="120" spans="2:2">
      <c r="B120" s="26"/>
    </row>
    <row r="121" spans="2:2">
      <c r="B121" s="26"/>
    </row>
    <row r="122" spans="2:2">
      <c r="B122" s="26"/>
    </row>
    <row r="123" spans="2:2">
      <c r="B123" s="26"/>
    </row>
    <row r="124" spans="2:2">
      <c r="B124" s="26"/>
    </row>
    <row r="125" spans="2:2">
      <c r="B125" s="26"/>
    </row>
    <row r="126" spans="2:2">
      <c r="B126" s="26"/>
    </row>
    <row r="127" spans="2:2">
      <c r="B127" s="26"/>
    </row>
    <row r="128" spans="2:2">
      <c r="B128" s="26"/>
    </row>
    <row r="129" spans="2:2">
      <c r="B129" s="26"/>
    </row>
    <row r="130" spans="2:2">
      <c r="B130" s="26"/>
    </row>
    <row r="131" spans="2:2">
      <c r="B131" s="26"/>
    </row>
    <row r="132" spans="2:2">
      <c r="B132" s="26"/>
    </row>
    <row r="133" spans="2:2">
      <c r="B133" s="26"/>
    </row>
    <row r="134" spans="2:2">
      <c r="B134" s="26"/>
    </row>
    <row r="135" spans="2:2">
      <c r="B135" s="26"/>
    </row>
    <row r="136" spans="2:2">
      <c r="B136" s="26"/>
    </row>
    <row r="137" spans="2:2">
      <c r="B137" s="26"/>
    </row>
    <row r="138" spans="2:2">
      <c r="B138" s="26"/>
    </row>
    <row r="139" spans="2:2">
      <c r="B139" s="26"/>
    </row>
    <row r="140" spans="2:2">
      <c r="B140" s="26"/>
    </row>
    <row r="141" spans="2:2">
      <c r="B141" s="26"/>
    </row>
    <row r="142" spans="2:2">
      <c r="B142" s="26"/>
    </row>
    <row r="143" spans="2:2">
      <c r="B143" s="26"/>
    </row>
    <row r="144" spans="2:2">
      <c r="B144" s="26"/>
    </row>
    <row r="145" spans="2:2">
      <c r="B145" s="26"/>
    </row>
    <row r="146" spans="2:2">
      <c r="B146" s="26"/>
    </row>
    <row r="147" spans="2:2">
      <c r="B147" s="26"/>
    </row>
    <row r="148" spans="2:2">
      <c r="B148" s="26"/>
    </row>
    <row r="149" spans="2:2">
      <c r="B149" s="26"/>
    </row>
    <row r="150" spans="2:2">
      <c r="B150" s="26"/>
    </row>
    <row r="151" spans="2:2">
      <c r="B151" s="26"/>
    </row>
    <row r="152" spans="2:2">
      <c r="B152" s="26"/>
    </row>
    <row r="153" spans="2:2">
      <c r="B153" s="26"/>
    </row>
    <row r="154" spans="2:2">
      <c r="B154" s="26"/>
    </row>
    <row r="155" spans="2:2">
      <c r="B155" s="26"/>
    </row>
    <row r="156" spans="2:2">
      <c r="B156" s="26"/>
    </row>
    <row r="157" spans="2:2">
      <c r="B157" s="26"/>
    </row>
    <row r="158" spans="2:2">
      <c r="B158" s="26"/>
    </row>
    <row r="159" spans="2:2">
      <c r="B159" s="26"/>
    </row>
    <row r="160" spans="2:2">
      <c r="B160" s="26"/>
    </row>
    <row r="161" spans="2:2">
      <c r="B161" s="26"/>
    </row>
    <row r="162" spans="2:2">
      <c r="B162" s="26"/>
    </row>
    <row r="163" spans="2:2">
      <c r="B163" s="26"/>
    </row>
    <row r="164" spans="2:2">
      <c r="B164" s="26"/>
    </row>
    <row r="165" spans="2:2">
      <c r="B165" s="26"/>
    </row>
    <row r="166" spans="2:2">
      <c r="B166" s="26"/>
    </row>
    <row r="167" spans="2:2">
      <c r="B167" s="26"/>
    </row>
    <row r="168" spans="2:2">
      <c r="B168" s="26"/>
    </row>
    <row r="169" spans="2:2">
      <c r="B169" s="26"/>
    </row>
    <row r="170" spans="2:2">
      <c r="B170" s="26"/>
    </row>
    <row r="171" spans="2:2">
      <c r="B171" s="26"/>
    </row>
    <row r="172" spans="2:2">
      <c r="B172" s="26"/>
    </row>
    <row r="173" spans="2:2">
      <c r="B173" s="26"/>
    </row>
    <row r="174" spans="2:2">
      <c r="B174" s="26"/>
    </row>
    <row r="175" spans="2:2">
      <c r="B175" s="26"/>
    </row>
    <row r="176" spans="2:2">
      <c r="B176" s="26"/>
    </row>
    <row r="177" spans="2:2">
      <c r="B177" s="26"/>
    </row>
    <row r="178" spans="2:2">
      <c r="B178" s="26"/>
    </row>
    <row r="179" spans="2:2">
      <c r="B179" s="26"/>
    </row>
    <row r="180" spans="2:2">
      <c r="B180" s="26"/>
    </row>
    <row r="181" spans="2:2">
      <c r="B181" s="26"/>
    </row>
    <row r="182" spans="2:2">
      <c r="B182" s="26"/>
    </row>
    <row r="183" spans="2:2">
      <c r="B183" s="26"/>
    </row>
    <row r="184" spans="2:2">
      <c r="B184" s="26"/>
    </row>
    <row r="185" spans="2:2">
      <c r="B185" s="26"/>
    </row>
    <row r="186" spans="2:2">
      <c r="B186" s="26"/>
    </row>
    <row r="187" spans="2:2">
      <c r="B187" s="26"/>
    </row>
    <row r="188" spans="2:2">
      <c r="B188" s="26"/>
    </row>
    <row r="189" spans="2:2">
      <c r="B189" s="26"/>
    </row>
    <row r="190" spans="2:2">
      <c r="B190" s="26"/>
    </row>
    <row r="191" spans="2:2">
      <c r="B191" s="26"/>
    </row>
    <row r="192" spans="2:2">
      <c r="B192" s="26"/>
    </row>
    <row r="193" spans="2:2">
      <c r="B193" s="26"/>
    </row>
    <row r="194" spans="2:2">
      <c r="B194" s="26"/>
    </row>
    <row r="195" spans="2:2">
      <c r="B195" s="26"/>
    </row>
    <row r="196" spans="2:2">
      <c r="B196" s="26"/>
    </row>
    <row r="197" spans="2:2">
      <c r="B197" s="26"/>
    </row>
    <row r="198" spans="2:2">
      <c r="B198" s="26"/>
    </row>
    <row r="199" spans="2:2">
      <c r="B199" s="26"/>
    </row>
    <row r="200" spans="2:2">
      <c r="B200" s="26"/>
    </row>
    <row r="201" spans="2:2">
      <c r="B201" s="26"/>
    </row>
    <row r="202" spans="2:2">
      <c r="B202" s="26"/>
    </row>
    <row r="203" spans="2:2">
      <c r="B203" s="26"/>
    </row>
    <row r="204" spans="2:2">
      <c r="B204" s="26"/>
    </row>
    <row r="205" spans="2:2">
      <c r="B205" s="26"/>
    </row>
    <row r="206" spans="2:2">
      <c r="B206" s="26"/>
    </row>
    <row r="207" spans="2:2">
      <c r="B207" s="26"/>
    </row>
    <row r="208" spans="2:2">
      <c r="B208" s="26"/>
    </row>
    <row r="209" spans="2:2">
      <c r="B209" s="26"/>
    </row>
    <row r="210" spans="2:2">
      <c r="B210" s="26"/>
    </row>
    <row r="211" spans="2:2">
      <c r="B211" s="26"/>
    </row>
    <row r="212" spans="2:2">
      <c r="B212" s="26"/>
    </row>
    <row r="213" spans="2:2">
      <c r="B213" s="26"/>
    </row>
    <row r="214" spans="2:2">
      <c r="B214" s="26"/>
    </row>
    <row r="215" spans="2:2">
      <c r="B215" s="26"/>
    </row>
    <row r="216" spans="2:2">
      <c r="B216" s="26"/>
    </row>
    <row r="217" spans="2:2">
      <c r="B217" s="26"/>
    </row>
    <row r="218" spans="2:2">
      <c r="B218" s="26"/>
    </row>
    <row r="219" spans="2:2">
      <c r="B219" s="26"/>
    </row>
    <row r="220" spans="2:2">
      <c r="B220" s="26"/>
    </row>
    <row r="221" spans="2:2">
      <c r="B221" s="26"/>
    </row>
    <row r="222" spans="2:2">
      <c r="B222" s="26"/>
    </row>
    <row r="223" spans="2:2">
      <c r="B223" s="26"/>
    </row>
    <row r="224" spans="2:2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  <row r="269" spans="2:2">
      <c r="B269" s="26"/>
    </row>
    <row r="270" spans="2:2">
      <c r="B270" s="26"/>
    </row>
    <row r="271" spans="2:2">
      <c r="B271" s="26"/>
    </row>
    <row r="272" spans="2:2">
      <c r="B272" s="26"/>
    </row>
    <row r="273" spans="2:2">
      <c r="B273" s="26"/>
    </row>
    <row r="274" spans="2:2">
      <c r="B274" s="26"/>
    </row>
    <row r="275" spans="2:2">
      <c r="B275" s="26"/>
    </row>
    <row r="276" spans="2:2">
      <c r="B276" s="26"/>
    </row>
    <row r="277" spans="2:2">
      <c r="B277" s="26"/>
    </row>
    <row r="278" spans="2:2">
      <c r="B278" s="26"/>
    </row>
    <row r="279" spans="2:2">
      <c r="B279" s="26"/>
    </row>
    <row r="280" spans="2:2">
      <c r="B280" s="26"/>
    </row>
    <row r="281" spans="2:2">
      <c r="B281" s="26"/>
    </row>
    <row r="282" spans="2:2">
      <c r="B282" s="26"/>
    </row>
    <row r="283" spans="2:2">
      <c r="B283" s="26"/>
    </row>
    <row r="284" spans="2:2">
      <c r="B284" s="26"/>
    </row>
    <row r="285" spans="2:2">
      <c r="B285" s="26"/>
    </row>
    <row r="286" spans="2:2">
      <c r="B286" s="26"/>
    </row>
    <row r="287" spans="2:2">
      <c r="B287" s="26"/>
    </row>
    <row r="288" spans="2:2">
      <c r="B288" s="26"/>
    </row>
    <row r="289" spans="2:2">
      <c r="B289" s="26"/>
    </row>
    <row r="290" spans="2:2">
      <c r="B290" s="26"/>
    </row>
    <row r="291" spans="2:2">
      <c r="B291" s="26"/>
    </row>
    <row r="292" spans="2:2">
      <c r="B292" s="26"/>
    </row>
    <row r="293" spans="2:2">
      <c r="B293" s="26"/>
    </row>
    <row r="294" spans="2:2">
      <c r="B294" s="26"/>
    </row>
    <row r="295" spans="2:2">
      <c r="B295" s="26"/>
    </row>
    <row r="296" spans="2:2">
      <c r="B296" s="26"/>
    </row>
    <row r="297" spans="2:2">
      <c r="B297" s="26"/>
    </row>
    <row r="298" spans="2:2">
      <c r="B298" s="26"/>
    </row>
    <row r="299" spans="2:2">
      <c r="B299" s="26"/>
    </row>
    <row r="300" spans="2:2">
      <c r="B300" s="26"/>
    </row>
    <row r="301" spans="2:2">
      <c r="B301" s="26"/>
    </row>
    <row r="302" spans="2:2">
      <c r="B302" s="26"/>
    </row>
    <row r="303" spans="2:2">
      <c r="B303" s="26"/>
    </row>
    <row r="304" spans="2:2">
      <c r="B304" s="26"/>
    </row>
    <row r="305" spans="2:2">
      <c r="B305" s="26"/>
    </row>
    <row r="306" spans="2:2">
      <c r="B306" s="26"/>
    </row>
    <row r="307" spans="2:2">
      <c r="B307" s="26"/>
    </row>
    <row r="308" spans="2:2">
      <c r="B308" s="26"/>
    </row>
    <row r="309" spans="2:2">
      <c r="B309" s="26"/>
    </row>
    <row r="310" spans="2:2">
      <c r="B310" s="26"/>
    </row>
    <row r="311" spans="2:2">
      <c r="B311" s="26"/>
    </row>
    <row r="312" spans="2:2">
      <c r="B312" s="26"/>
    </row>
    <row r="313" spans="2:2">
      <c r="B313" s="26"/>
    </row>
    <row r="314" spans="2:2">
      <c r="B314" s="26"/>
    </row>
    <row r="315" spans="2:2">
      <c r="B315" s="26"/>
    </row>
    <row r="316" spans="2:2">
      <c r="B316" s="26"/>
    </row>
    <row r="317" spans="2:2">
      <c r="B317" s="26"/>
    </row>
    <row r="318" spans="2:2">
      <c r="B318" s="26"/>
    </row>
    <row r="319" spans="2:2">
      <c r="B319" s="26"/>
    </row>
    <row r="320" spans="2:2">
      <c r="B320" s="26"/>
    </row>
    <row r="321" spans="2:2">
      <c r="B321" s="26"/>
    </row>
    <row r="322" spans="2:2">
      <c r="B322" s="26"/>
    </row>
    <row r="323" spans="2:2">
      <c r="B323" s="26"/>
    </row>
    <row r="324" spans="2:2">
      <c r="B324" s="26"/>
    </row>
    <row r="325" spans="2:2">
      <c r="B325" s="26"/>
    </row>
    <row r="326" spans="2:2">
      <c r="B326" s="26"/>
    </row>
    <row r="327" spans="2:2">
      <c r="B327" s="26"/>
    </row>
    <row r="328" spans="2:2">
      <c r="B328" s="26"/>
    </row>
    <row r="329" spans="2:2">
      <c r="B329" s="26"/>
    </row>
    <row r="330" spans="2:2">
      <c r="B330" s="26"/>
    </row>
    <row r="331" spans="2:2">
      <c r="B331" s="26"/>
    </row>
    <row r="332" spans="2:2">
      <c r="B332" s="26"/>
    </row>
    <row r="333" spans="2:2">
      <c r="B333" s="26"/>
    </row>
    <row r="334" spans="2:2">
      <c r="B334" s="26"/>
    </row>
    <row r="335" spans="2:2">
      <c r="B335" s="26"/>
    </row>
    <row r="336" spans="2:2">
      <c r="B336" s="26"/>
    </row>
    <row r="337" spans="2:2">
      <c r="B337" s="26"/>
    </row>
    <row r="338" spans="2:2">
      <c r="B338" s="26"/>
    </row>
    <row r="339" spans="2:2">
      <c r="B339" s="26"/>
    </row>
    <row r="340" spans="2:2">
      <c r="B340" s="26"/>
    </row>
    <row r="341" spans="2:2">
      <c r="B341" s="26"/>
    </row>
    <row r="342" spans="2:2">
      <c r="B342" s="26"/>
    </row>
    <row r="343" spans="2:2">
      <c r="B343" s="26"/>
    </row>
    <row r="344" spans="2:2">
      <c r="B344" s="26"/>
    </row>
    <row r="345" spans="2:2">
      <c r="B345" s="26"/>
    </row>
    <row r="346" spans="2:2">
      <c r="B346" s="26"/>
    </row>
    <row r="347" spans="2:2">
      <c r="B347" s="26"/>
    </row>
    <row r="348" spans="2:2">
      <c r="B348" s="26"/>
    </row>
    <row r="349" spans="2:2">
      <c r="B349" s="26"/>
    </row>
    <row r="350" spans="2:2">
      <c r="B350" s="26"/>
    </row>
    <row r="351" spans="2:2">
      <c r="B351" s="26"/>
    </row>
    <row r="352" spans="2:2">
      <c r="B352" s="26"/>
    </row>
    <row r="353" spans="2:2">
      <c r="B353" s="26"/>
    </row>
    <row r="354" spans="2:2">
      <c r="B354" s="26"/>
    </row>
    <row r="355" spans="2:2">
      <c r="B355" s="26"/>
    </row>
    <row r="356" spans="2:2">
      <c r="B356" s="26"/>
    </row>
    <row r="357" spans="2:2">
      <c r="B357" s="26"/>
    </row>
    <row r="358" spans="2:2">
      <c r="B358" s="26"/>
    </row>
    <row r="359" spans="2:2">
      <c r="B359" s="26"/>
    </row>
    <row r="360" spans="2:2">
      <c r="B360" s="26"/>
    </row>
    <row r="361" spans="2:2">
      <c r="B361" s="26"/>
    </row>
    <row r="362" spans="2:2">
      <c r="B362" s="26"/>
    </row>
    <row r="363" spans="2:2">
      <c r="B363" s="26"/>
    </row>
    <row r="364" spans="2:2">
      <c r="B364" s="26"/>
    </row>
    <row r="365" spans="2:2">
      <c r="B365" s="26"/>
    </row>
    <row r="366" spans="2:2">
      <c r="B366" s="26"/>
    </row>
    <row r="367" spans="2:2">
      <c r="B367" s="26"/>
    </row>
    <row r="368" spans="2:2">
      <c r="B368" s="26"/>
    </row>
    <row r="369" spans="2:2">
      <c r="B369" s="26"/>
    </row>
    <row r="370" spans="2:2">
      <c r="B370" s="26"/>
    </row>
    <row r="371" spans="2:2">
      <c r="B371" s="26"/>
    </row>
    <row r="372" spans="2:2">
      <c r="B372" s="26"/>
    </row>
    <row r="373" spans="2:2">
      <c r="B373" s="26"/>
    </row>
    <row r="374" spans="2:2">
      <c r="B374" s="26"/>
    </row>
    <row r="375" spans="2:2">
      <c r="B375" s="26"/>
    </row>
    <row r="376" spans="2:2">
      <c r="B376" s="26"/>
    </row>
    <row r="377" spans="2:2">
      <c r="B377" s="26"/>
    </row>
    <row r="378" spans="2:2">
      <c r="B378" s="26"/>
    </row>
    <row r="379" spans="2:2">
      <c r="B379" s="26"/>
    </row>
    <row r="380" spans="2:2">
      <c r="B380" s="26"/>
    </row>
    <row r="381" spans="2:2">
      <c r="B381" s="26"/>
    </row>
    <row r="382" spans="2:2">
      <c r="B382" s="26"/>
    </row>
    <row r="383" spans="2:2">
      <c r="B383" s="26"/>
    </row>
    <row r="384" spans="2:2">
      <c r="B384" s="26"/>
    </row>
    <row r="385" spans="2:2">
      <c r="B385" s="26"/>
    </row>
    <row r="386" spans="2:2">
      <c r="B386" s="26"/>
    </row>
    <row r="387" spans="2:2">
      <c r="B387" s="26"/>
    </row>
    <row r="388" spans="2:2">
      <c r="B388" s="26"/>
    </row>
    <row r="389" spans="2:2">
      <c r="B389" s="26"/>
    </row>
    <row r="390" spans="2:2">
      <c r="B390" s="26"/>
    </row>
    <row r="391" spans="2:2">
      <c r="B391" s="26"/>
    </row>
    <row r="392" spans="2:2">
      <c r="B392" s="26"/>
    </row>
    <row r="393" spans="2:2">
      <c r="B393" s="26"/>
    </row>
    <row r="394" spans="2:2">
      <c r="B394" s="26"/>
    </row>
    <row r="395" spans="2:2">
      <c r="B395" s="26"/>
    </row>
    <row r="396" spans="2:2">
      <c r="B396" s="26"/>
    </row>
    <row r="397" spans="2:2">
      <c r="B397" s="26"/>
    </row>
    <row r="398" spans="2:2">
      <c r="B398" s="26"/>
    </row>
    <row r="399" spans="2:2">
      <c r="B399" s="26"/>
    </row>
    <row r="400" spans="2:2">
      <c r="B400" s="26"/>
    </row>
    <row r="401" spans="2:2">
      <c r="B401" s="26"/>
    </row>
    <row r="402" spans="2:2">
      <c r="B402" s="26"/>
    </row>
    <row r="403" spans="2:2">
      <c r="B403" s="26"/>
    </row>
    <row r="404" spans="2:2">
      <c r="B404" s="26"/>
    </row>
    <row r="405" spans="2:2">
      <c r="B405" s="26"/>
    </row>
    <row r="406" spans="2:2">
      <c r="B406" s="26"/>
    </row>
    <row r="407" spans="2:2">
      <c r="B407" s="26"/>
    </row>
    <row r="408" spans="2:2">
      <c r="B408" s="26"/>
    </row>
    <row r="409" spans="2:2">
      <c r="B409" s="26"/>
    </row>
    <row r="410" spans="2:2">
      <c r="B410" s="26"/>
    </row>
    <row r="411" spans="2:2">
      <c r="B411" s="26"/>
    </row>
    <row r="412" spans="2:2">
      <c r="B412" s="26"/>
    </row>
    <row r="413" spans="2:2">
      <c r="B413" s="26"/>
    </row>
    <row r="414" spans="2:2">
      <c r="B414" s="26"/>
    </row>
    <row r="415" spans="2:2">
      <c r="B415" s="26"/>
    </row>
    <row r="416" spans="2:2">
      <c r="B416" s="26"/>
    </row>
    <row r="417" spans="2:2">
      <c r="B417" s="26"/>
    </row>
    <row r="418" spans="2:2">
      <c r="B418" s="26"/>
    </row>
    <row r="419" spans="2:2">
      <c r="B419" s="26"/>
    </row>
    <row r="420" spans="2:2">
      <c r="B420" s="26"/>
    </row>
    <row r="421" spans="2:2">
      <c r="B421" s="26"/>
    </row>
    <row r="422" spans="2:2">
      <c r="B422" s="26"/>
    </row>
    <row r="423" spans="2:2">
      <c r="B423" s="26"/>
    </row>
    <row r="424" spans="2:2">
      <c r="B424" s="26"/>
    </row>
    <row r="425" spans="2:2">
      <c r="B425" s="26"/>
    </row>
    <row r="426" spans="2:2">
      <c r="B426" s="26"/>
    </row>
    <row r="427" spans="2:2">
      <c r="B427" s="26"/>
    </row>
    <row r="428" spans="2:2">
      <c r="B428" s="26"/>
    </row>
    <row r="429" spans="2:2">
      <c r="B429" s="26"/>
    </row>
    <row r="430" spans="2:2">
      <c r="B430" s="26"/>
    </row>
    <row r="431" spans="2:2">
      <c r="B431" s="26"/>
    </row>
    <row r="432" spans="2:2">
      <c r="B432" s="26"/>
    </row>
    <row r="433" spans="2:2">
      <c r="B433" s="26"/>
    </row>
    <row r="434" spans="2:2">
      <c r="B434" s="26"/>
    </row>
    <row r="435" spans="2:2">
      <c r="B435" s="26"/>
    </row>
    <row r="436" spans="2:2">
      <c r="B436" s="26"/>
    </row>
    <row r="437" spans="2:2">
      <c r="B437" s="26"/>
    </row>
    <row r="438" spans="2:2">
      <c r="B438" s="26"/>
    </row>
    <row r="439" spans="2:2">
      <c r="B439" s="26"/>
    </row>
    <row r="440" spans="2:2">
      <c r="B440" s="26"/>
    </row>
    <row r="441" spans="2:2">
      <c r="B441" s="26"/>
    </row>
    <row r="442" spans="2:2">
      <c r="B442" s="26"/>
    </row>
    <row r="443" spans="2:2">
      <c r="B443" s="26"/>
    </row>
    <row r="444" spans="2:2">
      <c r="B444" s="26"/>
    </row>
    <row r="445" spans="2:2">
      <c r="B445" s="26"/>
    </row>
    <row r="446" spans="2:2">
      <c r="B446" s="26"/>
    </row>
    <row r="447" spans="2:2">
      <c r="B447" s="26"/>
    </row>
    <row r="448" spans="2:2">
      <c r="B448" s="26"/>
    </row>
    <row r="449" spans="2:2">
      <c r="B449" s="26"/>
    </row>
    <row r="450" spans="2:2">
      <c r="B450" s="26"/>
    </row>
    <row r="451" spans="2:2">
      <c r="B451" s="26"/>
    </row>
    <row r="452" spans="2:2">
      <c r="B452" s="26"/>
    </row>
    <row r="453" spans="2:2">
      <c r="B453" s="26"/>
    </row>
    <row r="454" spans="2:2">
      <c r="B454" s="26"/>
    </row>
    <row r="455" spans="2:2">
      <c r="B455" s="26"/>
    </row>
    <row r="456" spans="2:2">
      <c r="B456" s="26"/>
    </row>
    <row r="457" spans="2:2">
      <c r="B457" s="26"/>
    </row>
    <row r="458" spans="2:2">
      <c r="B458" s="26"/>
    </row>
    <row r="459" spans="2:2">
      <c r="B459" s="26"/>
    </row>
    <row r="460" spans="2:2">
      <c r="B460" s="26"/>
    </row>
    <row r="461" spans="2:2">
      <c r="B461" s="26"/>
    </row>
    <row r="462" spans="2:2">
      <c r="B462" s="26"/>
    </row>
    <row r="463" spans="2:2">
      <c r="B463" s="26"/>
    </row>
    <row r="464" spans="2:2">
      <c r="B464" s="26"/>
    </row>
    <row r="465" spans="2:2">
      <c r="B465" s="26"/>
    </row>
    <row r="466" spans="2:2">
      <c r="B466" s="26"/>
    </row>
    <row r="467" spans="2:2">
      <c r="B467" s="26"/>
    </row>
    <row r="468" spans="2:2">
      <c r="B468" s="26"/>
    </row>
    <row r="469" spans="2:2">
      <c r="B469" s="26"/>
    </row>
    <row r="470" spans="2:2">
      <c r="B470" s="26"/>
    </row>
    <row r="471" spans="2:2">
      <c r="B471" s="26"/>
    </row>
    <row r="472" spans="2:2">
      <c r="B472" s="26"/>
    </row>
    <row r="473" spans="2:2">
      <c r="B473" s="26"/>
    </row>
    <row r="474" spans="2:2">
      <c r="B474" s="26"/>
    </row>
    <row r="475" spans="2:2">
      <c r="B475" s="26"/>
    </row>
    <row r="476" spans="2:2">
      <c r="B476" s="26"/>
    </row>
    <row r="477" spans="2:2">
      <c r="B477" s="26"/>
    </row>
    <row r="478" spans="2:2">
      <c r="B478" s="26"/>
    </row>
    <row r="479" spans="2:2">
      <c r="B479" s="26"/>
    </row>
    <row r="480" spans="2:2">
      <c r="B480" s="26"/>
    </row>
    <row r="481" spans="2:2">
      <c r="B481" s="26"/>
    </row>
    <row r="482" spans="2:2">
      <c r="B482" s="26"/>
    </row>
    <row r="483" spans="2:2">
      <c r="B483" s="26"/>
    </row>
    <row r="484" spans="2:2">
      <c r="B484" s="26"/>
    </row>
    <row r="485" spans="2:2">
      <c r="B485" s="26"/>
    </row>
    <row r="486" spans="2:2">
      <c r="B486" s="26"/>
    </row>
    <row r="487" spans="2:2">
      <c r="B487" s="26"/>
    </row>
    <row r="488" spans="2:2">
      <c r="B488" s="26"/>
    </row>
    <row r="489" spans="2:2">
      <c r="B489" s="26"/>
    </row>
    <row r="490" spans="2:2">
      <c r="B490" s="26"/>
    </row>
    <row r="491" spans="2:2">
      <c r="B491" s="26"/>
    </row>
    <row r="492" spans="2:2">
      <c r="B492" s="26"/>
    </row>
    <row r="493" spans="2:2">
      <c r="B493" s="26"/>
    </row>
    <row r="494" spans="2:2">
      <c r="B494" s="26"/>
    </row>
    <row r="495" spans="2:2">
      <c r="B495" s="26"/>
    </row>
    <row r="496" spans="2:2">
      <c r="B496" s="26"/>
    </row>
    <row r="497" spans="2:2">
      <c r="B497" s="26"/>
    </row>
    <row r="498" spans="2:2">
      <c r="B498" s="26"/>
    </row>
    <row r="499" spans="2:2">
      <c r="B499" s="26"/>
    </row>
    <row r="500" spans="2:2">
      <c r="B500" s="26"/>
    </row>
    <row r="501" spans="2:2">
      <c r="B501" s="26"/>
    </row>
    <row r="502" spans="2:2">
      <c r="B502" s="26"/>
    </row>
    <row r="503" spans="2:2">
      <c r="B503" s="26"/>
    </row>
    <row r="504" spans="2:2">
      <c r="B504" s="26"/>
    </row>
    <row r="505" spans="2:2">
      <c r="B505" s="26"/>
    </row>
    <row r="506" spans="2:2">
      <c r="B506" s="26"/>
    </row>
    <row r="507" spans="2:2">
      <c r="B507" s="26"/>
    </row>
    <row r="508" spans="2:2">
      <c r="B508" s="26"/>
    </row>
    <row r="509" spans="2:2">
      <c r="B509" s="26"/>
    </row>
    <row r="510" spans="2:2">
      <c r="B510" s="26"/>
    </row>
    <row r="511" spans="2:2">
      <c r="B511" s="26"/>
    </row>
    <row r="512" spans="2:2">
      <c r="B512" s="26"/>
    </row>
    <row r="513" spans="2:2">
      <c r="B513" s="26"/>
    </row>
    <row r="514" spans="2:2">
      <c r="B514" s="26"/>
    </row>
    <row r="515" spans="2:2">
      <c r="B515" s="26"/>
    </row>
    <row r="516" spans="2:2">
      <c r="B516" s="26"/>
    </row>
    <row r="517" spans="2:2">
      <c r="B517" s="26"/>
    </row>
    <row r="518" spans="2:2">
      <c r="B518" s="26"/>
    </row>
    <row r="519" spans="2:2">
      <c r="B519" s="26"/>
    </row>
    <row r="520" spans="2:2">
      <c r="B520" s="26"/>
    </row>
    <row r="521" spans="2:2">
      <c r="B521" s="26"/>
    </row>
    <row r="522" spans="2:2">
      <c r="B522" s="26"/>
    </row>
    <row r="523" spans="2:2">
      <c r="B523" s="26"/>
    </row>
    <row r="524" spans="2:2">
      <c r="B524" s="26"/>
    </row>
    <row r="525" spans="2:2">
      <c r="B525" s="26"/>
    </row>
    <row r="526" spans="2:2">
      <c r="B526" s="26"/>
    </row>
    <row r="527" spans="2:2">
      <c r="B527" s="26"/>
    </row>
    <row r="528" spans="2:2">
      <c r="B528" s="26"/>
    </row>
    <row r="529" spans="2:2">
      <c r="B529" s="26"/>
    </row>
    <row r="530" spans="2:2">
      <c r="B530" s="26"/>
    </row>
    <row r="531" spans="2:2">
      <c r="B531" s="26"/>
    </row>
    <row r="532" spans="2:2">
      <c r="B532" s="26"/>
    </row>
    <row r="533" spans="2:2">
      <c r="B533" s="26"/>
    </row>
    <row r="534" spans="2:2">
      <c r="B534" s="26"/>
    </row>
    <row r="535" spans="2:2">
      <c r="B535" s="26"/>
    </row>
    <row r="536" spans="2:2">
      <c r="B536" s="26"/>
    </row>
    <row r="537" spans="2:2">
      <c r="B537" s="26"/>
    </row>
    <row r="538" spans="2:2">
      <c r="B538" s="26"/>
    </row>
    <row r="539" spans="2:2">
      <c r="B539" s="26"/>
    </row>
    <row r="540" spans="2:2">
      <c r="B540" s="26"/>
    </row>
    <row r="541" spans="2:2">
      <c r="B541" s="26"/>
    </row>
    <row r="542" spans="2:2">
      <c r="B542" s="26"/>
    </row>
    <row r="543" spans="2:2">
      <c r="B543" s="26"/>
    </row>
    <row r="544" spans="2:2">
      <c r="B544" s="26"/>
    </row>
    <row r="545" spans="2:2">
      <c r="B545" s="26"/>
    </row>
    <row r="546" spans="2:2">
      <c r="B546" s="26"/>
    </row>
    <row r="547" spans="2:2">
      <c r="B547" s="26"/>
    </row>
    <row r="548" spans="2:2">
      <c r="B548" s="26"/>
    </row>
    <row r="549" spans="2:2">
      <c r="B549" s="26"/>
    </row>
    <row r="550" spans="2:2">
      <c r="B550" s="26"/>
    </row>
    <row r="551" spans="2:2">
      <c r="B551" s="26"/>
    </row>
    <row r="552" spans="2:2">
      <c r="B552" s="26"/>
    </row>
    <row r="553" spans="2:2">
      <c r="B553" s="26"/>
    </row>
    <row r="554" spans="2:2">
      <c r="B554" s="26"/>
    </row>
    <row r="555" spans="2:2">
      <c r="B555" s="26"/>
    </row>
    <row r="556" spans="2:2">
      <c r="B556" s="26"/>
    </row>
    <row r="557" spans="2:2">
      <c r="B557" s="26"/>
    </row>
    <row r="558" spans="2:2">
      <c r="B558" s="26"/>
    </row>
    <row r="559" spans="2:2">
      <c r="B559" s="26"/>
    </row>
    <row r="560" spans="2:2">
      <c r="B560" s="26"/>
    </row>
    <row r="561" spans="2:2">
      <c r="B561" s="26"/>
    </row>
    <row r="562" spans="2:2">
      <c r="B562" s="26"/>
    </row>
    <row r="563" spans="2:2">
      <c r="B563" s="26"/>
    </row>
    <row r="564" spans="2:2">
      <c r="B564" s="26"/>
    </row>
    <row r="565" spans="2:2">
      <c r="B565" s="26"/>
    </row>
    <row r="566" spans="2:2">
      <c r="B566" s="26"/>
    </row>
    <row r="567" spans="2:2">
      <c r="B567" s="26"/>
    </row>
    <row r="568" spans="2:2">
      <c r="B568" s="26"/>
    </row>
    <row r="569" spans="2:2">
      <c r="B569" s="26"/>
    </row>
    <row r="570" spans="2:2">
      <c r="B570" s="26"/>
    </row>
    <row r="571" spans="2:2">
      <c r="B571" s="26"/>
    </row>
    <row r="572" spans="2:2">
      <c r="B572" s="26"/>
    </row>
    <row r="573" spans="2:2">
      <c r="B573" s="26"/>
    </row>
    <row r="574" spans="2:2">
      <c r="B574" s="26"/>
    </row>
    <row r="575" spans="2:2">
      <c r="B575" s="26"/>
    </row>
    <row r="576" spans="2:2">
      <c r="B576" s="26"/>
    </row>
    <row r="577" spans="2:2">
      <c r="B577" s="26"/>
    </row>
    <row r="578" spans="2:2">
      <c r="B578" s="26"/>
    </row>
    <row r="579" spans="2:2">
      <c r="B579" s="26"/>
    </row>
    <row r="580" spans="2:2">
      <c r="B580" s="26"/>
    </row>
    <row r="581" spans="2:2">
      <c r="B581" s="26"/>
    </row>
    <row r="582" spans="2:2">
      <c r="B582" s="26"/>
    </row>
    <row r="583" spans="2:2">
      <c r="B583" s="26"/>
    </row>
    <row r="584" spans="2:2">
      <c r="B584" s="26"/>
    </row>
    <row r="585" spans="2:2">
      <c r="B585" s="26"/>
    </row>
    <row r="586" spans="2:2">
      <c r="B586" s="26"/>
    </row>
    <row r="587" spans="2:2">
      <c r="B587" s="26"/>
    </row>
    <row r="588" spans="2:2">
      <c r="B588" s="26"/>
    </row>
    <row r="589" spans="2:2">
      <c r="B589" s="26"/>
    </row>
    <row r="590" spans="2:2">
      <c r="B590" s="26"/>
    </row>
    <row r="591" spans="2:2">
      <c r="B591" s="26"/>
    </row>
    <row r="592" spans="2:2">
      <c r="B592" s="26"/>
    </row>
    <row r="593" spans="2:2">
      <c r="B593" s="26"/>
    </row>
    <row r="594" spans="2:2">
      <c r="B594" s="26"/>
    </row>
    <row r="595" spans="2:2">
      <c r="B595" s="26"/>
    </row>
    <row r="596" spans="2:2">
      <c r="B596" s="26"/>
    </row>
    <row r="597" spans="2:2">
      <c r="B597" s="26"/>
    </row>
    <row r="598" spans="2:2">
      <c r="B598" s="26"/>
    </row>
    <row r="599" spans="2:2">
      <c r="B599" s="26"/>
    </row>
    <row r="600" spans="2:2">
      <c r="B600" s="26"/>
    </row>
    <row r="601" spans="2:2">
      <c r="B601" s="26"/>
    </row>
    <row r="602" spans="2:2">
      <c r="B602" s="26"/>
    </row>
    <row r="603" spans="2:2">
      <c r="B603" s="26"/>
    </row>
    <row r="604" spans="2:2">
      <c r="B604" s="26"/>
    </row>
    <row r="605" spans="2:2">
      <c r="B605" s="26"/>
    </row>
    <row r="606" spans="2:2">
      <c r="B606" s="26"/>
    </row>
    <row r="607" spans="2:2">
      <c r="B607" s="26"/>
    </row>
    <row r="608" spans="2:2">
      <c r="B608" s="26"/>
    </row>
    <row r="609" spans="2:2">
      <c r="B609" s="26"/>
    </row>
    <row r="610" spans="2:2">
      <c r="B610" s="26"/>
    </row>
    <row r="611" spans="2:2">
      <c r="B611" s="26"/>
    </row>
    <row r="612" spans="2:2">
      <c r="B612" s="26"/>
    </row>
    <row r="613" spans="2:2">
      <c r="B613" s="26"/>
    </row>
    <row r="614" spans="2:2">
      <c r="B614" s="26"/>
    </row>
    <row r="615" spans="2:2">
      <c r="B615" s="26"/>
    </row>
    <row r="616" spans="2:2">
      <c r="B616" s="26"/>
    </row>
    <row r="617" spans="2:2">
      <c r="B617" s="26"/>
    </row>
    <row r="618" spans="2:2">
      <c r="B618" s="26"/>
    </row>
    <row r="619" spans="2:2">
      <c r="B619" s="26"/>
    </row>
    <row r="620" spans="2:2">
      <c r="B620" s="26"/>
    </row>
    <row r="621" spans="2:2">
      <c r="B621" s="26"/>
    </row>
    <row r="622" spans="2:2">
      <c r="B622" s="26"/>
    </row>
    <row r="623" spans="2:2">
      <c r="B623" s="26"/>
    </row>
    <row r="624" spans="2:2">
      <c r="B624" s="26"/>
    </row>
    <row r="625" spans="2:2">
      <c r="B625" s="26"/>
    </row>
    <row r="626" spans="2:2">
      <c r="B626" s="26"/>
    </row>
    <row r="627" spans="2:2">
      <c r="B627" s="26"/>
    </row>
    <row r="628" spans="2:2">
      <c r="B628" s="26"/>
    </row>
    <row r="629" spans="2:2">
      <c r="B629" s="26"/>
    </row>
    <row r="630" spans="2:2">
      <c r="B630" s="26"/>
    </row>
    <row r="631" spans="2:2">
      <c r="B631" s="26"/>
    </row>
    <row r="632" spans="2:2">
      <c r="B632" s="26"/>
    </row>
    <row r="633" spans="2:2">
      <c r="B633" s="26"/>
    </row>
    <row r="634" spans="2:2">
      <c r="B634" s="26"/>
    </row>
    <row r="635" spans="2:2">
      <c r="B635" s="26"/>
    </row>
    <row r="636" spans="2:2">
      <c r="B636" s="26"/>
    </row>
    <row r="637" spans="2:2">
      <c r="B637" s="26"/>
    </row>
    <row r="638" spans="2:2">
      <c r="B638" s="26"/>
    </row>
    <row r="639" spans="2:2">
      <c r="B639" s="26"/>
    </row>
    <row r="640" spans="2:2">
      <c r="B640" s="26"/>
    </row>
    <row r="641" spans="2:2">
      <c r="B641" s="26"/>
    </row>
    <row r="642" spans="2:2">
      <c r="B642" s="26"/>
    </row>
    <row r="643" spans="2:2">
      <c r="B643" s="26"/>
    </row>
    <row r="644" spans="2:2">
      <c r="B644" s="26"/>
    </row>
    <row r="645" spans="2:2">
      <c r="B645" s="26"/>
    </row>
    <row r="646" spans="2:2">
      <c r="B646" s="26"/>
    </row>
    <row r="647" spans="2:2">
      <c r="B647" s="26"/>
    </row>
    <row r="648" spans="2:2">
      <c r="B648" s="26"/>
    </row>
    <row r="649" spans="2:2">
      <c r="B649" s="26"/>
    </row>
    <row r="650" spans="2:2">
      <c r="B650" s="26"/>
    </row>
    <row r="651" spans="2:2">
      <c r="B651" s="26"/>
    </row>
    <row r="652" spans="2:2">
      <c r="B652" s="26"/>
    </row>
    <row r="653" spans="2:2">
      <c r="B653" s="26"/>
    </row>
    <row r="654" spans="2:2">
      <c r="B654" s="26"/>
    </row>
    <row r="655" spans="2:2">
      <c r="B655" s="26"/>
    </row>
    <row r="656" spans="2:2">
      <c r="B656" s="26"/>
    </row>
    <row r="657" spans="2:2">
      <c r="B657" s="26"/>
    </row>
    <row r="658" spans="2:2">
      <c r="B658" s="26"/>
    </row>
    <row r="659" spans="2:2">
      <c r="B659" s="26"/>
    </row>
    <row r="660" spans="2:2">
      <c r="B660" s="26"/>
    </row>
    <row r="661" spans="2:2">
      <c r="B661" s="26"/>
    </row>
    <row r="662" spans="2:2">
      <c r="B662" s="26"/>
    </row>
    <row r="663" spans="2:2">
      <c r="B663" s="26"/>
    </row>
    <row r="664" spans="2:2">
      <c r="B664" s="26"/>
    </row>
    <row r="665" spans="2:2">
      <c r="B665" s="26"/>
    </row>
    <row r="666" spans="2:2">
      <c r="B666" s="26"/>
    </row>
    <row r="667" spans="2:2">
      <c r="B667" s="26"/>
    </row>
    <row r="668" spans="2:2">
      <c r="B668" s="26"/>
    </row>
    <row r="669" spans="2:2">
      <c r="B669" s="26"/>
    </row>
    <row r="670" spans="2:2">
      <c r="B670" s="26"/>
    </row>
    <row r="671" spans="2:2">
      <c r="B671" s="26"/>
    </row>
    <row r="672" spans="2:2">
      <c r="B672" s="26"/>
    </row>
    <row r="673" spans="2:2">
      <c r="B673" s="26"/>
    </row>
    <row r="674" spans="2:2">
      <c r="B674" s="26"/>
    </row>
    <row r="675" spans="2:2">
      <c r="B675" s="26"/>
    </row>
    <row r="676" spans="2:2">
      <c r="B676" s="26"/>
    </row>
    <row r="677" spans="2:2">
      <c r="B677" s="26"/>
    </row>
    <row r="678" spans="2:2">
      <c r="B678" s="26"/>
    </row>
    <row r="679" spans="2:2">
      <c r="B679" s="26"/>
    </row>
    <row r="680" spans="2:2">
      <c r="B680" s="26"/>
    </row>
    <row r="681" spans="2:2">
      <c r="B681" s="26"/>
    </row>
    <row r="682" spans="2:2">
      <c r="B682" s="26"/>
    </row>
    <row r="683" spans="2:2">
      <c r="B683" s="26"/>
    </row>
    <row r="684" spans="2:2">
      <c r="B684" s="26"/>
    </row>
    <row r="685" spans="2:2">
      <c r="B685" s="26"/>
    </row>
    <row r="686" spans="2:2">
      <c r="B686" s="26"/>
    </row>
    <row r="687" spans="2:2">
      <c r="B687" s="26"/>
    </row>
    <row r="688" spans="2:2">
      <c r="B688" s="26"/>
    </row>
    <row r="689" spans="2:2">
      <c r="B689" s="26"/>
    </row>
    <row r="690" spans="2:2">
      <c r="B690" s="26"/>
    </row>
    <row r="691" spans="2:2">
      <c r="B691" s="26"/>
    </row>
    <row r="692" spans="2:2">
      <c r="B692" s="26"/>
    </row>
    <row r="693" spans="2:2">
      <c r="B693" s="26"/>
    </row>
    <row r="694" spans="2:2">
      <c r="B694" s="26"/>
    </row>
    <row r="695" spans="2:2">
      <c r="B695" s="26"/>
    </row>
    <row r="696" spans="2:2">
      <c r="B696" s="26"/>
    </row>
    <row r="697" spans="2:2">
      <c r="B697" s="26"/>
    </row>
    <row r="698" spans="2:2">
      <c r="B698" s="26"/>
    </row>
    <row r="699" spans="2:2">
      <c r="B699" s="26"/>
    </row>
    <row r="700" spans="2:2">
      <c r="B700" s="26"/>
    </row>
    <row r="701" spans="2:2">
      <c r="B701" s="26"/>
    </row>
    <row r="702" spans="2:2">
      <c r="B702" s="26"/>
    </row>
    <row r="703" spans="2:2">
      <c r="B703" s="26"/>
    </row>
    <row r="704" spans="2:2">
      <c r="B704" s="26"/>
    </row>
    <row r="705" spans="2:2">
      <c r="B705" s="26"/>
    </row>
    <row r="706" spans="2:2">
      <c r="B706" s="26"/>
    </row>
    <row r="707" spans="2:2">
      <c r="B707" s="26"/>
    </row>
    <row r="708" spans="2:2">
      <c r="B708" s="26"/>
    </row>
    <row r="709" spans="2:2">
      <c r="B709" s="26"/>
    </row>
    <row r="710" spans="2:2">
      <c r="B710" s="26"/>
    </row>
    <row r="711" spans="2:2">
      <c r="B711" s="26"/>
    </row>
    <row r="712" spans="2:2">
      <c r="B712" s="26"/>
    </row>
    <row r="713" spans="2:2">
      <c r="B713" s="26"/>
    </row>
    <row r="714" spans="2:2">
      <c r="B714" s="26"/>
    </row>
    <row r="715" spans="2:2">
      <c r="B715" s="26"/>
    </row>
    <row r="716" spans="2:2">
      <c r="B716" s="26"/>
    </row>
    <row r="717" spans="2:2">
      <c r="B717" s="26"/>
    </row>
    <row r="718" spans="2:2">
      <c r="B718" s="26"/>
    </row>
    <row r="719" spans="2:2">
      <c r="B719" s="26"/>
    </row>
    <row r="720" spans="2:2">
      <c r="B720" s="26"/>
    </row>
    <row r="721" spans="2:2">
      <c r="B721" s="26"/>
    </row>
    <row r="722" spans="2:2">
      <c r="B722" s="26"/>
    </row>
    <row r="723" spans="2:2">
      <c r="B723" s="26"/>
    </row>
    <row r="724" spans="2:2">
      <c r="B724" s="26"/>
    </row>
    <row r="725" spans="2:2">
      <c r="B725" s="26"/>
    </row>
    <row r="726" spans="2:2">
      <c r="B726" s="26"/>
    </row>
    <row r="727" spans="2:2">
      <c r="B727" s="26"/>
    </row>
    <row r="728" spans="2:2">
      <c r="B728" s="26"/>
    </row>
    <row r="729" spans="2:2">
      <c r="B729" s="26"/>
    </row>
    <row r="730" spans="2:2">
      <c r="B730" s="26"/>
    </row>
    <row r="731" spans="2:2">
      <c r="B731" s="26"/>
    </row>
    <row r="732" spans="2:2">
      <c r="B732" s="26"/>
    </row>
    <row r="733" spans="2:2">
      <c r="B733" s="26"/>
    </row>
    <row r="734" spans="2:2">
      <c r="B734" s="26"/>
    </row>
    <row r="735" spans="2:2">
      <c r="B735" s="26"/>
    </row>
    <row r="736" spans="2:2">
      <c r="B736" s="26"/>
    </row>
    <row r="737" spans="2:2">
      <c r="B737" s="26"/>
    </row>
    <row r="738" spans="2:2">
      <c r="B738" s="26"/>
    </row>
    <row r="739" spans="2:2">
      <c r="B739" s="26"/>
    </row>
    <row r="740" spans="2:2">
      <c r="B740" s="26"/>
    </row>
    <row r="741" spans="2:2">
      <c r="B741" s="26"/>
    </row>
    <row r="742" spans="2:2">
      <c r="B742" s="26"/>
    </row>
    <row r="743" spans="2:2">
      <c r="B743" s="26"/>
    </row>
    <row r="744" spans="2:2">
      <c r="B744" s="26"/>
    </row>
    <row r="745" spans="2:2">
      <c r="B745" s="26"/>
    </row>
    <row r="746" spans="2:2">
      <c r="B746" s="26"/>
    </row>
    <row r="747" spans="2:2">
      <c r="B747" s="26"/>
    </row>
    <row r="748" spans="2:2">
      <c r="B748" s="26"/>
    </row>
    <row r="749" spans="2:2">
      <c r="B749" s="26"/>
    </row>
    <row r="750" spans="2:2">
      <c r="B750" s="26"/>
    </row>
    <row r="751" spans="2:2">
      <c r="B751" s="26"/>
    </row>
    <row r="752" spans="2:2">
      <c r="B752" s="26"/>
    </row>
    <row r="753" spans="2:2">
      <c r="B753" s="26"/>
    </row>
    <row r="754" spans="2:2">
      <c r="B754" s="26"/>
    </row>
    <row r="755" spans="2:2">
      <c r="B755" s="26"/>
    </row>
    <row r="756" spans="2:2">
      <c r="B756" s="26"/>
    </row>
    <row r="757" spans="2:2">
      <c r="B757" s="26"/>
    </row>
    <row r="758" spans="2:2">
      <c r="B758" s="26"/>
    </row>
    <row r="759" spans="2:2">
      <c r="B759" s="26"/>
    </row>
    <row r="760" spans="2:2">
      <c r="B760" s="26"/>
    </row>
    <row r="761" spans="2:2">
      <c r="B761" s="26"/>
    </row>
    <row r="762" spans="2:2">
      <c r="B762" s="26"/>
    </row>
    <row r="763" spans="2:2">
      <c r="B763" s="26"/>
    </row>
    <row r="764" spans="2:2">
      <c r="B764" s="26"/>
    </row>
    <row r="765" spans="2:2">
      <c r="B765" s="26"/>
    </row>
    <row r="766" spans="2:2">
      <c r="B766" s="26"/>
    </row>
    <row r="767" spans="2:2">
      <c r="B767" s="26"/>
    </row>
    <row r="768" spans="2:2">
      <c r="B768" s="26"/>
    </row>
    <row r="769" spans="2:2">
      <c r="B769" s="26"/>
    </row>
    <row r="770" spans="2:2">
      <c r="B770" s="26"/>
    </row>
    <row r="771" spans="2:2">
      <c r="B771" s="26"/>
    </row>
    <row r="772" spans="2:2">
      <c r="B772" s="26"/>
    </row>
    <row r="773" spans="2:2">
      <c r="B773" s="26"/>
    </row>
    <row r="774" spans="2:2">
      <c r="B774" s="26"/>
    </row>
    <row r="775" spans="2:2">
      <c r="B775" s="26"/>
    </row>
    <row r="776" spans="2:2">
      <c r="B776" s="26"/>
    </row>
    <row r="777" spans="2:2">
      <c r="B777" s="26"/>
    </row>
    <row r="778" spans="2:2">
      <c r="B778" s="26"/>
    </row>
    <row r="779" spans="2:2">
      <c r="B779" s="26"/>
    </row>
    <row r="780" spans="2:2">
      <c r="B780" s="26"/>
    </row>
    <row r="781" spans="2:2">
      <c r="B781" s="26"/>
    </row>
    <row r="782" spans="2:2">
      <c r="B782" s="26"/>
    </row>
    <row r="783" spans="2:2">
      <c r="B783" s="26"/>
    </row>
    <row r="784" spans="2:2">
      <c r="B784" s="26"/>
    </row>
    <row r="785" spans="2:2">
      <c r="B785" s="26"/>
    </row>
    <row r="786" spans="2:2">
      <c r="B786" s="26"/>
    </row>
    <row r="787" spans="2:2">
      <c r="B787" s="26"/>
    </row>
    <row r="788" spans="2:2">
      <c r="B788" s="26"/>
    </row>
    <row r="789" spans="2:2">
      <c r="B789" s="26"/>
    </row>
    <row r="790" spans="2:2">
      <c r="B790" s="26"/>
    </row>
    <row r="791" spans="2:2">
      <c r="B791" s="26"/>
    </row>
    <row r="792" spans="2:2">
      <c r="B792" s="26"/>
    </row>
    <row r="793" spans="2:2">
      <c r="B793" s="26"/>
    </row>
    <row r="794" spans="2:2">
      <c r="B794" s="26"/>
    </row>
    <row r="795" spans="2:2">
      <c r="B795" s="26"/>
    </row>
    <row r="796" spans="2:2">
      <c r="B796" s="26"/>
    </row>
    <row r="797" spans="2:2">
      <c r="B797" s="26"/>
    </row>
    <row r="798" spans="2:2">
      <c r="B798" s="26"/>
    </row>
    <row r="799" spans="2:2">
      <c r="B799" s="26"/>
    </row>
    <row r="800" spans="2:2">
      <c r="B800" s="26"/>
    </row>
    <row r="801" spans="2:2">
      <c r="B801" s="26"/>
    </row>
    <row r="802" spans="2:2">
      <c r="B802" s="26"/>
    </row>
    <row r="803" spans="2:2">
      <c r="B803" s="26"/>
    </row>
    <row r="804" spans="2:2">
      <c r="B804" s="26"/>
    </row>
    <row r="805" spans="2:2">
      <c r="B805" s="26"/>
    </row>
    <row r="806" spans="2:2">
      <c r="B806" s="26"/>
    </row>
    <row r="807" spans="2:2">
      <c r="B807" s="26"/>
    </row>
    <row r="808" spans="2:2">
      <c r="B808" s="26"/>
    </row>
    <row r="809" spans="2:2">
      <c r="B809" s="26"/>
    </row>
    <row r="810" spans="2:2">
      <c r="B810" s="26"/>
    </row>
    <row r="811" spans="2:2">
      <c r="B811" s="26"/>
    </row>
    <row r="812" spans="2:2">
      <c r="B812" s="26"/>
    </row>
    <row r="813" spans="2:2">
      <c r="B813" s="26"/>
    </row>
    <row r="814" spans="2:2">
      <c r="B814" s="26"/>
    </row>
    <row r="815" spans="2:2">
      <c r="B815" s="26"/>
    </row>
    <row r="816" spans="2:2">
      <c r="B816" s="26"/>
    </row>
    <row r="817" spans="2:2">
      <c r="B817" s="26"/>
    </row>
    <row r="818" spans="2:2">
      <c r="B818" s="26"/>
    </row>
    <row r="819" spans="2:2">
      <c r="B819" s="26"/>
    </row>
    <row r="820" spans="2:2">
      <c r="B820" s="26"/>
    </row>
    <row r="821" spans="2:2">
      <c r="B821" s="26"/>
    </row>
    <row r="822" spans="2:2">
      <c r="B822" s="26"/>
    </row>
    <row r="823" spans="2:2">
      <c r="B823" s="26"/>
    </row>
    <row r="824" spans="2:2">
      <c r="B824" s="26"/>
    </row>
    <row r="825" spans="2:2">
      <c r="B825" s="26"/>
    </row>
    <row r="826" spans="2:2">
      <c r="B826" s="26"/>
    </row>
    <row r="827" spans="2:2">
      <c r="B827" s="26"/>
    </row>
    <row r="828" spans="2:2">
      <c r="B828" s="26"/>
    </row>
    <row r="829" spans="2:2">
      <c r="B829" s="26"/>
    </row>
    <row r="830" spans="2:2">
      <c r="B830" s="26"/>
    </row>
    <row r="831" spans="2:2">
      <c r="B831" s="26"/>
    </row>
    <row r="832" spans="2:2">
      <c r="B832" s="26"/>
    </row>
    <row r="833" spans="2:2">
      <c r="B833" s="26"/>
    </row>
    <row r="834" spans="2:2">
      <c r="B834" s="26"/>
    </row>
    <row r="835" spans="2:2">
      <c r="B835" s="26"/>
    </row>
    <row r="836" spans="2:2">
      <c r="B836" s="26"/>
    </row>
    <row r="837" spans="2:2">
      <c r="B837" s="26"/>
    </row>
    <row r="838" spans="2:2">
      <c r="B838" s="26"/>
    </row>
    <row r="839" spans="2:2">
      <c r="B839" s="26"/>
    </row>
    <row r="840" spans="2:2">
      <c r="B840" s="26"/>
    </row>
    <row r="841" spans="2:2">
      <c r="B841" s="26"/>
    </row>
    <row r="842" spans="2:2">
      <c r="B842" s="26"/>
    </row>
    <row r="843" spans="2:2">
      <c r="B843" s="26"/>
    </row>
    <row r="844" spans="2:2">
      <c r="B844" s="26"/>
    </row>
    <row r="845" spans="2:2">
      <c r="B845" s="26"/>
    </row>
    <row r="846" spans="2:2">
      <c r="B846" s="26"/>
    </row>
    <row r="847" spans="2:2">
      <c r="B847" s="26"/>
    </row>
    <row r="848" spans="2:2">
      <c r="B848" s="26"/>
    </row>
    <row r="849" spans="2:2">
      <c r="B849" s="26"/>
    </row>
    <row r="850" spans="2:2">
      <c r="B850" s="26"/>
    </row>
    <row r="851" spans="2:2">
      <c r="B851" s="26"/>
    </row>
    <row r="852" spans="2:2">
      <c r="B852" s="26"/>
    </row>
    <row r="853" spans="2:2">
      <c r="B853" s="26"/>
    </row>
    <row r="854" spans="2:2">
      <c r="B854" s="26"/>
    </row>
    <row r="855" spans="2:2">
      <c r="B855" s="26"/>
    </row>
    <row r="856" spans="2:2">
      <c r="B856" s="26"/>
    </row>
    <row r="857" spans="2:2">
      <c r="B857" s="26"/>
    </row>
    <row r="858" spans="2:2">
      <c r="B858" s="26"/>
    </row>
    <row r="859" spans="2:2">
      <c r="B859" s="26"/>
    </row>
    <row r="860" spans="2:2">
      <c r="B860" s="26"/>
    </row>
    <row r="861" spans="2:2">
      <c r="B861" s="26"/>
    </row>
    <row r="862" spans="2:2">
      <c r="B862" s="26"/>
    </row>
    <row r="863" spans="2:2">
      <c r="B863" s="26"/>
    </row>
    <row r="864" spans="2:2">
      <c r="B864" s="26"/>
    </row>
    <row r="865" spans="2:2">
      <c r="B865" s="26"/>
    </row>
    <row r="866" spans="2:2">
      <c r="B866" s="26"/>
    </row>
    <row r="867" spans="2:2">
      <c r="B867" s="26"/>
    </row>
    <row r="868" spans="2:2">
      <c r="B868" s="26"/>
    </row>
    <row r="869" spans="2:2">
      <c r="B869" s="26"/>
    </row>
    <row r="870" spans="2:2">
      <c r="B870" s="26"/>
    </row>
    <row r="871" spans="2:2">
      <c r="B871" s="26"/>
    </row>
    <row r="872" spans="2:2">
      <c r="B872" s="26"/>
    </row>
    <row r="873" spans="2:2">
      <c r="B873" s="26"/>
    </row>
    <row r="874" spans="2:2">
      <c r="B874" s="26"/>
    </row>
    <row r="875" spans="2:2">
      <c r="B875" s="26"/>
    </row>
    <row r="876" spans="2:2">
      <c r="B876" s="26"/>
    </row>
    <row r="877" spans="2:2">
      <c r="B877" s="26"/>
    </row>
    <row r="878" spans="2:2">
      <c r="B878" s="26"/>
    </row>
    <row r="879" spans="2:2">
      <c r="B879" s="26"/>
    </row>
    <row r="880" spans="2:2">
      <c r="B880" s="26"/>
    </row>
    <row r="881" spans="2:2">
      <c r="B881" s="26"/>
    </row>
    <row r="882" spans="2:2">
      <c r="B882" s="26"/>
    </row>
    <row r="883" spans="2:2">
      <c r="B883" s="26"/>
    </row>
    <row r="884" spans="2:2">
      <c r="B884" s="26"/>
    </row>
    <row r="885" spans="2:2">
      <c r="B885" s="26"/>
    </row>
    <row r="886" spans="2:2">
      <c r="B886" s="26"/>
    </row>
    <row r="887" spans="2:2">
      <c r="B887" s="26"/>
    </row>
    <row r="888" spans="2:2">
      <c r="B888" s="26"/>
    </row>
    <row r="889" spans="2:2">
      <c r="B889" s="26"/>
    </row>
    <row r="890" spans="2:2">
      <c r="B890" s="26"/>
    </row>
    <row r="891" spans="2:2">
      <c r="B891" s="26"/>
    </row>
    <row r="892" spans="2:2">
      <c r="B892" s="26"/>
    </row>
    <row r="893" spans="2:2">
      <c r="B893" s="26"/>
    </row>
    <row r="894" spans="2:2">
      <c r="B894" s="26"/>
    </row>
    <row r="895" spans="2:2">
      <c r="B895" s="26"/>
    </row>
    <row r="896" spans="2:2">
      <c r="B896" s="26"/>
    </row>
    <row r="897" spans="2:2">
      <c r="B897" s="26"/>
    </row>
    <row r="898" spans="2:2">
      <c r="B898" s="26"/>
    </row>
    <row r="899" spans="2:2">
      <c r="B899" s="26"/>
    </row>
    <row r="900" spans="2:2">
      <c r="B900" s="26"/>
    </row>
    <row r="901" spans="2:2">
      <c r="B901" s="26"/>
    </row>
    <row r="902" spans="2:2">
      <c r="B902" s="26"/>
    </row>
    <row r="903" spans="2:2">
      <c r="B903" s="26"/>
    </row>
    <row r="904" spans="2:2">
      <c r="B904" s="26"/>
    </row>
    <row r="905" spans="2:2">
      <c r="B905" s="26"/>
    </row>
    <row r="906" spans="2:2">
      <c r="B906" s="26"/>
    </row>
    <row r="907" spans="2:2">
      <c r="B907" s="26"/>
    </row>
    <row r="908" spans="2:2">
      <c r="B908" s="26"/>
    </row>
    <row r="909" spans="2:2">
      <c r="B909" s="26"/>
    </row>
    <row r="910" spans="2:2">
      <c r="B910" s="26"/>
    </row>
    <row r="911" spans="2:2">
      <c r="B911" s="26"/>
    </row>
    <row r="912" spans="2:2">
      <c r="B912" s="26"/>
    </row>
    <row r="913" spans="2:2">
      <c r="B913" s="26"/>
    </row>
    <row r="914" spans="2:2">
      <c r="B914" s="26"/>
    </row>
    <row r="915" spans="2:2">
      <c r="B915" s="26"/>
    </row>
    <row r="916" spans="2:2">
      <c r="B916" s="26"/>
    </row>
    <row r="917" spans="2:2">
      <c r="B917" s="26"/>
    </row>
    <row r="918" spans="2:2">
      <c r="B918" s="26"/>
    </row>
    <row r="919" spans="2:2">
      <c r="B919" s="26"/>
    </row>
    <row r="920" spans="2:2">
      <c r="B920" s="26"/>
    </row>
    <row r="921" spans="2:2">
      <c r="B921" s="26"/>
    </row>
    <row r="922" spans="2:2">
      <c r="B922" s="26"/>
    </row>
    <row r="923" spans="2:2">
      <c r="B923" s="26"/>
    </row>
    <row r="924" spans="2:2">
      <c r="B924" s="26"/>
    </row>
    <row r="925" spans="2:2">
      <c r="B925" s="26"/>
    </row>
    <row r="926" spans="2:2">
      <c r="B926" s="26"/>
    </row>
    <row r="927" spans="2:2">
      <c r="B927" s="26"/>
    </row>
    <row r="928" spans="2:2">
      <c r="B928" s="26"/>
    </row>
    <row r="929" spans="2:2">
      <c r="B929" s="26"/>
    </row>
    <row r="930" spans="2:2">
      <c r="B930" s="26"/>
    </row>
    <row r="931" spans="2:2">
      <c r="B931" s="26"/>
    </row>
    <row r="932" spans="2:2">
      <c r="B932" s="26"/>
    </row>
    <row r="933" spans="2:2">
      <c r="B933" s="26"/>
    </row>
    <row r="934" spans="2:2">
      <c r="B934" s="26"/>
    </row>
    <row r="935" spans="2:2">
      <c r="B935" s="26"/>
    </row>
    <row r="936" spans="2:2">
      <c r="B936" s="26"/>
    </row>
    <row r="937" spans="2:2">
      <c r="B937" s="26"/>
    </row>
    <row r="938" spans="2:2">
      <c r="B938" s="26"/>
    </row>
    <row r="939" spans="2:2">
      <c r="B939" s="26"/>
    </row>
    <row r="940" spans="2:2">
      <c r="B940" s="26"/>
    </row>
    <row r="941" spans="2:2">
      <c r="B941" s="26"/>
    </row>
    <row r="942" spans="2:2">
      <c r="B942" s="26"/>
    </row>
    <row r="943" spans="2:2">
      <c r="B943" s="26"/>
    </row>
    <row r="944" spans="2:2">
      <c r="B944" s="26"/>
    </row>
    <row r="945" spans="2:2">
      <c r="B945" s="26"/>
    </row>
    <row r="946" spans="2:2">
      <c r="B946" s="26"/>
    </row>
    <row r="947" spans="2:2">
      <c r="B947" s="26"/>
    </row>
    <row r="948" spans="2:2">
      <c r="B948" s="26"/>
    </row>
    <row r="949" spans="2:2">
      <c r="B949" s="26"/>
    </row>
    <row r="950" spans="2:2">
      <c r="B950" s="26"/>
    </row>
    <row r="951" spans="2:2">
      <c r="B951" s="26"/>
    </row>
    <row r="952" spans="2:2">
      <c r="B952" s="26"/>
    </row>
    <row r="953" spans="2:2">
      <c r="B953" s="26"/>
    </row>
    <row r="954" spans="2:2">
      <c r="B954" s="26"/>
    </row>
    <row r="955" spans="2:2">
      <c r="B955" s="26"/>
    </row>
    <row r="956" spans="2:2">
      <c r="B956" s="26"/>
    </row>
    <row r="957" spans="2:2">
      <c r="B957" s="26"/>
    </row>
    <row r="958" spans="2:2">
      <c r="B958" s="26"/>
    </row>
    <row r="959" spans="2:2">
      <c r="B959" s="26"/>
    </row>
    <row r="960" spans="2:2">
      <c r="B960" s="26"/>
    </row>
    <row r="961" spans="2:2">
      <c r="B961" s="26"/>
    </row>
    <row r="962" spans="2:2">
      <c r="B962" s="26"/>
    </row>
    <row r="963" spans="2:2">
      <c r="B963" s="26"/>
    </row>
    <row r="964" spans="2:2">
      <c r="B964" s="26"/>
    </row>
    <row r="965" spans="2:2">
      <c r="B965" s="26"/>
    </row>
    <row r="966" spans="2:2">
      <c r="B966" s="26"/>
    </row>
    <row r="967" spans="2:2">
      <c r="B967" s="26"/>
    </row>
    <row r="968" spans="2:2">
      <c r="B968" s="26"/>
    </row>
    <row r="969" spans="2:2">
      <c r="B969" s="26"/>
    </row>
    <row r="970" spans="2:2">
      <c r="B970" s="26"/>
    </row>
    <row r="971" spans="2:2">
      <c r="B971" s="26"/>
    </row>
    <row r="972" spans="2:2">
      <c r="B972" s="26"/>
    </row>
    <row r="973" spans="2:2">
      <c r="B973" s="26"/>
    </row>
    <row r="974" spans="2:2">
      <c r="B974" s="26"/>
    </row>
    <row r="975" spans="2:2">
      <c r="B975" s="26"/>
    </row>
    <row r="976" spans="2:2">
      <c r="B976" s="26"/>
    </row>
    <row r="977" spans="2:2">
      <c r="B977" s="26"/>
    </row>
    <row r="978" spans="2:2">
      <c r="B978" s="26"/>
    </row>
    <row r="979" spans="2:2">
      <c r="B979" s="26"/>
    </row>
    <row r="980" spans="2:2">
      <c r="B980" s="26"/>
    </row>
    <row r="981" spans="2:2">
      <c r="B981" s="26"/>
    </row>
    <row r="982" spans="2:2">
      <c r="B982" s="26"/>
    </row>
    <row r="983" spans="2:2">
      <c r="B983" s="26"/>
    </row>
    <row r="984" spans="2:2">
      <c r="B984" s="26"/>
    </row>
    <row r="985" spans="2:2">
      <c r="B985" s="26"/>
    </row>
    <row r="986" spans="2:2">
      <c r="B986" s="26"/>
    </row>
    <row r="987" spans="2:2">
      <c r="B987" s="26"/>
    </row>
    <row r="988" spans="2:2">
      <c r="B988" s="26"/>
    </row>
    <row r="989" spans="2:2">
      <c r="B989" s="26"/>
    </row>
    <row r="990" spans="2:2">
      <c r="B990" s="26"/>
    </row>
    <row r="991" spans="2:2">
      <c r="B991" s="26"/>
    </row>
    <row r="992" spans="2:2">
      <c r="B992" s="26"/>
    </row>
    <row r="993" spans="2:2">
      <c r="B993" s="26"/>
    </row>
    <row r="994" spans="2:2">
      <c r="B994" s="26"/>
    </row>
    <row r="995" spans="2:2">
      <c r="B995" s="26"/>
    </row>
    <row r="996" spans="2:2">
      <c r="B996" s="26"/>
    </row>
    <row r="997" spans="2:2">
      <c r="B997" s="26"/>
    </row>
    <row r="998" spans="2:2">
      <c r="B998" s="26"/>
    </row>
    <row r="999" spans="2:2">
      <c r="B999" s="26"/>
    </row>
    <row r="1000" spans="2:2">
      <c r="B1000" s="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99"/>
  <sheetViews>
    <sheetView workbookViewId="0">
      <selection sqref="A1:J1"/>
    </sheetView>
  </sheetViews>
  <sheetFormatPr baseColWidth="10" defaultColWidth="8.6640625" defaultRowHeight="14"/>
  <cols>
    <col min="1" max="1" width="18" customWidth="1"/>
    <col min="2" max="2" width="12" customWidth="1"/>
    <col min="3" max="3" width="16" customWidth="1"/>
    <col min="4" max="4" width="36" customWidth="1"/>
    <col min="5" max="5" width="16" customWidth="1"/>
    <col min="6" max="6" width="10" customWidth="1"/>
    <col min="7" max="8" width="12" customWidth="1"/>
    <col min="9" max="9" width="24" customWidth="1"/>
    <col min="10" max="10" width="42" customWidth="1"/>
  </cols>
  <sheetData>
    <row r="1" spans="1:10" ht="18">
      <c r="A1" s="97" t="s">
        <v>718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4.1500000000000004" customHeight="1">
      <c r="A2" s="98" t="s">
        <v>719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28">
      <c r="A3" s="37" t="s">
        <v>414</v>
      </c>
      <c r="B3" s="37" t="s">
        <v>691</v>
      </c>
      <c r="C3" s="37" t="s">
        <v>415</v>
      </c>
      <c r="D3" s="37" t="s">
        <v>241</v>
      </c>
      <c r="E3" s="37" t="s">
        <v>416</v>
      </c>
      <c r="F3" s="37" t="s">
        <v>417</v>
      </c>
      <c r="G3" s="37" t="s">
        <v>720</v>
      </c>
      <c r="H3" s="37" t="s">
        <v>721</v>
      </c>
      <c r="I3" s="37" t="s">
        <v>708</v>
      </c>
      <c r="J3" s="37" t="s">
        <v>246</v>
      </c>
    </row>
    <row r="4" spans="1:10" ht="28">
      <c r="A4" t="s">
        <v>722</v>
      </c>
      <c r="B4" s="18" t="s">
        <v>47</v>
      </c>
      <c r="C4" s="18" t="s">
        <v>51</v>
      </c>
      <c r="D4" s="18" t="s">
        <v>293</v>
      </c>
      <c r="E4" s="18" t="s">
        <v>46</v>
      </c>
      <c r="F4" s="18" t="s">
        <v>418</v>
      </c>
      <c r="G4" s="18">
        <v>2027</v>
      </c>
      <c r="H4">
        <v>25</v>
      </c>
      <c r="I4" s="18">
        <v>4</v>
      </c>
      <c r="J4" s="18" t="s">
        <v>723</v>
      </c>
    </row>
    <row r="5" spans="1:10" ht="28">
      <c r="A5" t="s">
        <v>69</v>
      </c>
      <c r="B5" s="18" t="s">
        <v>47</v>
      </c>
      <c r="C5" s="18" t="s">
        <v>51</v>
      </c>
      <c r="D5" s="18" t="s">
        <v>311</v>
      </c>
      <c r="E5" s="18" t="s">
        <v>46</v>
      </c>
      <c r="F5" s="18" t="s">
        <v>418</v>
      </c>
      <c r="G5" s="18">
        <v>2027</v>
      </c>
      <c r="H5">
        <v>25</v>
      </c>
      <c r="I5" s="18">
        <v>3</v>
      </c>
      <c r="J5" s="18" t="s">
        <v>724</v>
      </c>
    </row>
    <row r="6" spans="1:10" ht="28">
      <c r="A6" t="s">
        <v>94</v>
      </c>
      <c r="B6" s="18" t="s">
        <v>47</v>
      </c>
      <c r="C6" s="18" t="s">
        <v>51</v>
      </c>
      <c r="D6" s="18" t="s">
        <v>355</v>
      </c>
      <c r="E6" s="18" t="s">
        <v>46</v>
      </c>
      <c r="F6" s="18" t="s">
        <v>418</v>
      </c>
      <c r="G6" s="18">
        <v>2027</v>
      </c>
      <c r="H6">
        <v>18</v>
      </c>
      <c r="I6" s="18"/>
      <c r="J6" s="18"/>
    </row>
    <row r="7" spans="1:10" ht="28">
      <c r="A7" t="s">
        <v>71</v>
      </c>
      <c r="B7" s="18" t="s">
        <v>47</v>
      </c>
      <c r="C7" s="18" t="s">
        <v>51</v>
      </c>
      <c r="D7" s="18" t="s">
        <v>293</v>
      </c>
      <c r="E7" s="18" t="s">
        <v>46</v>
      </c>
      <c r="F7" s="18" t="s">
        <v>418</v>
      </c>
      <c r="G7" s="18">
        <v>2027</v>
      </c>
      <c r="H7">
        <v>12</v>
      </c>
      <c r="I7" s="18"/>
      <c r="J7" s="18"/>
    </row>
    <row r="8" spans="1:10" ht="28">
      <c r="A8" t="s">
        <v>75</v>
      </c>
      <c r="B8" s="18" t="s">
        <v>47</v>
      </c>
      <c r="C8" s="18" t="s">
        <v>51</v>
      </c>
      <c r="D8" s="18" t="s">
        <v>293</v>
      </c>
      <c r="E8" s="18" t="s">
        <v>46</v>
      </c>
      <c r="F8" s="18" t="s">
        <v>418</v>
      </c>
      <c r="G8" s="18">
        <v>2027</v>
      </c>
      <c r="H8">
        <v>12</v>
      </c>
      <c r="I8" s="18"/>
      <c r="J8" s="18"/>
    </row>
    <row r="9" spans="1:10" ht="28">
      <c r="A9" t="s">
        <v>76</v>
      </c>
      <c r="B9" s="18" t="s">
        <v>47</v>
      </c>
      <c r="C9" s="18" t="s">
        <v>51</v>
      </c>
      <c r="D9" s="18" t="s">
        <v>293</v>
      </c>
      <c r="E9" s="18" t="s">
        <v>46</v>
      </c>
      <c r="F9" s="18" t="s">
        <v>418</v>
      </c>
      <c r="G9" s="18">
        <v>2027</v>
      </c>
      <c r="H9">
        <v>12</v>
      </c>
      <c r="I9" s="18"/>
      <c r="J9" s="18"/>
    </row>
    <row r="10" spans="1:10" ht="28">
      <c r="A10" t="s">
        <v>725</v>
      </c>
      <c r="B10" s="18" t="s">
        <v>47</v>
      </c>
      <c r="C10" s="18" t="s">
        <v>51</v>
      </c>
      <c r="D10" s="18" t="s">
        <v>293</v>
      </c>
      <c r="E10" s="18" t="s">
        <v>46</v>
      </c>
      <c r="F10" s="18" t="s">
        <v>418</v>
      </c>
      <c r="G10" s="18">
        <v>2027</v>
      </c>
      <c r="H10">
        <v>18</v>
      </c>
      <c r="I10" s="18"/>
      <c r="J10" s="18"/>
    </row>
    <row r="11" spans="1:10" ht="28">
      <c r="A11" t="s">
        <v>82</v>
      </c>
      <c r="B11" s="18" t="s">
        <v>47</v>
      </c>
      <c r="C11" s="18" t="s">
        <v>51</v>
      </c>
      <c r="D11" s="18" t="s">
        <v>369</v>
      </c>
      <c r="E11" s="18" t="s">
        <v>46</v>
      </c>
      <c r="F11" s="18" t="s">
        <v>418</v>
      </c>
      <c r="G11" s="18">
        <v>2027</v>
      </c>
      <c r="H11">
        <v>18</v>
      </c>
      <c r="I11" s="18"/>
      <c r="J11" s="18"/>
    </row>
    <row r="12" spans="1:10" ht="28">
      <c r="A12" t="s">
        <v>88</v>
      </c>
      <c r="B12" s="18" t="s">
        <v>47</v>
      </c>
      <c r="C12" s="18" t="s">
        <v>51</v>
      </c>
      <c r="D12" s="18" t="s">
        <v>293</v>
      </c>
      <c r="E12" s="18" t="s">
        <v>46</v>
      </c>
      <c r="F12" s="18" t="s">
        <v>418</v>
      </c>
      <c r="G12" s="18">
        <v>2027</v>
      </c>
      <c r="H12">
        <v>12</v>
      </c>
      <c r="I12" s="18"/>
      <c r="J12" s="18"/>
    </row>
    <row r="13" spans="1:10" ht="28">
      <c r="A13" t="s">
        <v>74</v>
      </c>
      <c r="B13" s="18" t="s">
        <v>47</v>
      </c>
      <c r="C13" s="18" t="s">
        <v>51</v>
      </c>
      <c r="D13" s="18" t="s">
        <v>302</v>
      </c>
      <c r="E13" s="18" t="s">
        <v>46</v>
      </c>
      <c r="F13" s="18" t="s">
        <v>418</v>
      </c>
      <c r="G13" s="18">
        <v>2027</v>
      </c>
      <c r="H13">
        <v>12</v>
      </c>
      <c r="I13" s="18"/>
      <c r="J13" s="18"/>
    </row>
    <row r="14" spans="1:10" ht="28">
      <c r="A14" t="s">
        <v>79</v>
      </c>
      <c r="B14" s="18" t="s">
        <v>47</v>
      </c>
      <c r="C14" s="18" t="s">
        <v>51</v>
      </c>
      <c r="D14" s="18" t="s">
        <v>369</v>
      </c>
      <c r="E14" s="18" t="s">
        <v>46</v>
      </c>
      <c r="F14" s="18" t="s">
        <v>418</v>
      </c>
      <c r="G14" s="18">
        <v>2027</v>
      </c>
      <c r="H14">
        <v>18</v>
      </c>
      <c r="I14" s="18"/>
      <c r="J14" s="18"/>
    </row>
    <row r="15" spans="1:10" ht="28">
      <c r="A15" t="s">
        <v>85</v>
      </c>
      <c r="B15" s="18" t="s">
        <v>47</v>
      </c>
      <c r="C15" s="18" t="s">
        <v>51</v>
      </c>
      <c r="D15" s="18" t="s">
        <v>293</v>
      </c>
      <c r="E15" s="18" t="s">
        <v>46</v>
      </c>
      <c r="F15" s="18" t="s">
        <v>418</v>
      </c>
      <c r="G15" s="18">
        <v>2027</v>
      </c>
      <c r="H15">
        <v>12</v>
      </c>
      <c r="I15" s="18"/>
      <c r="J15" s="18"/>
    </row>
    <row r="16" spans="1:10" ht="28">
      <c r="A16" t="s">
        <v>726</v>
      </c>
      <c r="B16" s="18" t="s">
        <v>47</v>
      </c>
      <c r="C16" s="18" t="s">
        <v>51</v>
      </c>
      <c r="D16" s="18" t="s">
        <v>369</v>
      </c>
      <c r="E16" s="18" t="s">
        <v>46</v>
      </c>
      <c r="F16" s="18" t="s">
        <v>418</v>
      </c>
      <c r="G16" s="18">
        <v>2027</v>
      </c>
      <c r="H16" s="18">
        <v>18</v>
      </c>
      <c r="I16" s="18"/>
      <c r="J16" s="18"/>
    </row>
    <row r="17" spans="1:10" ht="28">
      <c r="A17" t="s">
        <v>92</v>
      </c>
      <c r="B17" s="18" t="s">
        <v>47</v>
      </c>
      <c r="C17" s="18" t="s">
        <v>51</v>
      </c>
      <c r="D17" s="18" t="s">
        <v>293</v>
      </c>
      <c r="E17" s="18" t="s">
        <v>46</v>
      </c>
      <c r="F17" s="18" t="s">
        <v>418</v>
      </c>
      <c r="G17" s="18">
        <v>2027</v>
      </c>
      <c r="H17" s="18">
        <v>12</v>
      </c>
      <c r="I17" s="18"/>
      <c r="J17" s="18"/>
    </row>
    <row r="18" spans="1:10">
      <c r="A18" s="18" t="s">
        <v>95</v>
      </c>
      <c r="B18" s="18" t="s">
        <v>47</v>
      </c>
      <c r="C18" s="18" t="s">
        <v>51</v>
      </c>
      <c r="D18" s="18" t="s">
        <v>403</v>
      </c>
      <c r="E18" s="18" t="s">
        <v>46</v>
      </c>
      <c r="F18" s="18" t="s">
        <v>418</v>
      </c>
      <c r="G18" s="18">
        <v>2027</v>
      </c>
      <c r="H18" s="18">
        <v>12</v>
      </c>
      <c r="I18" s="18"/>
      <c r="J18" s="18"/>
    </row>
    <row r="19" spans="1:10" ht="28">
      <c r="A19" t="s">
        <v>58</v>
      </c>
      <c r="B19" s="18" t="s">
        <v>47</v>
      </c>
      <c r="C19" s="18" t="s">
        <v>51</v>
      </c>
      <c r="D19" s="18" t="s">
        <v>293</v>
      </c>
      <c r="E19" s="18" t="s">
        <v>46</v>
      </c>
      <c r="F19" s="18" t="s">
        <v>418</v>
      </c>
      <c r="G19" s="18">
        <v>2027</v>
      </c>
      <c r="H19">
        <v>20</v>
      </c>
      <c r="I19" s="18"/>
      <c r="J19" s="18"/>
    </row>
    <row r="20" spans="1:10" ht="28">
      <c r="A20" t="s">
        <v>66</v>
      </c>
      <c r="B20" s="18" t="s">
        <v>47</v>
      </c>
      <c r="C20" s="18" t="s">
        <v>51</v>
      </c>
      <c r="D20" s="18" t="s">
        <v>293</v>
      </c>
      <c r="E20" s="18" t="s">
        <v>46</v>
      </c>
      <c r="F20" s="18" t="s">
        <v>418</v>
      </c>
      <c r="G20" s="18">
        <v>2027</v>
      </c>
      <c r="H20">
        <v>20</v>
      </c>
      <c r="I20" s="18"/>
      <c r="J20" s="18"/>
    </row>
    <row r="21" spans="1:10" ht="28">
      <c r="A21" t="s">
        <v>84</v>
      </c>
      <c r="B21" s="18" t="s">
        <v>47</v>
      </c>
      <c r="C21" s="18" t="s">
        <v>51</v>
      </c>
      <c r="D21" s="18" t="s">
        <v>293</v>
      </c>
      <c r="E21" s="18" t="s">
        <v>46</v>
      </c>
      <c r="F21" s="18" t="s">
        <v>418</v>
      </c>
      <c r="G21" s="18">
        <v>2027</v>
      </c>
      <c r="H21">
        <v>18</v>
      </c>
      <c r="I21" s="18"/>
      <c r="J21" s="18"/>
    </row>
    <row r="22" spans="1:10" ht="28">
      <c r="A22" t="s">
        <v>89</v>
      </c>
      <c r="B22" s="18" t="s">
        <v>47</v>
      </c>
      <c r="C22" s="18" t="s">
        <v>51</v>
      </c>
      <c r="D22" s="18" t="s">
        <v>293</v>
      </c>
      <c r="E22" s="18" t="s">
        <v>46</v>
      </c>
      <c r="F22" s="18" t="s">
        <v>418</v>
      </c>
      <c r="G22" s="18">
        <v>2027</v>
      </c>
      <c r="H22">
        <v>18</v>
      </c>
      <c r="I22" s="18"/>
      <c r="J22" s="18"/>
    </row>
    <row r="23" spans="1:10">
      <c r="A23" t="s">
        <v>91</v>
      </c>
      <c r="B23" s="18" t="s">
        <v>47</v>
      </c>
      <c r="C23" s="18" t="s">
        <v>51</v>
      </c>
      <c r="D23" s="18" t="s">
        <v>403</v>
      </c>
      <c r="E23" s="18" t="s">
        <v>46</v>
      </c>
      <c r="F23" s="18" t="s">
        <v>418</v>
      </c>
      <c r="G23" s="18">
        <v>2027</v>
      </c>
      <c r="H23">
        <v>18</v>
      </c>
      <c r="I23" s="18"/>
      <c r="J23" s="18"/>
    </row>
    <row r="24" spans="1:10" ht="28">
      <c r="A24" s="18" t="s">
        <v>81</v>
      </c>
      <c r="B24" s="18" t="s">
        <v>47</v>
      </c>
      <c r="C24" s="18" t="s">
        <v>51</v>
      </c>
      <c r="D24" s="18" t="s">
        <v>727</v>
      </c>
      <c r="E24" s="18" t="s">
        <v>46</v>
      </c>
      <c r="F24" s="18" t="s">
        <v>418</v>
      </c>
      <c r="G24">
        <v>2027</v>
      </c>
      <c r="H24">
        <v>18</v>
      </c>
      <c r="I24" s="18"/>
      <c r="J24" s="18"/>
    </row>
    <row r="25" spans="1:10">
      <c r="A25" s="18" t="s">
        <v>81</v>
      </c>
      <c r="B25" s="18" t="s">
        <v>47</v>
      </c>
      <c r="C25" s="18" t="s">
        <v>51</v>
      </c>
      <c r="D25" s="18" t="s">
        <v>728</v>
      </c>
      <c r="E25" s="18" t="s">
        <v>46</v>
      </c>
      <c r="F25" s="18" t="s">
        <v>418</v>
      </c>
      <c r="G25">
        <v>2028</v>
      </c>
      <c r="H25">
        <v>18</v>
      </c>
      <c r="I25" s="18"/>
      <c r="J25" s="18"/>
    </row>
    <row r="26" spans="1:10" ht="28">
      <c r="A26" s="18" t="s">
        <v>68</v>
      </c>
      <c r="B26" s="18" t="s">
        <v>47</v>
      </c>
      <c r="C26" s="18" t="s">
        <v>51</v>
      </c>
      <c r="D26" s="18" t="s">
        <v>727</v>
      </c>
      <c r="E26" s="18" t="s">
        <v>46</v>
      </c>
      <c r="F26" s="18" t="s">
        <v>418</v>
      </c>
      <c r="G26">
        <v>2028</v>
      </c>
      <c r="H26">
        <v>18</v>
      </c>
      <c r="I26" s="18"/>
      <c r="J26" s="18"/>
    </row>
    <row r="27" spans="1:10">
      <c r="A27" s="18" t="s">
        <v>68</v>
      </c>
      <c r="B27" s="18" t="s">
        <v>47</v>
      </c>
      <c r="C27" s="18" t="s">
        <v>51</v>
      </c>
      <c r="D27" s="18" t="s">
        <v>729</v>
      </c>
      <c r="E27" s="18" t="s">
        <v>46</v>
      </c>
      <c r="F27" s="18" t="s">
        <v>418</v>
      </c>
      <c r="G27">
        <v>2027</v>
      </c>
      <c r="H27">
        <v>18</v>
      </c>
      <c r="I27" s="18"/>
      <c r="J27" s="18"/>
    </row>
    <row r="28" spans="1:10">
      <c r="A28" s="18" t="s">
        <v>74</v>
      </c>
      <c r="B28" s="18" t="s">
        <v>47</v>
      </c>
      <c r="C28" s="18" t="s">
        <v>51</v>
      </c>
      <c r="D28" s="18" t="s">
        <v>729</v>
      </c>
      <c r="E28" s="18" t="s">
        <v>46</v>
      </c>
      <c r="F28" s="18" t="s">
        <v>418</v>
      </c>
      <c r="G28">
        <v>2027</v>
      </c>
      <c r="H28">
        <v>18</v>
      </c>
      <c r="I28" s="18"/>
      <c r="J28" s="18"/>
    </row>
    <row r="29" spans="1:10" ht="28">
      <c r="A29" s="18" t="s">
        <v>74</v>
      </c>
      <c r="B29" s="18" t="s">
        <v>47</v>
      </c>
      <c r="C29" s="18" t="s">
        <v>51</v>
      </c>
      <c r="D29" s="18" t="s">
        <v>727</v>
      </c>
      <c r="E29" s="18" t="s">
        <v>46</v>
      </c>
      <c r="F29" s="18" t="s">
        <v>418</v>
      </c>
      <c r="G29">
        <v>2028</v>
      </c>
      <c r="H29">
        <v>18</v>
      </c>
      <c r="I29" s="18"/>
      <c r="J29" s="18"/>
    </row>
    <row r="30" spans="1:10">
      <c r="A30" s="18" t="s">
        <v>74</v>
      </c>
      <c r="B30" s="18" t="s">
        <v>47</v>
      </c>
      <c r="C30" s="18" t="s">
        <v>51</v>
      </c>
      <c r="D30" s="18" t="s">
        <v>730</v>
      </c>
      <c r="E30" s="18" t="s">
        <v>46</v>
      </c>
      <c r="F30" s="18" t="s">
        <v>418</v>
      </c>
      <c r="G30">
        <v>2028</v>
      </c>
      <c r="H30">
        <v>18</v>
      </c>
      <c r="I30" s="18"/>
      <c r="J30" s="18"/>
    </row>
    <row r="31" spans="1:10">
      <c r="A31" s="18" t="s">
        <v>89</v>
      </c>
      <c r="B31" s="18" t="s">
        <v>47</v>
      </c>
      <c r="C31" s="18" t="s">
        <v>51</v>
      </c>
      <c r="D31" s="18" t="s">
        <v>729</v>
      </c>
      <c r="E31" s="18" t="s">
        <v>46</v>
      </c>
      <c r="F31" s="18" t="s">
        <v>418</v>
      </c>
      <c r="G31">
        <v>2027</v>
      </c>
      <c r="H31">
        <v>18</v>
      </c>
      <c r="I31" s="18"/>
      <c r="J31" s="18"/>
    </row>
    <row r="32" spans="1:10" ht="28">
      <c r="A32" s="18" t="s">
        <v>89</v>
      </c>
      <c r="B32" s="18" t="s">
        <v>47</v>
      </c>
      <c r="C32" s="18" t="s">
        <v>51</v>
      </c>
      <c r="D32" s="18" t="s">
        <v>727</v>
      </c>
      <c r="E32" s="18" t="s">
        <v>46</v>
      </c>
      <c r="F32" s="18" t="s">
        <v>418</v>
      </c>
      <c r="G32">
        <v>2027</v>
      </c>
      <c r="H32">
        <v>18</v>
      </c>
      <c r="I32" s="18"/>
      <c r="J32" s="18"/>
    </row>
    <row r="33" spans="1:10">
      <c r="A33" s="18" t="s">
        <v>89</v>
      </c>
      <c r="B33" s="18" t="s">
        <v>47</v>
      </c>
      <c r="C33" s="18" t="s">
        <v>51</v>
      </c>
      <c r="D33" s="18" t="s">
        <v>730</v>
      </c>
      <c r="E33" s="18" t="s">
        <v>46</v>
      </c>
      <c r="F33" s="18" t="s">
        <v>418</v>
      </c>
      <c r="G33">
        <v>2028</v>
      </c>
      <c r="H33">
        <v>18</v>
      </c>
      <c r="I33" s="18"/>
      <c r="J33" s="18"/>
    </row>
    <row r="34" spans="1:10">
      <c r="A34" s="18" t="s">
        <v>89</v>
      </c>
      <c r="B34" s="18" t="s">
        <v>47</v>
      </c>
      <c r="C34" s="18" t="s">
        <v>51</v>
      </c>
      <c r="D34" s="18" t="s">
        <v>728</v>
      </c>
      <c r="E34" s="18" t="s">
        <v>46</v>
      </c>
      <c r="F34" s="18" t="s">
        <v>418</v>
      </c>
      <c r="G34">
        <v>2028</v>
      </c>
      <c r="H34">
        <v>18</v>
      </c>
      <c r="I34" s="18"/>
      <c r="J34" s="18"/>
    </row>
    <row r="35" spans="1:10">
      <c r="A35" s="18" t="s">
        <v>94</v>
      </c>
      <c r="B35" s="18" t="s">
        <v>47</v>
      </c>
      <c r="C35" s="18" t="s">
        <v>51</v>
      </c>
      <c r="D35" s="18" t="s">
        <v>729</v>
      </c>
      <c r="E35" s="18" t="s">
        <v>46</v>
      </c>
      <c r="F35" s="18" t="s">
        <v>418</v>
      </c>
      <c r="G35">
        <v>2027</v>
      </c>
      <c r="H35">
        <v>18</v>
      </c>
      <c r="I35" s="18"/>
      <c r="J35" s="18"/>
    </row>
    <row r="36" spans="1:10" ht="28">
      <c r="A36" s="18" t="s">
        <v>94</v>
      </c>
      <c r="B36" s="18" t="s">
        <v>47</v>
      </c>
      <c r="C36" s="18" t="s">
        <v>51</v>
      </c>
      <c r="D36" s="18" t="s">
        <v>727</v>
      </c>
      <c r="E36" s="18" t="s">
        <v>46</v>
      </c>
      <c r="F36" s="18" t="s">
        <v>418</v>
      </c>
      <c r="G36">
        <v>2027</v>
      </c>
      <c r="H36">
        <v>18</v>
      </c>
      <c r="I36" s="18"/>
      <c r="J36" s="18"/>
    </row>
    <row r="37" spans="1:10">
      <c r="A37" s="18" t="s">
        <v>731</v>
      </c>
      <c r="B37" s="18" t="s">
        <v>47</v>
      </c>
      <c r="C37" s="18" t="s">
        <v>51</v>
      </c>
      <c r="D37" s="18" t="s">
        <v>728</v>
      </c>
      <c r="E37" s="18" t="s">
        <v>46</v>
      </c>
      <c r="F37" s="18" t="s">
        <v>418</v>
      </c>
      <c r="G37">
        <v>2028</v>
      </c>
      <c r="H37">
        <v>18</v>
      </c>
      <c r="I37" s="18"/>
      <c r="J37" s="18"/>
    </row>
    <row r="38" spans="1:10" ht="28">
      <c r="A38" s="18" t="s">
        <v>90</v>
      </c>
      <c r="B38" s="18" t="s">
        <v>47</v>
      </c>
      <c r="C38" s="18" t="s">
        <v>51</v>
      </c>
      <c r="D38" s="18" t="s">
        <v>727</v>
      </c>
      <c r="E38" s="18" t="s">
        <v>46</v>
      </c>
      <c r="F38" s="18" t="s">
        <v>418</v>
      </c>
      <c r="G38">
        <v>2027</v>
      </c>
      <c r="H38">
        <v>18</v>
      </c>
      <c r="I38" s="18"/>
      <c r="J38" s="18"/>
    </row>
    <row r="39" spans="1:10" ht="28">
      <c r="A39" s="18" t="s">
        <v>86</v>
      </c>
      <c r="B39" s="18" t="s">
        <v>47</v>
      </c>
      <c r="C39" s="18" t="s">
        <v>51</v>
      </c>
      <c r="D39" s="18" t="s">
        <v>727</v>
      </c>
      <c r="E39" s="18" t="s">
        <v>46</v>
      </c>
      <c r="F39" s="18" t="s">
        <v>418</v>
      </c>
      <c r="G39">
        <v>2027</v>
      </c>
      <c r="H39">
        <v>18</v>
      </c>
      <c r="I39" s="18"/>
      <c r="J39" s="18"/>
    </row>
    <row r="40" spans="1:10">
      <c r="A40" s="18" t="s">
        <v>86</v>
      </c>
      <c r="B40" s="18" t="s">
        <v>47</v>
      </c>
      <c r="C40" s="18" t="s">
        <v>51</v>
      </c>
      <c r="D40" s="18" t="s">
        <v>729</v>
      </c>
      <c r="E40" s="18" t="s">
        <v>46</v>
      </c>
      <c r="F40" s="18" t="s">
        <v>418</v>
      </c>
      <c r="G40">
        <v>2028</v>
      </c>
      <c r="H40">
        <v>18</v>
      </c>
      <c r="I40" s="18"/>
      <c r="J40" s="18"/>
    </row>
    <row r="41" spans="1:10">
      <c r="A41" s="18" t="s">
        <v>77</v>
      </c>
      <c r="B41" s="18" t="s">
        <v>47</v>
      </c>
      <c r="C41" s="18" t="s">
        <v>51</v>
      </c>
      <c r="D41" s="18" t="s">
        <v>729</v>
      </c>
      <c r="E41" s="18" t="s">
        <v>46</v>
      </c>
      <c r="F41" s="18" t="s">
        <v>418</v>
      </c>
      <c r="G41">
        <v>2028</v>
      </c>
      <c r="H41">
        <v>18</v>
      </c>
      <c r="I41" s="18"/>
      <c r="J41" s="18"/>
    </row>
    <row r="42" spans="1:10">
      <c r="A42" s="18" t="s">
        <v>88</v>
      </c>
      <c r="B42" s="18" t="s">
        <v>47</v>
      </c>
      <c r="C42" s="18" t="s">
        <v>51</v>
      </c>
      <c r="D42" s="18" t="s">
        <v>729</v>
      </c>
      <c r="E42" s="18" t="s">
        <v>46</v>
      </c>
      <c r="F42" s="18" t="s">
        <v>418</v>
      </c>
      <c r="G42">
        <v>2028</v>
      </c>
      <c r="H42">
        <v>18</v>
      </c>
      <c r="I42" s="18"/>
      <c r="J42" s="18"/>
    </row>
    <row r="43" spans="1:10" ht="28">
      <c r="A43" s="18" t="s">
        <v>88</v>
      </c>
      <c r="B43" s="18" t="s">
        <v>47</v>
      </c>
      <c r="C43" s="18" t="s">
        <v>51</v>
      </c>
      <c r="D43" s="18" t="s">
        <v>727</v>
      </c>
      <c r="E43" s="18" t="s">
        <v>46</v>
      </c>
      <c r="F43" s="18" t="s">
        <v>418</v>
      </c>
      <c r="G43">
        <v>2027</v>
      </c>
      <c r="H43">
        <v>18</v>
      </c>
      <c r="I43" s="18"/>
      <c r="J43" s="18"/>
    </row>
    <row r="44" spans="1:10">
      <c r="A44" s="18" t="s">
        <v>78</v>
      </c>
      <c r="B44" s="18" t="s">
        <v>47</v>
      </c>
      <c r="C44" s="18" t="s">
        <v>51</v>
      </c>
      <c r="D44" s="18" t="s">
        <v>730</v>
      </c>
      <c r="E44" s="18" t="s">
        <v>46</v>
      </c>
      <c r="F44" s="18" t="s">
        <v>418</v>
      </c>
      <c r="G44">
        <v>2027</v>
      </c>
      <c r="H44">
        <v>18</v>
      </c>
      <c r="I44" s="18"/>
      <c r="J44" s="18"/>
    </row>
    <row r="45" spans="1:10">
      <c r="A45" s="18" t="s">
        <v>85</v>
      </c>
      <c r="B45" s="18" t="s">
        <v>47</v>
      </c>
      <c r="C45" s="18" t="s">
        <v>51</v>
      </c>
      <c r="D45" s="18" t="s">
        <v>729</v>
      </c>
      <c r="E45" s="18" t="s">
        <v>46</v>
      </c>
      <c r="F45" s="18" t="s">
        <v>418</v>
      </c>
      <c r="G45">
        <v>2027</v>
      </c>
      <c r="H45">
        <v>18</v>
      </c>
      <c r="I45" s="18"/>
      <c r="J45" s="18"/>
    </row>
    <row r="46" spans="1:10">
      <c r="A46" s="18" t="s">
        <v>85</v>
      </c>
      <c r="B46" s="18" t="s">
        <v>47</v>
      </c>
      <c r="C46" s="18" t="s">
        <v>51</v>
      </c>
      <c r="D46" s="18" t="s">
        <v>728</v>
      </c>
      <c r="E46" s="18" t="s">
        <v>46</v>
      </c>
      <c r="F46" s="18" t="s">
        <v>418</v>
      </c>
      <c r="G46">
        <v>2028</v>
      </c>
      <c r="H46">
        <v>18</v>
      </c>
      <c r="I46" s="18"/>
      <c r="J46" s="18"/>
    </row>
    <row r="47" spans="1:10" ht="28">
      <c r="A47" s="18" t="s">
        <v>58</v>
      </c>
      <c r="B47" s="18" t="s">
        <v>47</v>
      </c>
      <c r="C47" s="18" t="s">
        <v>51</v>
      </c>
      <c r="D47" s="18" t="s">
        <v>727</v>
      </c>
      <c r="E47" s="18" t="s">
        <v>46</v>
      </c>
      <c r="F47" s="18" t="s">
        <v>418</v>
      </c>
      <c r="G47">
        <v>2027</v>
      </c>
      <c r="H47">
        <v>18</v>
      </c>
      <c r="I47" s="18"/>
      <c r="J47" s="18"/>
    </row>
    <row r="48" spans="1:10">
      <c r="A48" s="18" t="s">
        <v>58</v>
      </c>
      <c r="B48" s="18" t="s">
        <v>47</v>
      </c>
      <c r="C48" s="18" t="s">
        <v>51</v>
      </c>
      <c r="D48" s="18" t="s">
        <v>729</v>
      </c>
      <c r="E48" s="18" t="s">
        <v>46</v>
      </c>
      <c r="F48" s="18" t="s">
        <v>418</v>
      </c>
      <c r="G48">
        <v>2027</v>
      </c>
      <c r="H48">
        <v>18</v>
      </c>
      <c r="I48" s="18"/>
      <c r="J48" s="18"/>
    </row>
    <row r="49" spans="1:10" ht="28">
      <c r="A49" s="18" t="s">
        <v>75</v>
      </c>
      <c r="B49" s="18" t="s">
        <v>47</v>
      </c>
      <c r="C49" s="18" t="s">
        <v>51</v>
      </c>
      <c r="D49" s="18" t="s">
        <v>727</v>
      </c>
      <c r="E49" s="18" t="s">
        <v>46</v>
      </c>
      <c r="F49" s="18" t="s">
        <v>418</v>
      </c>
      <c r="G49">
        <v>2028</v>
      </c>
      <c r="H49">
        <v>18</v>
      </c>
      <c r="I49" s="18"/>
      <c r="J49" s="18"/>
    </row>
    <row r="50" spans="1:10">
      <c r="A50" s="18" t="s">
        <v>75</v>
      </c>
      <c r="B50" s="18" t="s">
        <v>47</v>
      </c>
      <c r="C50" s="18" t="s">
        <v>51</v>
      </c>
      <c r="D50" s="18" t="s">
        <v>729</v>
      </c>
      <c r="E50" s="18" t="s">
        <v>46</v>
      </c>
      <c r="F50" s="18" t="s">
        <v>418</v>
      </c>
      <c r="G50">
        <v>2028</v>
      </c>
      <c r="H50">
        <v>18</v>
      </c>
      <c r="I50" s="18"/>
      <c r="J50" s="18"/>
    </row>
    <row r="51" spans="1:10">
      <c r="A51" s="18" t="s">
        <v>71</v>
      </c>
      <c r="B51" s="18" t="s">
        <v>47</v>
      </c>
      <c r="C51" s="18" t="s">
        <v>51</v>
      </c>
      <c r="D51" s="18" t="s">
        <v>729</v>
      </c>
      <c r="E51" s="18" t="s">
        <v>46</v>
      </c>
      <c r="F51" s="18" t="s">
        <v>418</v>
      </c>
      <c r="G51">
        <v>2027</v>
      </c>
      <c r="H51">
        <v>18</v>
      </c>
      <c r="I51" s="18"/>
      <c r="J51" s="18"/>
    </row>
    <row r="52" spans="1:10" ht="28">
      <c r="A52" s="18" t="s">
        <v>71</v>
      </c>
      <c r="B52" s="18" t="s">
        <v>47</v>
      </c>
      <c r="C52" s="18" t="s">
        <v>51</v>
      </c>
      <c r="D52" s="18" t="s">
        <v>727</v>
      </c>
      <c r="E52" s="18" t="s">
        <v>46</v>
      </c>
      <c r="F52" s="18" t="s">
        <v>418</v>
      </c>
      <c r="G52">
        <v>2027</v>
      </c>
      <c r="H52">
        <v>18</v>
      </c>
      <c r="I52" s="18"/>
      <c r="J52" s="18"/>
    </row>
    <row r="53" spans="1:10">
      <c r="A53" s="18" t="s">
        <v>71</v>
      </c>
      <c r="B53" s="18" t="s">
        <v>47</v>
      </c>
      <c r="C53" s="18" t="s">
        <v>51</v>
      </c>
      <c r="D53" s="18" t="s">
        <v>728</v>
      </c>
      <c r="E53" s="18" t="s">
        <v>46</v>
      </c>
      <c r="F53" s="18" t="s">
        <v>418</v>
      </c>
      <c r="G53">
        <v>2028</v>
      </c>
      <c r="H53">
        <v>18</v>
      </c>
      <c r="I53" s="18"/>
      <c r="J53" s="18"/>
    </row>
    <row r="54" spans="1:10">
      <c r="A54" s="18" t="s">
        <v>84</v>
      </c>
      <c r="B54" s="18" t="s">
        <v>47</v>
      </c>
      <c r="C54" s="18" t="s">
        <v>51</v>
      </c>
      <c r="D54" s="18" t="s">
        <v>729</v>
      </c>
      <c r="E54" s="18" t="s">
        <v>46</v>
      </c>
      <c r="F54" s="18" t="s">
        <v>418</v>
      </c>
      <c r="G54">
        <v>2028</v>
      </c>
      <c r="H54">
        <v>18</v>
      </c>
      <c r="I54" s="18"/>
      <c r="J54" s="18"/>
    </row>
    <row r="55" spans="1:10" ht="28">
      <c r="A55" s="18" t="s">
        <v>84</v>
      </c>
      <c r="B55" s="18" t="s">
        <v>47</v>
      </c>
      <c r="C55" s="18" t="s">
        <v>51</v>
      </c>
      <c r="D55" s="18" t="s">
        <v>727</v>
      </c>
      <c r="E55" s="18" t="s">
        <v>46</v>
      </c>
      <c r="F55" s="18" t="s">
        <v>418</v>
      </c>
      <c r="G55">
        <v>2028</v>
      </c>
      <c r="H55">
        <v>18</v>
      </c>
      <c r="I55" s="18"/>
      <c r="J55" s="18"/>
    </row>
    <row r="56" spans="1:10">
      <c r="A56" s="18" t="s">
        <v>92</v>
      </c>
      <c r="B56" s="18" t="s">
        <v>47</v>
      </c>
      <c r="C56" s="18" t="s">
        <v>51</v>
      </c>
      <c r="D56" s="18" t="s">
        <v>729</v>
      </c>
      <c r="E56" s="18" t="s">
        <v>46</v>
      </c>
      <c r="F56" s="18" t="s">
        <v>418</v>
      </c>
      <c r="G56">
        <v>2028</v>
      </c>
      <c r="H56">
        <v>18</v>
      </c>
      <c r="I56" s="18"/>
      <c r="J56" s="18"/>
    </row>
    <row r="57" spans="1:10" ht="28">
      <c r="A57" s="18" t="s">
        <v>92</v>
      </c>
      <c r="B57" s="18" t="s">
        <v>47</v>
      </c>
      <c r="C57" s="18" t="s">
        <v>51</v>
      </c>
      <c r="D57" s="18" t="s">
        <v>727</v>
      </c>
      <c r="E57" s="18" t="s">
        <v>46</v>
      </c>
      <c r="F57" s="18" t="s">
        <v>418</v>
      </c>
      <c r="G57">
        <v>2028</v>
      </c>
      <c r="H57">
        <v>18</v>
      </c>
      <c r="I57" s="18"/>
      <c r="J57" s="18"/>
    </row>
    <row r="58" spans="1:10">
      <c r="A58" s="18" t="s">
        <v>92</v>
      </c>
      <c r="B58" s="18" t="s">
        <v>47</v>
      </c>
      <c r="C58" s="18" t="s">
        <v>51</v>
      </c>
      <c r="D58" s="18" t="s">
        <v>730</v>
      </c>
      <c r="E58" s="18" t="s">
        <v>46</v>
      </c>
      <c r="F58" s="18" t="s">
        <v>418</v>
      </c>
      <c r="G58">
        <v>2028</v>
      </c>
      <c r="H58">
        <v>18</v>
      </c>
      <c r="I58" s="18"/>
      <c r="J58" s="18"/>
    </row>
    <row r="59" spans="1:10">
      <c r="A59" s="18" t="s">
        <v>87</v>
      </c>
      <c r="B59" s="18" t="s">
        <v>47</v>
      </c>
      <c r="C59" s="18" t="s">
        <v>51</v>
      </c>
      <c r="D59" s="18" t="s">
        <v>730</v>
      </c>
      <c r="E59" s="18" t="s">
        <v>46</v>
      </c>
      <c r="F59" s="18" t="s">
        <v>418</v>
      </c>
      <c r="G59">
        <v>2028</v>
      </c>
      <c r="H59">
        <v>18</v>
      </c>
      <c r="I59" s="18"/>
      <c r="J59" s="18"/>
    </row>
    <row r="60" spans="1:10">
      <c r="A60" s="18" t="s">
        <v>60</v>
      </c>
      <c r="B60" s="18" t="s">
        <v>47</v>
      </c>
      <c r="C60" s="18" t="s">
        <v>51</v>
      </c>
      <c r="D60" s="18" t="s">
        <v>729</v>
      </c>
      <c r="E60" s="18" t="s">
        <v>46</v>
      </c>
      <c r="F60" s="18" t="s">
        <v>418</v>
      </c>
      <c r="G60">
        <v>2027</v>
      </c>
      <c r="H60">
        <v>18</v>
      </c>
      <c r="I60" s="18"/>
      <c r="J60" s="18"/>
    </row>
    <row r="61" spans="1:10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0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spans="1:10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spans="1:10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spans="1:10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spans="1:10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spans="1:10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spans="1:10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spans="1:10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spans="1:10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spans="1:10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 spans="1:10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spans="1:10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 spans="1:10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spans="1:10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 spans="1:10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spans="1:10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spans="1:10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 spans="1:10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 spans="1:10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 spans="1:10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 spans="1:10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 spans="1:10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spans="1:10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 spans="1:10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 spans="1:10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 spans="1:10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 spans="1:10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spans="1:10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 spans="1:10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spans="1:10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 spans="1:10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 spans="1:10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1:10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spans="1:10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 spans="1:10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 spans="1:10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 spans="1:10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 spans="1:10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 spans="1:10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1:10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1:10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 spans="1:10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 spans="1:10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 spans="1:10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 spans="1:10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 spans="1:10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 spans="1:10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 spans="1:10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spans="1:10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1:10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1:10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 spans="1:10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 spans="1:10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spans="1:10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 spans="1:10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spans="1:10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 spans="1:10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spans="1:10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spans="1:10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 spans="1:10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 spans="1:10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 spans="1:10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 spans="1:10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 spans="1:10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 spans="1:10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 spans="1:10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 spans="1:10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spans="1:10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 spans="1:10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 spans="1:10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 spans="1:10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 spans="1:10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 spans="1:10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 spans="1:10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 spans="1:10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 spans="1:10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 spans="1:10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 spans="1:10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 spans="1:10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 spans="1:10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 spans="1:10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 spans="1:10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 spans="1:10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 spans="1:10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 spans="1:10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spans="1:10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 spans="1:10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spans="1:10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 spans="1:10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spans="1:10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 spans="1:10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spans="1:10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 spans="1:10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spans="1:10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 spans="1:10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spans="1:10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 spans="1:10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 spans="1:10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 spans="1:10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</sheetData>
  <mergeCells count="2">
    <mergeCell ref="A1:J1"/>
    <mergeCell ref="A2:J2"/>
  </mergeCells>
  <dataValidations count="4">
    <dataValidation type="list" sqref="B4:B199" xr:uid="{00000000-0002-0000-0E00-000000000000}">
      <formula1>"AD"</formula1>
    </dataValidation>
    <dataValidation type="list" sqref="C4:C199" xr:uid="{00000000-0002-0000-0E00-000001000000}">
      <formula1>"Profesional"</formula1>
    </dataValidation>
    <dataValidation type="list" sqref="E4:E199" xr:uid="{00000000-0002-0000-0E00-000002000000}">
      <formula1>"Presencial,Online,Híbrida"</formula1>
    </dataValidation>
    <dataValidation type="list" sqref="F4:F199" xr:uid="{00000000-0002-0000-0E00-000003000000}">
      <formula1>"SI,NO"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4"/>
  <sheetViews>
    <sheetView workbookViewId="0"/>
  </sheetViews>
  <sheetFormatPr baseColWidth="10" defaultColWidth="8.6640625" defaultRowHeight="14"/>
  <cols>
    <col min="1" max="6" width="18" customWidth="1"/>
    <col min="7" max="7" width="14" customWidth="1"/>
  </cols>
  <sheetData>
    <row r="1" spans="1:7">
      <c r="A1" s="40" t="s">
        <v>732</v>
      </c>
      <c r="B1" s="39" t="s">
        <v>691</v>
      </c>
      <c r="C1" s="39" t="s">
        <v>414</v>
      </c>
      <c r="D1" s="39" t="s">
        <v>415</v>
      </c>
      <c r="E1" s="41" t="s">
        <v>733</v>
      </c>
      <c r="F1" s="41" t="s">
        <v>734</v>
      </c>
      <c r="G1" s="42" t="s">
        <v>735</v>
      </c>
    </row>
    <row r="2" spans="1:7">
      <c r="A2">
        <v>2026</v>
      </c>
      <c r="B2" t="s">
        <v>47</v>
      </c>
      <c r="C2" s="43" t="s">
        <v>56</v>
      </c>
      <c r="D2" t="s">
        <v>51</v>
      </c>
      <c r="E2">
        <v>82</v>
      </c>
      <c r="F2">
        <v>0</v>
      </c>
      <c r="G2">
        <v>82</v>
      </c>
    </row>
    <row r="3" spans="1:7">
      <c r="A3">
        <v>2026</v>
      </c>
      <c r="B3" t="s">
        <v>47</v>
      </c>
      <c r="C3" s="43" t="s">
        <v>58</v>
      </c>
      <c r="D3" t="s">
        <v>51</v>
      </c>
      <c r="E3">
        <v>104</v>
      </c>
      <c r="F3">
        <v>370</v>
      </c>
      <c r="G3">
        <v>474</v>
      </c>
    </row>
    <row r="4" spans="1:7">
      <c r="A4">
        <v>2026</v>
      </c>
      <c r="B4" t="s">
        <v>47</v>
      </c>
      <c r="C4" s="43" t="s">
        <v>60</v>
      </c>
      <c r="D4" t="s">
        <v>51</v>
      </c>
      <c r="E4">
        <v>108</v>
      </c>
      <c r="F4">
        <v>374</v>
      </c>
      <c r="G4">
        <v>482</v>
      </c>
    </row>
    <row r="5" spans="1:7">
      <c r="A5">
        <v>2026</v>
      </c>
      <c r="B5" t="s">
        <v>47</v>
      </c>
      <c r="C5" s="43" t="s">
        <v>62</v>
      </c>
      <c r="D5" t="s">
        <v>51</v>
      </c>
      <c r="E5">
        <v>81</v>
      </c>
      <c r="F5">
        <v>383</v>
      </c>
      <c r="G5">
        <v>464</v>
      </c>
    </row>
    <row r="6" spans="1:7">
      <c r="A6">
        <v>2026</v>
      </c>
      <c r="B6" t="s">
        <v>47</v>
      </c>
      <c r="C6" s="43" t="s">
        <v>64</v>
      </c>
      <c r="D6" t="s">
        <v>51</v>
      </c>
      <c r="E6">
        <v>269</v>
      </c>
      <c r="F6">
        <v>744</v>
      </c>
      <c r="G6">
        <v>1013</v>
      </c>
    </row>
    <row r="7" spans="1:7">
      <c r="A7">
        <v>2026</v>
      </c>
      <c r="B7" t="s">
        <v>47</v>
      </c>
      <c r="C7" s="43" t="s">
        <v>66</v>
      </c>
      <c r="D7" t="s">
        <v>51</v>
      </c>
      <c r="E7">
        <v>95</v>
      </c>
      <c r="F7">
        <v>253</v>
      </c>
      <c r="G7">
        <v>348</v>
      </c>
    </row>
    <row r="8" spans="1:7">
      <c r="A8">
        <v>2026</v>
      </c>
      <c r="B8" t="s">
        <v>47</v>
      </c>
      <c r="C8" s="43" t="s">
        <v>68</v>
      </c>
      <c r="D8" t="s">
        <v>51</v>
      </c>
      <c r="E8">
        <v>251</v>
      </c>
      <c r="F8">
        <v>775</v>
      </c>
      <c r="G8">
        <v>1026</v>
      </c>
    </row>
    <row r="9" spans="1:7">
      <c r="A9">
        <v>2026</v>
      </c>
      <c r="B9" t="s">
        <v>47</v>
      </c>
      <c r="C9" s="43" t="s">
        <v>69</v>
      </c>
      <c r="D9" t="s">
        <v>51</v>
      </c>
      <c r="E9">
        <v>196</v>
      </c>
      <c r="F9">
        <v>679</v>
      </c>
      <c r="G9">
        <v>875</v>
      </c>
    </row>
    <row r="10" spans="1:7">
      <c r="A10">
        <v>2026</v>
      </c>
      <c r="B10" t="s">
        <v>47</v>
      </c>
      <c r="C10" s="43" t="s">
        <v>71</v>
      </c>
      <c r="D10" t="s">
        <v>51</v>
      </c>
      <c r="E10">
        <v>47</v>
      </c>
      <c r="F10">
        <v>125</v>
      </c>
      <c r="G10">
        <v>172</v>
      </c>
    </row>
    <row r="11" spans="1:7">
      <c r="A11">
        <v>2026</v>
      </c>
      <c r="B11" t="s">
        <v>47</v>
      </c>
      <c r="C11" s="43" t="s">
        <v>73</v>
      </c>
      <c r="D11" t="s">
        <v>51</v>
      </c>
      <c r="E11">
        <v>243</v>
      </c>
      <c r="F11">
        <v>885</v>
      </c>
      <c r="G11">
        <v>1128</v>
      </c>
    </row>
    <row r="12" spans="1:7">
      <c r="A12">
        <v>2026</v>
      </c>
      <c r="B12" t="s">
        <v>47</v>
      </c>
      <c r="C12" s="43" t="s">
        <v>74</v>
      </c>
      <c r="D12" t="s">
        <v>51</v>
      </c>
      <c r="E12">
        <v>99</v>
      </c>
      <c r="F12">
        <v>348</v>
      </c>
      <c r="G12">
        <v>447</v>
      </c>
    </row>
    <row r="13" spans="1:7">
      <c r="A13">
        <v>2026</v>
      </c>
      <c r="B13" t="s">
        <v>47</v>
      </c>
      <c r="C13" s="43" t="s">
        <v>75</v>
      </c>
      <c r="D13" t="s">
        <v>51</v>
      </c>
      <c r="E13">
        <v>171</v>
      </c>
      <c r="F13">
        <v>684</v>
      </c>
      <c r="G13">
        <v>855</v>
      </c>
    </row>
    <row r="14" spans="1:7">
      <c r="A14">
        <v>2026</v>
      </c>
      <c r="B14" t="s">
        <v>47</v>
      </c>
      <c r="C14" s="43" t="s">
        <v>76</v>
      </c>
      <c r="D14" t="s">
        <v>51</v>
      </c>
      <c r="E14">
        <v>44</v>
      </c>
      <c r="F14">
        <v>189</v>
      </c>
      <c r="G14">
        <v>233</v>
      </c>
    </row>
    <row r="15" spans="1:7">
      <c r="A15">
        <v>2026</v>
      </c>
      <c r="B15" t="s">
        <v>47</v>
      </c>
      <c r="C15" s="43" t="s">
        <v>77</v>
      </c>
      <c r="D15" t="s">
        <v>51</v>
      </c>
      <c r="E15">
        <v>149</v>
      </c>
      <c r="F15">
        <v>478</v>
      </c>
      <c r="G15">
        <v>627</v>
      </c>
    </row>
    <row r="16" spans="1:7">
      <c r="A16">
        <v>2026</v>
      </c>
      <c r="B16" t="s">
        <v>47</v>
      </c>
      <c r="C16" s="43" t="s">
        <v>78</v>
      </c>
      <c r="D16" t="s">
        <v>51</v>
      </c>
      <c r="E16">
        <v>676</v>
      </c>
      <c r="F16">
        <v>2673</v>
      </c>
      <c r="G16">
        <v>3349</v>
      </c>
    </row>
    <row r="17" spans="1:7">
      <c r="A17">
        <v>2026</v>
      </c>
      <c r="B17" t="s">
        <v>47</v>
      </c>
      <c r="C17" s="43" t="s">
        <v>79</v>
      </c>
      <c r="D17" t="s">
        <v>51</v>
      </c>
      <c r="E17">
        <v>26</v>
      </c>
      <c r="F17">
        <v>111</v>
      </c>
      <c r="G17">
        <v>137</v>
      </c>
    </row>
    <row r="18" spans="1:7">
      <c r="A18">
        <v>2026</v>
      </c>
      <c r="B18" t="s">
        <v>47</v>
      </c>
      <c r="C18" s="43" t="s">
        <v>80</v>
      </c>
      <c r="D18" t="s">
        <v>51</v>
      </c>
      <c r="E18">
        <v>106</v>
      </c>
      <c r="F18">
        <v>384</v>
      </c>
      <c r="G18">
        <v>490</v>
      </c>
    </row>
    <row r="19" spans="1:7">
      <c r="A19">
        <v>2026</v>
      </c>
      <c r="B19" t="s">
        <v>47</v>
      </c>
      <c r="C19" s="43" t="s">
        <v>81</v>
      </c>
      <c r="D19" t="s">
        <v>51</v>
      </c>
      <c r="E19">
        <v>56</v>
      </c>
      <c r="F19">
        <v>165</v>
      </c>
      <c r="G19">
        <v>221</v>
      </c>
    </row>
    <row r="20" spans="1:7">
      <c r="A20">
        <v>2026</v>
      </c>
      <c r="B20" t="s">
        <v>47</v>
      </c>
      <c r="C20" s="43" t="s">
        <v>95</v>
      </c>
      <c r="D20" t="s">
        <v>51</v>
      </c>
      <c r="E20">
        <v>85</v>
      </c>
      <c r="F20">
        <v>113</v>
      </c>
      <c r="G20">
        <v>198</v>
      </c>
    </row>
    <row r="21" spans="1:7">
      <c r="A21">
        <v>2026</v>
      </c>
      <c r="B21" t="s">
        <v>47</v>
      </c>
      <c r="C21" s="43" t="s">
        <v>82</v>
      </c>
      <c r="D21" t="s">
        <v>51</v>
      </c>
      <c r="E21">
        <v>60</v>
      </c>
      <c r="F21">
        <v>212</v>
      </c>
      <c r="G21">
        <v>272</v>
      </c>
    </row>
    <row r="22" spans="1:7">
      <c r="A22">
        <v>2026</v>
      </c>
      <c r="B22" t="s">
        <v>47</v>
      </c>
      <c r="C22" s="43" t="s">
        <v>84</v>
      </c>
      <c r="D22" t="s">
        <v>51</v>
      </c>
      <c r="E22">
        <v>116</v>
      </c>
      <c r="F22">
        <v>380</v>
      </c>
      <c r="G22">
        <v>496</v>
      </c>
    </row>
    <row r="23" spans="1:7">
      <c r="A23">
        <v>2026</v>
      </c>
      <c r="B23" t="s">
        <v>47</v>
      </c>
      <c r="C23" s="43" t="s">
        <v>85</v>
      </c>
      <c r="D23" t="s">
        <v>51</v>
      </c>
      <c r="E23">
        <v>70</v>
      </c>
      <c r="F23">
        <v>281</v>
      </c>
      <c r="G23">
        <v>351</v>
      </c>
    </row>
    <row r="24" spans="1:7">
      <c r="A24">
        <v>2026</v>
      </c>
      <c r="B24" t="s">
        <v>47</v>
      </c>
      <c r="C24" s="43" t="s">
        <v>86</v>
      </c>
      <c r="D24" t="s">
        <v>51</v>
      </c>
      <c r="E24">
        <v>101</v>
      </c>
      <c r="F24">
        <v>376</v>
      </c>
      <c r="G24">
        <v>477</v>
      </c>
    </row>
    <row r="25" spans="1:7">
      <c r="A25">
        <v>2026</v>
      </c>
      <c r="B25" t="s">
        <v>47</v>
      </c>
      <c r="C25" s="43" t="s">
        <v>87</v>
      </c>
      <c r="D25" t="s">
        <v>51</v>
      </c>
      <c r="E25">
        <v>106</v>
      </c>
      <c r="F25">
        <v>414</v>
      </c>
      <c r="G25">
        <v>520</v>
      </c>
    </row>
    <row r="26" spans="1:7">
      <c r="A26">
        <v>2026</v>
      </c>
      <c r="B26" t="s">
        <v>47</v>
      </c>
      <c r="C26" s="43" t="s">
        <v>88</v>
      </c>
      <c r="D26" t="s">
        <v>51</v>
      </c>
      <c r="E26">
        <v>244</v>
      </c>
      <c r="F26">
        <v>1010</v>
      </c>
      <c r="G26">
        <v>1254</v>
      </c>
    </row>
    <row r="27" spans="1:7">
      <c r="A27">
        <v>2026</v>
      </c>
      <c r="B27" t="s">
        <v>47</v>
      </c>
      <c r="C27" s="43" t="s">
        <v>94</v>
      </c>
      <c r="D27" t="s">
        <v>51</v>
      </c>
      <c r="E27">
        <v>87</v>
      </c>
      <c r="F27">
        <v>54</v>
      </c>
      <c r="G27">
        <v>141</v>
      </c>
    </row>
    <row r="28" spans="1:7">
      <c r="A28">
        <v>2026</v>
      </c>
      <c r="B28" t="s">
        <v>47</v>
      </c>
      <c r="C28" s="43" t="s">
        <v>89</v>
      </c>
      <c r="D28" t="s">
        <v>51</v>
      </c>
      <c r="E28">
        <v>185</v>
      </c>
      <c r="F28">
        <v>547</v>
      </c>
      <c r="G28">
        <v>732</v>
      </c>
    </row>
    <row r="29" spans="1:7">
      <c r="A29">
        <v>2026</v>
      </c>
      <c r="B29" t="s">
        <v>47</v>
      </c>
      <c r="C29" s="43" t="s">
        <v>90</v>
      </c>
      <c r="D29" t="s">
        <v>51</v>
      </c>
      <c r="E29">
        <v>56</v>
      </c>
      <c r="F29">
        <v>205</v>
      </c>
      <c r="G29">
        <v>261</v>
      </c>
    </row>
    <row r="30" spans="1:7">
      <c r="A30">
        <v>2026</v>
      </c>
      <c r="B30" t="s">
        <v>47</v>
      </c>
      <c r="C30" s="43" t="s">
        <v>91</v>
      </c>
      <c r="D30" t="s">
        <v>51</v>
      </c>
      <c r="E30">
        <v>118</v>
      </c>
      <c r="F30">
        <v>350</v>
      </c>
      <c r="G30">
        <v>468</v>
      </c>
    </row>
    <row r="31" spans="1:7">
      <c r="A31">
        <v>2026</v>
      </c>
      <c r="B31" t="s">
        <v>47</v>
      </c>
      <c r="C31" s="43" t="s">
        <v>93</v>
      </c>
      <c r="D31" t="s">
        <v>51</v>
      </c>
      <c r="E31">
        <v>61</v>
      </c>
      <c r="F31">
        <v>94</v>
      </c>
      <c r="G31">
        <v>155</v>
      </c>
    </row>
    <row r="32" spans="1:7">
      <c r="A32">
        <v>2026</v>
      </c>
      <c r="B32" t="s">
        <v>47</v>
      </c>
      <c r="C32" s="43" t="s">
        <v>92</v>
      </c>
      <c r="D32" t="s">
        <v>51</v>
      </c>
      <c r="E32">
        <v>90</v>
      </c>
      <c r="F32">
        <v>411</v>
      </c>
      <c r="G32">
        <v>501</v>
      </c>
    </row>
    <row r="33" spans="1:7">
      <c r="A33">
        <v>2026</v>
      </c>
      <c r="B33" t="s">
        <v>47</v>
      </c>
      <c r="C33" s="43" t="s">
        <v>56</v>
      </c>
      <c r="D33" t="s">
        <v>45</v>
      </c>
      <c r="E33">
        <v>193</v>
      </c>
      <c r="F33">
        <v>0</v>
      </c>
      <c r="G33">
        <v>193</v>
      </c>
    </row>
    <row r="34" spans="1:7">
      <c r="A34">
        <v>2026</v>
      </c>
      <c r="B34" t="s">
        <v>47</v>
      </c>
      <c r="C34" s="43" t="s">
        <v>58</v>
      </c>
      <c r="D34" t="s">
        <v>45</v>
      </c>
      <c r="E34">
        <v>277</v>
      </c>
      <c r="F34">
        <v>445</v>
      </c>
      <c r="G34">
        <v>722</v>
      </c>
    </row>
    <row r="35" spans="1:7">
      <c r="A35">
        <v>2026</v>
      </c>
      <c r="B35" t="s">
        <v>47</v>
      </c>
      <c r="C35" s="43" t="s">
        <v>60</v>
      </c>
      <c r="D35" t="s">
        <v>45</v>
      </c>
      <c r="E35">
        <v>230</v>
      </c>
      <c r="F35">
        <v>351</v>
      </c>
      <c r="G35">
        <v>581</v>
      </c>
    </row>
    <row r="36" spans="1:7">
      <c r="A36">
        <v>2026</v>
      </c>
      <c r="B36" t="s">
        <v>47</v>
      </c>
      <c r="C36" s="43" t="s">
        <v>62</v>
      </c>
      <c r="D36" t="s">
        <v>45</v>
      </c>
      <c r="E36">
        <v>276</v>
      </c>
      <c r="F36">
        <v>471</v>
      </c>
      <c r="G36">
        <v>747</v>
      </c>
    </row>
    <row r="37" spans="1:7">
      <c r="A37">
        <v>2026</v>
      </c>
      <c r="B37" t="s">
        <v>47</v>
      </c>
      <c r="C37" s="43" t="s">
        <v>64</v>
      </c>
      <c r="D37" t="s">
        <v>45</v>
      </c>
      <c r="E37">
        <v>546</v>
      </c>
      <c r="F37">
        <v>998</v>
      </c>
      <c r="G37">
        <v>1544</v>
      </c>
    </row>
    <row r="38" spans="1:7">
      <c r="A38">
        <v>2026</v>
      </c>
      <c r="B38" t="s">
        <v>47</v>
      </c>
      <c r="C38" s="43" t="s">
        <v>66</v>
      </c>
      <c r="D38" t="s">
        <v>45</v>
      </c>
      <c r="E38">
        <v>250</v>
      </c>
      <c r="F38">
        <v>473</v>
      </c>
      <c r="G38">
        <v>723</v>
      </c>
    </row>
    <row r="39" spans="1:7">
      <c r="A39">
        <v>2026</v>
      </c>
      <c r="B39" t="s">
        <v>47</v>
      </c>
      <c r="C39" s="43" t="s">
        <v>68</v>
      </c>
      <c r="D39" t="s">
        <v>45</v>
      </c>
      <c r="E39">
        <v>409</v>
      </c>
      <c r="F39">
        <v>613</v>
      </c>
      <c r="G39">
        <v>1022</v>
      </c>
    </row>
    <row r="40" spans="1:7">
      <c r="A40">
        <v>2026</v>
      </c>
      <c r="B40" t="s">
        <v>47</v>
      </c>
      <c r="C40" s="43" t="s">
        <v>69</v>
      </c>
      <c r="D40" t="s">
        <v>45</v>
      </c>
      <c r="E40">
        <v>446</v>
      </c>
      <c r="F40">
        <v>693</v>
      </c>
      <c r="G40">
        <v>1139</v>
      </c>
    </row>
    <row r="41" spans="1:7">
      <c r="A41">
        <v>2026</v>
      </c>
      <c r="B41" t="s">
        <v>47</v>
      </c>
      <c r="C41" s="43" t="s">
        <v>71</v>
      </c>
      <c r="D41" t="s">
        <v>45</v>
      </c>
      <c r="E41">
        <v>99</v>
      </c>
      <c r="F41">
        <v>150</v>
      </c>
      <c r="G41">
        <v>249</v>
      </c>
    </row>
    <row r="42" spans="1:7">
      <c r="A42">
        <v>2026</v>
      </c>
      <c r="B42" t="s">
        <v>47</v>
      </c>
      <c r="C42" s="43" t="s">
        <v>73</v>
      </c>
      <c r="D42" t="s">
        <v>45</v>
      </c>
      <c r="E42">
        <v>549</v>
      </c>
      <c r="F42">
        <v>933</v>
      </c>
      <c r="G42">
        <v>1482</v>
      </c>
    </row>
    <row r="43" spans="1:7">
      <c r="A43">
        <v>2026</v>
      </c>
      <c r="B43" t="s">
        <v>47</v>
      </c>
      <c r="C43" s="43" t="s">
        <v>74</v>
      </c>
      <c r="D43" t="s">
        <v>45</v>
      </c>
      <c r="E43">
        <v>301</v>
      </c>
      <c r="F43">
        <v>536</v>
      </c>
      <c r="G43">
        <v>837</v>
      </c>
    </row>
    <row r="44" spans="1:7">
      <c r="A44">
        <v>2026</v>
      </c>
      <c r="B44" t="s">
        <v>47</v>
      </c>
      <c r="C44" s="43" t="s">
        <v>75</v>
      </c>
      <c r="D44" t="s">
        <v>45</v>
      </c>
      <c r="E44">
        <v>234</v>
      </c>
      <c r="F44">
        <v>325</v>
      </c>
      <c r="G44">
        <v>559</v>
      </c>
    </row>
    <row r="45" spans="1:7">
      <c r="A45">
        <v>2026</v>
      </c>
      <c r="B45" t="s">
        <v>47</v>
      </c>
      <c r="C45" s="43" t="s">
        <v>76</v>
      </c>
      <c r="D45" t="s">
        <v>45</v>
      </c>
      <c r="E45">
        <v>177</v>
      </c>
      <c r="F45">
        <v>430</v>
      </c>
      <c r="G45">
        <v>607</v>
      </c>
    </row>
    <row r="46" spans="1:7">
      <c r="A46">
        <v>2026</v>
      </c>
      <c r="B46" t="s">
        <v>47</v>
      </c>
      <c r="C46" s="43" t="s">
        <v>77</v>
      </c>
      <c r="D46" t="s">
        <v>45</v>
      </c>
      <c r="E46">
        <v>237</v>
      </c>
      <c r="F46">
        <v>443</v>
      </c>
      <c r="G46">
        <v>680</v>
      </c>
    </row>
    <row r="47" spans="1:7">
      <c r="A47">
        <v>2026</v>
      </c>
      <c r="B47" t="s">
        <v>47</v>
      </c>
      <c r="C47" s="43" t="s">
        <v>78</v>
      </c>
      <c r="D47" t="s">
        <v>45</v>
      </c>
      <c r="E47">
        <v>535</v>
      </c>
      <c r="F47">
        <v>773</v>
      </c>
      <c r="G47">
        <v>1308</v>
      </c>
    </row>
    <row r="48" spans="1:7">
      <c r="A48">
        <v>2026</v>
      </c>
      <c r="B48" t="s">
        <v>47</v>
      </c>
      <c r="C48" s="43" t="s">
        <v>79</v>
      </c>
      <c r="D48" t="s">
        <v>45</v>
      </c>
      <c r="E48">
        <v>64</v>
      </c>
      <c r="F48">
        <v>130</v>
      </c>
      <c r="G48">
        <v>194</v>
      </c>
    </row>
    <row r="49" spans="1:7">
      <c r="A49">
        <v>2026</v>
      </c>
      <c r="B49" t="s">
        <v>47</v>
      </c>
      <c r="C49" s="43" t="s">
        <v>80</v>
      </c>
      <c r="D49" t="s">
        <v>45</v>
      </c>
      <c r="E49">
        <v>150</v>
      </c>
      <c r="F49">
        <v>249</v>
      </c>
      <c r="G49">
        <v>399</v>
      </c>
    </row>
    <row r="50" spans="1:7">
      <c r="A50">
        <v>2026</v>
      </c>
      <c r="B50" t="s">
        <v>47</v>
      </c>
      <c r="C50" s="43" t="s">
        <v>81</v>
      </c>
      <c r="D50" t="s">
        <v>45</v>
      </c>
      <c r="E50">
        <v>207</v>
      </c>
      <c r="F50">
        <v>286</v>
      </c>
      <c r="G50">
        <v>493</v>
      </c>
    </row>
    <row r="51" spans="1:7">
      <c r="A51">
        <v>2026</v>
      </c>
      <c r="B51" t="s">
        <v>47</v>
      </c>
      <c r="C51" s="43" t="s">
        <v>95</v>
      </c>
      <c r="D51" t="s">
        <v>45</v>
      </c>
      <c r="E51">
        <v>230</v>
      </c>
      <c r="F51">
        <v>336</v>
      </c>
      <c r="G51">
        <v>566</v>
      </c>
    </row>
    <row r="52" spans="1:7">
      <c r="A52">
        <v>2026</v>
      </c>
      <c r="B52" t="s">
        <v>47</v>
      </c>
      <c r="C52" s="43" t="s">
        <v>82</v>
      </c>
      <c r="D52" t="s">
        <v>45</v>
      </c>
      <c r="E52">
        <v>89</v>
      </c>
      <c r="F52">
        <v>105</v>
      </c>
      <c r="G52">
        <v>194</v>
      </c>
    </row>
    <row r="53" spans="1:7">
      <c r="A53">
        <v>2026</v>
      </c>
      <c r="B53" t="s">
        <v>47</v>
      </c>
      <c r="C53" s="43" t="s">
        <v>83</v>
      </c>
      <c r="D53" t="s">
        <v>45</v>
      </c>
      <c r="E53">
        <v>2</v>
      </c>
      <c r="F53">
        <v>153</v>
      </c>
      <c r="G53">
        <v>155</v>
      </c>
    </row>
    <row r="54" spans="1:7">
      <c r="A54">
        <v>2026</v>
      </c>
      <c r="B54" t="s">
        <v>47</v>
      </c>
      <c r="C54" s="43" t="s">
        <v>84</v>
      </c>
      <c r="D54" t="s">
        <v>45</v>
      </c>
      <c r="E54">
        <v>197</v>
      </c>
      <c r="F54">
        <v>358</v>
      </c>
      <c r="G54">
        <v>555</v>
      </c>
    </row>
    <row r="55" spans="1:7">
      <c r="A55">
        <v>2026</v>
      </c>
      <c r="B55" t="s">
        <v>47</v>
      </c>
      <c r="C55" s="43" t="s">
        <v>85</v>
      </c>
      <c r="D55" t="s">
        <v>45</v>
      </c>
      <c r="E55">
        <v>324</v>
      </c>
      <c r="F55">
        <v>635</v>
      </c>
      <c r="G55">
        <v>959</v>
      </c>
    </row>
    <row r="56" spans="1:7">
      <c r="A56">
        <v>2026</v>
      </c>
      <c r="B56" t="s">
        <v>47</v>
      </c>
      <c r="C56" s="43" t="s">
        <v>86</v>
      </c>
      <c r="D56" t="s">
        <v>45</v>
      </c>
      <c r="E56">
        <v>153</v>
      </c>
      <c r="F56">
        <v>307</v>
      </c>
      <c r="G56">
        <v>460</v>
      </c>
    </row>
    <row r="57" spans="1:7">
      <c r="A57">
        <v>2026</v>
      </c>
      <c r="B57" t="s">
        <v>47</v>
      </c>
      <c r="C57" s="43" t="s">
        <v>87</v>
      </c>
      <c r="D57" t="s">
        <v>45</v>
      </c>
      <c r="E57">
        <v>240</v>
      </c>
      <c r="F57">
        <v>457</v>
      </c>
      <c r="G57">
        <v>697</v>
      </c>
    </row>
    <row r="58" spans="1:7">
      <c r="A58">
        <v>2026</v>
      </c>
      <c r="B58" t="s">
        <v>47</v>
      </c>
      <c r="C58" s="43" t="s">
        <v>88</v>
      </c>
      <c r="D58" t="s">
        <v>45</v>
      </c>
      <c r="E58">
        <v>313</v>
      </c>
      <c r="F58">
        <v>452</v>
      </c>
      <c r="G58">
        <v>765</v>
      </c>
    </row>
    <row r="59" spans="1:7">
      <c r="A59">
        <v>2026</v>
      </c>
      <c r="B59" t="s">
        <v>47</v>
      </c>
      <c r="C59" s="43" t="s">
        <v>94</v>
      </c>
      <c r="D59" t="s">
        <v>45</v>
      </c>
      <c r="E59">
        <v>183</v>
      </c>
      <c r="F59">
        <v>111</v>
      </c>
      <c r="G59">
        <v>294</v>
      </c>
    </row>
    <row r="60" spans="1:7">
      <c r="A60">
        <v>2026</v>
      </c>
      <c r="B60" t="s">
        <v>47</v>
      </c>
      <c r="C60" s="43" t="s">
        <v>89</v>
      </c>
      <c r="D60" t="s">
        <v>45</v>
      </c>
      <c r="E60">
        <v>471</v>
      </c>
      <c r="F60">
        <v>776</v>
      </c>
      <c r="G60">
        <v>1247</v>
      </c>
    </row>
    <row r="61" spans="1:7">
      <c r="A61">
        <v>2026</v>
      </c>
      <c r="B61" t="s">
        <v>47</v>
      </c>
      <c r="C61" s="43" t="s">
        <v>90</v>
      </c>
      <c r="D61" t="s">
        <v>45</v>
      </c>
      <c r="E61">
        <v>152</v>
      </c>
      <c r="F61">
        <v>336</v>
      </c>
      <c r="G61">
        <v>488</v>
      </c>
    </row>
    <row r="62" spans="1:7">
      <c r="A62">
        <v>2026</v>
      </c>
      <c r="B62" t="s">
        <v>47</v>
      </c>
      <c r="C62" s="43" t="s">
        <v>91</v>
      </c>
      <c r="D62" t="s">
        <v>45</v>
      </c>
      <c r="E62">
        <v>220</v>
      </c>
      <c r="F62">
        <v>384</v>
      </c>
      <c r="G62">
        <v>604</v>
      </c>
    </row>
    <row r="63" spans="1:7">
      <c r="A63">
        <v>2026</v>
      </c>
      <c r="B63" t="s">
        <v>47</v>
      </c>
      <c r="C63" s="43" t="s">
        <v>93</v>
      </c>
      <c r="D63" t="s">
        <v>45</v>
      </c>
      <c r="E63">
        <v>136</v>
      </c>
      <c r="F63">
        <v>202</v>
      </c>
      <c r="G63">
        <v>338</v>
      </c>
    </row>
    <row r="64" spans="1:7">
      <c r="A64">
        <v>2026</v>
      </c>
      <c r="B64" t="s">
        <v>47</v>
      </c>
      <c r="C64" s="43" t="s">
        <v>92</v>
      </c>
      <c r="D64" t="s">
        <v>45</v>
      </c>
      <c r="E64">
        <v>390</v>
      </c>
      <c r="F64">
        <v>683</v>
      </c>
      <c r="G64">
        <v>1073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1"/>
  <sheetViews>
    <sheetView workbookViewId="0"/>
  </sheetViews>
  <sheetFormatPr baseColWidth="10" defaultColWidth="8.6640625" defaultRowHeight="14"/>
  <cols>
    <col min="1" max="3" width="24" customWidth="1"/>
    <col min="4" max="5" width="52" customWidth="1"/>
  </cols>
  <sheetData>
    <row r="1" spans="1:5">
      <c r="A1" s="47" t="s">
        <v>150</v>
      </c>
      <c r="B1" s="47" t="s">
        <v>151</v>
      </c>
      <c r="C1" s="47" t="s">
        <v>736</v>
      </c>
      <c r="D1" s="47" t="s">
        <v>737</v>
      </c>
      <c r="E1" s="47" t="s">
        <v>738</v>
      </c>
    </row>
    <row r="2" spans="1:5">
      <c r="A2" s="19" t="s">
        <v>739</v>
      </c>
      <c r="B2" s="19">
        <v>43000</v>
      </c>
      <c r="C2" s="19" t="s">
        <v>740</v>
      </c>
      <c r="D2" s="18" t="s">
        <v>741</v>
      </c>
      <c r="E2" s="18" t="s">
        <v>742</v>
      </c>
    </row>
    <row r="3" spans="1:5">
      <c r="A3" s="19" t="s">
        <v>743</v>
      </c>
      <c r="B3" s="19">
        <v>2036</v>
      </c>
      <c r="C3" s="19" t="s">
        <v>744</v>
      </c>
      <c r="D3" s="18" t="s">
        <v>745</v>
      </c>
      <c r="E3" s="18" t="s">
        <v>746</v>
      </c>
    </row>
    <row r="4" spans="1:5">
      <c r="A4" s="19" t="s">
        <v>747</v>
      </c>
      <c r="B4" s="19">
        <v>2045</v>
      </c>
      <c r="C4" s="19" t="s">
        <v>748</v>
      </c>
      <c r="D4" s="18" t="s">
        <v>749</v>
      </c>
      <c r="E4" s="18" t="s">
        <v>750</v>
      </c>
    </row>
    <row r="5" spans="1:5" ht="28">
      <c r="A5" s="19" t="s">
        <v>751</v>
      </c>
      <c r="B5" s="19">
        <v>2029</v>
      </c>
      <c r="C5" s="19" t="s">
        <v>752</v>
      </c>
      <c r="D5" s="18" t="s">
        <v>753</v>
      </c>
      <c r="E5" s="18" t="s">
        <v>754</v>
      </c>
    </row>
    <row r="6" spans="1:5">
      <c r="A6" s="19" t="s">
        <v>755</v>
      </c>
      <c r="B6" s="19">
        <v>2028</v>
      </c>
      <c r="C6" s="19" t="s">
        <v>756</v>
      </c>
      <c r="D6" s="18" t="s">
        <v>757</v>
      </c>
      <c r="E6" s="18" t="s">
        <v>758</v>
      </c>
    </row>
    <row r="7" spans="1:5" ht="28">
      <c r="A7" s="19" t="s">
        <v>759</v>
      </c>
      <c r="B7" s="19">
        <v>2029</v>
      </c>
      <c r="C7" s="19" t="s">
        <v>760</v>
      </c>
      <c r="D7" s="18" t="s">
        <v>761</v>
      </c>
      <c r="E7" s="18" t="s">
        <v>762</v>
      </c>
    </row>
    <row r="8" spans="1:5" ht="28">
      <c r="A8" s="19" t="s">
        <v>763</v>
      </c>
      <c r="B8" s="19" t="s">
        <v>764</v>
      </c>
      <c r="C8" s="19" t="s">
        <v>765</v>
      </c>
      <c r="D8" s="18" t="s">
        <v>766</v>
      </c>
      <c r="E8" s="18" t="s">
        <v>767</v>
      </c>
    </row>
    <row r="9" spans="1:5" ht="28">
      <c r="A9" s="19" t="s">
        <v>768</v>
      </c>
      <c r="B9" s="20" t="s">
        <v>769</v>
      </c>
      <c r="C9" s="19" t="s">
        <v>765</v>
      </c>
      <c r="D9" s="18" t="s">
        <v>770</v>
      </c>
      <c r="E9" s="18" t="s">
        <v>771</v>
      </c>
    </row>
    <row r="10" spans="1:5" ht="28">
      <c r="A10" s="19" t="s">
        <v>772</v>
      </c>
      <c r="B10" s="20">
        <v>0</v>
      </c>
      <c r="C10" s="19" t="s">
        <v>773</v>
      </c>
      <c r="D10" s="18" t="s">
        <v>774</v>
      </c>
      <c r="E10" s="18" t="s">
        <v>775</v>
      </c>
    </row>
    <row r="11" spans="1:5" ht="28">
      <c r="A11" s="18" t="s">
        <v>776</v>
      </c>
      <c r="B11" s="49">
        <v>0</v>
      </c>
      <c r="C11" s="18" t="s">
        <v>773</v>
      </c>
      <c r="D11" s="18" t="s">
        <v>777</v>
      </c>
      <c r="E11" s="18" t="s">
        <v>775</v>
      </c>
    </row>
    <row r="12" spans="1:5" ht="28">
      <c r="A12" s="18" t="s">
        <v>778</v>
      </c>
      <c r="B12" s="49"/>
      <c r="C12" s="18" t="s">
        <v>773</v>
      </c>
      <c r="D12" s="18" t="s">
        <v>779</v>
      </c>
      <c r="E12" s="18" t="s">
        <v>780</v>
      </c>
    </row>
    <row r="13" spans="1:5" ht="28">
      <c r="A13" s="18" t="s">
        <v>781</v>
      </c>
      <c r="B13" s="49"/>
      <c r="C13" s="18" t="s">
        <v>773</v>
      </c>
      <c r="D13" s="18" t="s">
        <v>779</v>
      </c>
      <c r="E13" s="18" t="s">
        <v>780</v>
      </c>
    </row>
    <row r="14" spans="1:5" ht="28">
      <c r="A14" s="18" t="s">
        <v>782</v>
      </c>
      <c r="B14" s="18" t="s">
        <v>7</v>
      </c>
      <c r="C14" s="18" t="s">
        <v>783</v>
      </c>
      <c r="D14" s="18" t="s">
        <v>784</v>
      </c>
      <c r="E14" s="18" t="s">
        <v>785</v>
      </c>
    </row>
    <row r="35" spans="1:5">
      <c r="A35" s="54" t="s">
        <v>150</v>
      </c>
      <c r="B35" s="54" t="s">
        <v>151</v>
      </c>
      <c r="C35" s="54" t="s">
        <v>786</v>
      </c>
      <c r="D35" s="54" t="s">
        <v>152</v>
      </c>
      <c r="E35" s="54" t="s">
        <v>738</v>
      </c>
    </row>
    <row r="36" spans="1:5" ht="28">
      <c r="A36" s="18" t="s">
        <v>787</v>
      </c>
      <c r="B36" s="18">
        <v>2029</v>
      </c>
      <c r="C36" s="18" t="s">
        <v>788</v>
      </c>
      <c r="D36" s="18" t="s">
        <v>789</v>
      </c>
      <c r="E36" s="18" t="s">
        <v>790</v>
      </c>
    </row>
    <row r="37" spans="1:5" ht="28">
      <c r="A37" s="18" t="s">
        <v>791</v>
      </c>
      <c r="B37" s="18" t="s">
        <v>792</v>
      </c>
      <c r="C37" s="18" t="s">
        <v>788</v>
      </c>
      <c r="D37" s="18" t="s">
        <v>793</v>
      </c>
      <c r="E37" s="18" t="s">
        <v>794</v>
      </c>
    </row>
    <row r="38" spans="1:5" ht="28">
      <c r="A38" s="18" t="s">
        <v>795</v>
      </c>
      <c r="B38" s="18" t="s">
        <v>792</v>
      </c>
      <c r="C38" s="18" t="s">
        <v>788</v>
      </c>
      <c r="D38" s="18" t="s">
        <v>796</v>
      </c>
      <c r="E38" s="18" t="s">
        <v>794</v>
      </c>
    </row>
    <row r="39" spans="1:5" ht="28">
      <c r="A39" s="18" t="s">
        <v>797</v>
      </c>
      <c r="B39" s="49" t="s">
        <v>798</v>
      </c>
      <c r="C39" s="18" t="s">
        <v>788</v>
      </c>
      <c r="D39" s="18" t="s">
        <v>799</v>
      </c>
      <c r="E39" s="18" t="s">
        <v>800</v>
      </c>
    </row>
    <row r="40" spans="1:5" ht="28">
      <c r="A40" s="18" t="s">
        <v>801</v>
      </c>
      <c r="B40" s="49" t="s">
        <v>798</v>
      </c>
      <c r="C40" s="18" t="s">
        <v>788</v>
      </c>
      <c r="D40" s="18" t="s">
        <v>802</v>
      </c>
      <c r="E40" s="18" t="s">
        <v>800</v>
      </c>
    </row>
    <row r="41" spans="1:5" ht="28">
      <c r="A41" s="18" t="s">
        <v>803</v>
      </c>
      <c r="B41" s="18">
        <v>9800</v>
      </c>
      <c r="C41" s="18" t="s">
        <v>788</v>
      </c>
      <c r="D41" s="18" t="s">
        <v>804</v>
      </c>
      <c r="E41" s="18" t="s">
        <v>805</v>
      </c>
    </row>
    <row r="42" spans="1:5" ht="28">
      <c r="A42" s="18" t="s">
        <v>806</v>
      </c>
      <c r="B42" s="18">
        <v>5000</v>
      </c>
      <c r="C42" s="18" t="s">
        <v>788</v>
      </c>
      <c r="D42" s="18" t="s">
        <v>807</v>
      </c>
      <c r="E42" s="18" t="s">
        <v>808</v>
      </c>
    </row>
    <row r="43" spans="1:5" ht="28">
      <c r="A43" s="18" t="s">
        <v>809</v>
      </c>
      <c r="B43" s="18">
        <v>6100</v>
      </c>
      <c r="C43" s="18" t="s">
        <v>788</v>
      </c>
      <c r="D43" s="18" t="s">
        <v>810</v>
      </c>
      <c r="E43" s="18" t="s">
        <v>811</v>
      </c>
    </row>
    <row r="44" spans="1:5" ht="28">
      <c r="A44" s="18" t="s">
        <v>812</v>
      </c>
      <c r="B44" s="18">
        <v>1200</v>
      </c>
      <c r="C44" s="18" t="s">
        <v>788</v>
      </c>
      <c r="D44" s="18" t="s">
        <v>813</v>
      </c>
      <c r="E44" s="18" t="s">
        <v>814</v>
      </c>
    </row>
    <row r="47" spans="1:5">
      <c r="A47" s="68" t="s">
        <v>150</v>
      </c>
      <c r="B47" s="68" t="s">
        <v>151</v>
      </c>
      <c r="C47" s="68" t="s">
        <v>786</v>
      </c>
      <c r="D47" s="68" t="s">
        <v>152</v>
      </c>
      <c r="E47" s="68" t="s">
        <v>738</v>
      </c>
    </row>
    <row r="48" spans="1:5">
      <c r="A48" s="18" t="s">
        <v>815</v>
      </c>
      <c r="B48" s="18">
        <v>2036</v>
      </c>
      <c r="C48" s="18" t="s">
        <v>788</v>
      </c>
      <c r="D48" s="18" t="s">
        <v>816</v>
      </c>
      <c r="E48" s="18" t="s">
        <v>817</v>
      </c>
    </row>
    <row r="49" spans="1:5">
      <c r="A49" s="18" t="s">
        <v>818</v>
      </c>
      <c r="B49" s="49">
        <v>43000</v>
      </c>
      <c r="C49" s="18" t="s">
        <v>788</v>
      </c>
      <c r="D49" s="18" t="s">
        <v>819</v>
      </c>
      <c r="E49" s="18" t="s">
        <v>820</v>
      </c>
    </row>
    <row r="50" spans="1:5" ht="28">
      <c r="A50" s="18" t="s">
        <v>821</v>
      </c>
      <c r="B50" s="18" t="s">
        <v>1252</v>
      </c>
      <c r="C50" s="18" t="s">
        <v>822</v>
      </c>
      <c r="D50" s="18" t="s">
        <v>823</v>
      </c>
      <c r="E50" s="18" t="s">
        <v>824</v>
      </c>
    </row>
    <row r="51" spans="1:5" ht="28">
      <c r="A51" s="18" t="s">
        <v>825</v>
      </c>
      <c r="B51" s="49" t="s">
        <v>826</v>
      </c>
      <c r="C51" s="18" t="s">
        <v>827</v>
      </c>
      <c r="D51" s="18" t="s">
        <v>828</v>
      </c>
      <c r="E51" s="18" t="s">
        <v>829</v>
      </c>
    </row>
    <row r="53" spans="1:5">
      <c r="A53" s="18"/>
      <c r="B53" s="18"/>
      <c r="C53" s="18"/>
      <c r="D53" s="18"/>
      <c r="E53" s="18"/>
    </row>
    <row r="54" spans="1:5">
      <c r="A54" s="18"/>
      <c r="B54" s="18"/>
      <c r="C54" s="18"/>
      <c r="D54" s="18"/>
      <c r="E54" s="18"/>
    </row>
    <row r="55" spans="1:5">
      <c r="A55" s="18"/>
      <c r="B55" s="18"/>
      <c r="C55" s="18"/>
      <c r="D55" s="18"/>
      <c r="E55" s="18"/>
    </row>
    <row r="56" spans="1:5">
      <c r="A56" s="18"/>
      <c r="B56" s="49"/>
      <c r="C56" s="18"/>
      <c r="D56" s="18"/>
      <c r="E56" s="18"/>
    </row>
    <row r="57" spans="1:5">
      <c r="A57" s="18"/>
      <c r="B57" s="49"/>
      <c r="C57" s="18"/>
      <c r="D57" s="18"/>
      <c r="E57" s="18"/>
    </row>
    <row r="58" spans="1:5">
      <c r="A58" s="18"/>
      <c r="B58" s="18"/>
      <c r="C58" s="18"/>
      <c r="D58" s="18"/>
      <c r="E58" s="18"/>
    </row>
    <row r="60" spans="1:5" ht="28">
      <c r="A60" s="18" t="s">
        <v>830</v>
      </c>
      <c r="B60" s="18" t="s">
        <v>831</v>
      </c>
      <c r="C60" s="18" t="s">
        <v>832</v>
      </c>
      <c r="D60" s="18" t="s">
        <v>833</v>
      </c>
      <c r="E60" s="18" t="s">
        <v>834</v>
      </c>
    </row>
    <row r="61" spans="1:5" ht="28">
      <c r="A61" s="18" t="s">
        <v>835</v>
      </c>
      <c r="B61" s="18" t="s">
        <v>836</v>
      </c>
      <c r="C61" s="18" t="s">
        <v>837</v>
      </c>
      <c r="D61" s="18" t="s">
        <v>838</v>
      </c>
      <c r="E61" s="18" t="s">
        <v>839</v>
      </c>
    </row>
  </sheetData>
  <dataValidations count="3">
    <dataValidation type="list" sqref="B7" xr:uid="{00000000-0002-0000-1000-000000000000}">
      <formula1>"Nunca,2030,2031,2032,2033,2034,2035,2036,2037,2038,2039,2040,2041,2042,2043,2044,2045"</formula1>
    </dataValidation>
    <dataValidation type="list" sqref="B8" xr:uid="{00000000-0002-0000-1000-000001000000}">
      <formula1>"Resolver meta,Crecimiento manual"</formula1>
    </dataValidation>
    <dataValidation type="list" sqref="B14" xr:uid="{00000000-0002-0000-1000-000002000000}">
      <formula1>"Sí,No"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6"/>
  <sheetViews>
    <sheetView workbookViewId="0">
      <selection activeCell="F87" sqref="F87"/>
    </sheetView>
  </sheetViews>
  <sheetFormatPr baseColWidth="10" defaultColWidth="8.6640625" defaultRowHeight="14"/>
  <cols>
    <col min="1" max="1" width="16" customWidth="1"/>
    <col min="2" max="2" width="14" customWidth="1"/>
    <col min="3" max="5" width="16" customWidth="1"/>
    <col min="6" max="6" width="14" customWidth="1"/>
  </cols>
  <sheetData>
    <row r="1" spans="1:6">
      <c r="A1" s="44" t="s">
        <v>840</v>
      </c>
      <c r="B1" s="44" t="s">
        <v>39</v>
      </c>
      <c r="C1" s="44" t="s">
        <v>841</v>
      </c>
      <c r="D1" s="44" t="s">
        <v>37</v>
      </c>
      <c r="E1" s="44" t="s">
        <v>38</v>
      </c>
      <c r="F1" s="44" t="s">
        <v>842</v>
      </c>
    </row>
    <row r="2" spans="1:6">
      <c r="A2" s="21">
        <v>2026</v>
      </c>
      <c r="B2" s="21" t="s">
        <v>843</v>
      </c>
      <c r="C2" s="21">
        <v>2026</v>
      </c>
      <c r="D2" s="21" t="s">
        <v>105</v>
      </c>
      <c r="E2" s="19" t="s">
        <v>844</v>
      </c>
      <c r="F2" s="21">
        <v>1866</v>
      </c>
    </row>
    <row r="3" spans="1:6">
      <c r="A3" s="21">
        <v>2026</v>
      </c>
      <c r="B3" s="21" t="s">
        <v>845</v>
      </c>
      <c r="C3" s="21">
        <v>2026</v>
      </c>
      <c r="D3" s="21" t="s">
        <v>105</v>
      </c>
      <c r="E3" s="19" t="s">
        <v>844</v>
      </c>
      <c r="F3" s="21">
        <v>1660</v>
      </c>
    </row>
    <row r="4" spans="1:6">
      <c r="A4" s="21">
        <v>2026</v>
      </c>
      <c r="B4" s="21" t="s">
        <v>846</v>
      </c>
      <c r="C4" s="21">
        <v>2027</v>
      </c>
      <c r="D4" s="21" t="s">
        <v>105</v>
      </c>
      <c r="E4" s="19" t="s">
        <v>844</v>
      </c>
      <c r="F4" s="21">
        <v>2062</v>
      </c>
    </row>
    <row r="5" spans="1:6">
      <c r="A5" s="21">
        <v>2026</v>
      </c>
      <c r="B5" s="21" t="s">
        <v>847</v>
      </c>
      <c r="C5" s="21">
        <v>2027</v>
      </c>
      <c r="D5" s="21" t="s">
        <v>105</v>
      </c>
      <c r="E5" s="19" t="s">
        <v>844</v>
      </c>
      <c r="F5" s="21">
        <v>1513</v>
      </c>
    </row>
    <row r="6" spans="1:6">
      <c r="A6" s="21">
        <v>2026</v>
      </c>
      <c r="B6" s="21" t="s">
        <v>848</v>
      </c>
      <c r="C6" s="21">
        <v>2027</v>
      </c>
      <c r="D6" s="21" t="s">
        <v>105</v>
      </c>
      <c r="E6" s="19" t="s">
        <v>844</v>
      </c>
      <c r="F6" s="21">
        <v>2245</v>
      </c>
    </row>
    <row r="7" spans="1:6">
      <c r="A7" s="21">
        <v>2026</v>
      </c>
      <c r="B7" s="21" t="s">
        <v>843</v>
      </c>
      <c r="C7" s="21">
        <v>2026</v>
      </c>
      <c r="D7" s="21" t="s">
        <v>105</v>
      </c>
      <c r="E7" s="19" t="s">
        <v>849</v>
      </c>
      <c r="F7" s="21">
        <v>0</v>
      </c>
    </row>
    <row r="8" spans="1:6">
      <c r="A8" s="21">
        <v>2026</v>
      </c>
      <c r="B8" s="21" t="s">
        <v>845</v>
      </c>
      <c r="C8" s="21">
        <v>2026</v>
      </c>
      <c r="D8" s="21" t="s">
        <v>105</v>
      </c>
      <c r="E8" s="19" t="s">
        <v>849</v>
      </c>
      <c r="F8" s="21">
        <v>0</v>
      </c>
    </row>
    <row r="9" spans="1:6">
      <c r="A9" s="21">
        <v>2026</v>
      </c>
      <c r="B9" s="21" t="s">
        <v>846</v>
      </c>
      <c r="C9" s="21">
        <v>2027</v>
      </c>
      <c r="D9" s="21" t="s">
        <v>105</v>
      </c>
      <c r="E9" s="19" t="s">
        <v>849</v>
      </c>
      <c r="F9" s="21">
        <v>0</v>
      </c>
    </row>
    <row r="10" spans="1:6">
      <c r="A10" s="21">
        <v>2026</v>
      </c>
      <c r="B10" s="21" t="s">
        <v>847</v>
      </c>
      <c r="C10" s="21">
        <v>2027</v>
      </c>
      <c r="D10" s="21" t="s">
        <v>105</v>
      </c>
      <c r="E10" s="19" t="s">
        <v>849</v>
      </c>
      <c r="F10" s="21">
        <v>0</v>
      </c>
    </row>
    <row r="11" spans="1:6">
      <c r="A11" s="21">
        <v>2026</v>
      </c>
      <c r="B11" s="21" t="s">
        <v>848</v>
      </c>
      <c r="C11" s="21">
        <v>2027</v>
      </c>
      <c r="D11" s="21" t="s">
        <v>105</v>
      </c>
      <c r="E11" s="19" t="s">
        <v>849</v>
      </c>
      <c r="F11" s="21">
        <v>0</v>
      </c>
    </row>
    <row r="12" spans="1:6">
      <c r="A12" s="21">
        <v>2026</v>
      </c>
      <c r="B12" s="21" t="s">
        <v>843</v>
      </c>
      <c r="C12" s="21">
        <v>2026</v>
      </c>
      <c r="D12" s="21" t="s">
        <v>106</v>
      </c>
      <c r="E12" s="19" t="s">
        <v>844</v>
      </c>
      <c r="F12" s="21">
        <v>952</v>
      </c>
    </row>
    <row r="13" spans="1:6">
      <c r="A13" s="21">
        <v>2026</v>
      </c>
      <c r="B13" s="21" t="s">
        <v>845</v>
      </c>
      <c r="C13" s="21">
        <v>2026</v>
      </c>
      <c r="D13" s="21" t="s">
        <v>106</v>
      </c>
      <c r="E13" s="19" t="s">
        <v>844</v>
      </c>
      <c r="F13" s="21">
        <v>867</v>
      </c>
    </row>
    <row r="14" spans="1:6">
      <c r="A14" s="21">
        <v>2026</v>
      </c>
      <c r="B14" s="21" t="s">
        <v>846</v>
      </c>
      <c r="C14" s="21">
        <v>2027</v>
      </c>
      <c r="D14" s="21" t="s">
        <v>106</v>
      </c>
      <c r="E14" s="19" t="s">
        <v>844</v>
      </c>
      <c r="F14" s="21">
        <v>1020</v>
      </c>
    </row>
    <row r="15" spans="1:6">
      <c r="A15" s="21">
        <v>2026</v>
      </c>
      <c r="B15" s="21" t="s">
        <v>847</v>
      </c>
      <c r="C15" s="21">
        <v>2027</v>
      </c>
      <c r="D15" s="21" t="s">
        <v>106</v>
      </c>
      <c r="E15" s="19" t="s">
        <v>844</v>
      </c>
      <c r="F15" s="21">
        <v>778</v>
      </c>
    </row>
    <row r="16" spans="1:6">
      <c r="A16" s="21">
        <v>2026</v>
      </c>
      <c r="B16" s="21" t="s">
        <v>848</v>
      </c>
      <c r="C16" s="21">
        <v>2027</v>
      </c>
      <c r="D16" s="21" t="s">
        <v>106</v>
      </c>
      <c r="E16" s="19" t="s">
        <v>844</v>
      </c>
      <c r="F16" s="21">
        <v>1016</v>
      </c>
    </row>
    <row r="17" spans="1:6">
      <c r="A17" s="21">
        <v>2026</v>
      </c>
      <c r="B17" s="21" t="s">
        <v>843</v>
      </c>
      <c r="C17" s="21">
        <v>2026</v>
      </c>
      <c r="D17" s="21" t="s">
        <v>106</v>
      </c>
      <c r="E17" s="19" t="s">
        <v>849</v>
      </c>
      <c r="F17" s="21">
        <v>0</v>
      </c>
    </row>
    <row r="18" spans="1:6">
      <c r="A18" s="21">
        <v>2026</v>
      </c>
      <c r="B18" s="21" t="s">
        <v>845</v>
      </c>
      <c r="C18" s="21">
        <v>2026</v>
      </c>
      <c r="D18" s="21" t="s">
        <v>106</v>
      </c>
      <c r="E18" s="19" t="s">
        <v>849</v>
      </c>
      <c r="F18" s="21">
        <v>0</v>
      </c>
    </row>
    <row r="19" spans="1:6">
      <c r="A19" s="21">
        <v>2026</v>
      </c>
      <c r="B19" s="21" t="s">
        <v>846</v>
      </c>
      <c r="C19" s="21">
        <v>2027</v>
      </c>
      <c r="D19" s="21" t="s">
        <v>106</v>
      </c>
      <c r="E19" s="19" t="s">
        <v>849</v>
      </c>
      <c r="F19" s="21">
        <v>0</v>
      </c>
    </row>
    <row r="20" spans="1:6">
      <c r="A20" s="21">
        <v>2026</v>
      </c>
      <c r="B20" s="21" t="s">
        <v>847</v>
      </c>
      <c r="C20" s="21">
        <v>2027</v>
      </c>
      <c r="D20" s="21" t="s">
        <v>106</v>
      </c>
      <c r="E20" s="19" t="s">
        <v>849</v>
      </c>
      <c r="F20" s="21">
        <v>0</v>
      </c>
    </row>
    <row r="21" spans="1:6">
      <c r="A21" s="21">
        <v>2026</v>
      </c>
      <c r="B21" s="21" t="s">
        <v>848</v>
      </c>
      <c r="C21" s="21">
        <v>2027</v>
      </c>
      <c r="D21" s="21" t="s">
        <v>106</v>
      </c>
      <c r="E21" s="19" t="s">
        <v>849</v>
      </c>
      <c r="F21" s="21">
        <v>0</v>
      </c>
    </row>
    <row r="22" spans="1:6">
      <c r="A22" s="21">
        <v>2027</v>
      </c>
      <c r="B22" s="21" t="s">
        <v>843</v>
      </c>
      <c r="C22" s="21">
        <v>2027</v>
      </c>
      <c r="D22" s="21" t="s">
        <v>105</v>
      </c>
      <c r="E22" s="19" t="s">
        <v>844</v>
      </c>
      <c r="F22" s="21">
        <v>1898</v>
      </c>
    </row>
    <row r="23" spans="1:6">
      <c r="A23" s="21">
        <v>2027</v>
      </c>
      <c r="B23" s="21" t="s">
        <v>845</v>
      </c>
      <c r="C23" s="21">
        <v>2027</v>
      </c>
      <c r="D23" s="21" t="s">
        <v>105</v>
      </c>
      <c r="E23" s="19" t="s">
        <v>844</v>
      </c>
      <c r="F23" s="21">
        <v>1898</v>
      </c>
    </row>
    <row r="24" spans="1:6">
      <c r="A24" s="21">
        <v>2027</v>
      </c>
      <c r="B24" s="21" t="s">
        <v>846</v>
      </c>
      <c r="C24" s="21">
        <v>2028</v>
      </c>
      <c r="D24" s="21" t="s">
        <v>105</v>
      </c>
      <c r="E24" s="19" t="s">
        <v>844</v>
      </c>
      <c r="F24" s="21">
        <v>2338</v>
      </c>
    </row>
    <row r="25" spans="1:6">
      <c r="A25" s="21">
        <v>2027</v>
      </c>
      <c r="B25" s="21" t="s">
        <v>847</v>
      </c>
      <c r="C25" s="21">
        <v>2028</v>
      </c>
      <c r="D25" s="21" t="s">
        <v>105</v>
      </c>
      <c r="E25" s="19" t="s">
        <v>844</v>
      </c>
      <c r="F25" s="21">
        <v>1713</v>
      </c>
    </row>
    <row r="26" spans="1:6">
      <c r="A26" s="21">
        <v>2027</v>
      </c>
      <c r="B26" s="21" t="s">
        <v>848</v>
      </c>
      <c r="C26" s="21">
        <v>2028</v>
      </c>
      <c r="D26" s="21" t="s">
        <v>105</v>
      </c>
      <c r="E26" s="19" t="s">
        <v>844</v>
      </c>
      <c r="F26" s="21">
        <v>2542</v>
      </c>
    </row>
    <row r="27" spans="1:6">
      <c r="A27" s="21">
        <v>2027</v>
      </c>
      <c r="B27" s="21" t="s">
        <v>843</v>
      </c>
      <c r="C27" s="21">
        <v>2027</v>
      </c>
      <c r="D27" s="21" t="s">
        <v>105</v>
      </c>
      <c r="E27" s="19" t="s">
        <v>849</v>
      </c>
      <c r="F27" s="21">
        <v>0</v>
      </c>
    </row>
    <row r="28" spans="1:6">
      <c r="A28" s="21">
        <v>2027</v>
      </c>
      <c r="B28" s="21" t="s">
        <v>845</v>
      </c>
      <c r="C28" s="21">
        <v>2027</v>
      </c>
      <c r="D28" s="21" t="s">
        <v>105</v>
      </c>
      <c r="E28" s="19" t="s">
        <v>849</v>
      </c>
      <c r="F28" s="21">
        <v>0</v>
      </c>
    </row>
    <row r="29" spans="1:6">
      <c r="A29" s="21">
        <v>2027</v>
      </c>
      <c r="B29" s="21" t="s">
        <v>846</v>
      </c>
      <c r="C29" s="21">
        <v>2028</v>
      </c>
      <c r="D29" s="21" t="s">
        <v>105</v>
      </c>
      <c r="E29" s="19" t="s">
        <v>849</v>
      </c>
      <c r="F29" s="21">
        <v>0</v>
      </c>
    </row>
    <row r="30" spans="1:6">
      <c r="A30" s="21">
        <v>2027</v>
      </c>
      <c r="B30" s="21" t="s">
        <v>847</v>
      </c>
      <c r="C30" s="21">
        <v>2028</v>
      </c>
      <c r="D30" s="21" t="s">
        <v>105</v>
      </c>
      <c r="E30" s="19" t="s">
        <v>849</v>
      </c>
      <c r="F30" s="21">
        <v>0</v>
      </c>
    </row>
    <row r="31" spans="1:6">
      <c r="A31" s="21">
        <v>2027</v>
      </c>
      <c r="B31" s="21" t="s">
        <v>848</v>
      </c>
      <c r="C31" s="21">
        <v>2028</v>
      </c>
      <c r="D31" s="21" t="s">
        <v>105</v>
      </c>
      <c r="E31" s="19" t="s">
        <v>849</v>
      </c>
      <c r="F31" s="21">
        <v>0</v>
      </c>
    </row>
    <row r="32" spans="1:6">
      <c r="A32" s="21">
        <v>2027</v>
      </c>
      <c r="B32" s="21" t="s">
        <v>843</v>
      </c>
      <c r="C32" s="21">
        <v>2027</v>
      </c>
      <c r="D32" s="21" t="s">
        <v>106</v>
      </c>
      <c r="E32" s="19" t="s">
        <v>844</v>
      </c>
      <c r="F32" s="21">
        <v>1159</v>
      </c>
    </row>
    <row r="33" spans="1:6">
      <c r="A33" s="21">
        <v>2027</v>
      </c>
      <c r="B33" s="21" t="s">
        <v>845</v>
      </c>
      <c r="C33" s="21">
        <v>2027</v>
      </c>
      <c r="D33" s="21" t="s">
        <v>106</v>
      </c>
      <c r="E33" s="19" t="s">
        <v>844</v>
      </c>
      <c r="F33" s="21">
        <v>1045</v>
      </c>
    </row>
    <row r="34" spans="1:6">
      <c r="A34" s="21">
        <v>2027</v>
      </c>
      <c r="B34" s="21" t="s">
        <v>846</v>
      </c>
      <c r="C34" s="21">
        <v>2028</v>
      </c>
      <c r="D34" s="21" t="s">
        <v>106</v>
      </c>
      <c r="E34" s="19" t="s">
        <v>844</v>
      </c>
      <c r="F34" s="21">
        <v>1105</v>
      </c>
    </row>
    <row r="35" spans="1:6">
      <c r="A35" s="21">
        <v>2027</v>
      </c>
      <c r="B35" s="21" t="s">
        <v>847</v>
      </c>
      <c r="C35" s="21">
        <v>2028</v>
      </c>
      <c r="D35" s="21" t="s">
        <v>106</v>
      </c>
      <c r="E35" s="19" t="s">
        <v>844</v>
      </c>
      <c r="F35" s="21">
        <v>872</v>
      </c>
    </row>
    <row r="36" spans="1:6">
      <c r="A36" s="21">
        <v>2027</v>
      </c>
      <c r="B36" s="21" t="s">
        <v>848</v>
      </c>
      <c r="C36" s="21">
        <v>2028</v>
      </c>
      <c r="D36" s="21" t="s">
        <v>106</v>
      </c>
      <c r="E36" s="19" t="s">
        <v>844</v>
      </c>
      <c r="F36" s="21">
        <v>1131</v>
      </c>
    </row>
    <row r="37" spans="1:6">
      <c r="A37" s="21">
        <v>2027</v>
      </c>
      <c r="B37" s="21" t="s">
        <v>843</v>
      </c>
      <c r="C37" s="21">
        <v>2027</v>
      </c>
      <c r="D37" s="21" t="s">
        <v>106</v>
      </c>
      <c r="E37" s="19" t="s">
        <v>849</v>
      </c>
      <c r="F37" s="21">
        <v>0</v>
      </c>
    </row>
    <row r="38" spans="1:6">
      <c r="A38" s="21">
        <v>2027</v>
      </c>
      <c r="B38" s="21" t="s">
        <v>845</v>
      </c>
      <c r="C38" s="21">
        <v>2027</v>
      </c>
      <c r="D38" s="21" t="s">
        <v>106</v>
      </c>
      <c r="E38" s="19" t="s">
        <v>849</v>
      </c>
      <c r="F38" s="21">
        <v>0</v>
      </c>
    </row>
    <row r="39" spans="1:6">
      <c r="A39" s="21">
        <v>2027</v>
      </c>
      <c r="B39" s="21" t="s">
        <v>846</v>
      </c>
      <c r="C39" s="21">
        <v>2028</v>
      </c>
      <c r="D39" s="21" t="s">
        <v>106</v>
      </c>
      <c r="E39" s="19" t="s">
        <v>849</v>
      </c>
      <c r="F39" s="21">
        <v>0</v>
      </c>
    </row>
    <row r="40" spans="1:6">
      <c r="A40" s="21">
        <v>2027</v>
      </c>
      <c r="B40" s="21" t="s">
        <v>847</v>
      </c>
      <c r="C40" s="21">
        <v>2028</v>
      </c>
      <c r="D40" s="21" t="s">
        <v>106</v>
      </c>
      <c r="E40" s="19" t="s">
        <v>849</v>
      </c>
      <c r="F40" s="21">
        <v>0</v>
      </c>
    </row>
    <row r="41" spans="1:6">
      <c r="A41" s="21">
        <v>2027</v>
      </c>
      <c r="B41" s="21" t="s">
        <v>848</v>
      </c>
      <c r="C41" s="21">
        <v>2028</v>
      </c>
      <c r="D41" s="21" t="s">
        <v>106</v>
      </c>
      <c r="E41" s="19" t="s">
        <v>849</v>
      </c>
      <c r="F41" s="21">
        <v>0</v>
      </c>
    </row>
    <row r="42" spans="1:6">
      <c r="A42" s="21">
        <v>2028</v>
      </c>
      <c r="B42" s="21" t="s">
        <v>843</v>
      </c>
      <c r="C42" s="21">
        <v>2028</v>
      </c>
      <c r="D42" s="21" t="s">
        <v>105</v>
      </c>
      <c r="E42" s="19" t="s">
        <v>844</v>
      </c>
      <c r="F42" s="21">
        <v>2056</v>
      </c>
    </row>
    <row r="43" spans="1:6">
      <c r="A43" s="21">
        <v>2028</v>
      </c>
      <c r="B43" s="21" t="s">
        <v>845</v>
      </c>
      <c r="C43" s="21">
        <v>2028</v>
      </c>
      <c r="D43" s="21" t="s">
        <v>105</v>
      </c>
      <c r="E43" s="19" t="s">
        <v>844</v>
      </c>
      <c r="F43" s="21">
        <v>2020</v>
      </c>
    </row>
    <row r="44" spans="1:6">
      <c r="A44" s="21">
        <v>2028</v>
      </c>
      <c r="B44" s="21" t="s">
        <v>846</v>
      </c>
      <c r="C44" s="21">
        <v>2029</v>
      </c>
      <c r="D44" s="21" t="s">
        <v>105</v>
      </c>
      <c r="E44" s="19" t="s">
        <v>844</v>
      </c>
      <c r="F44" s="21">
        <v>2374</v>
      </c>
    </row>
    <row r="45" spans="1:6">
      <c r="A45" s="21">
        <v>2028</v>
      </c>
      <c r="B45" s="21" t="s">
        <v>847</v>
      </c>
      <c r="C45" s="21">
        <v>2029</v>
      </c>
      <c r="D45" s="21" t="s">
        <v>105</v>
      </c>
      <c r="E45" s="19" t="s">
        <v>844</v>
      </c>
      <c r="F45" s="21">
        <v>1751</v>
      </c>
    </row>
    <row r="46" spans="1:6">
      <c r="A46" s="21">
        <v>2028</v>
      </c>
      <c r="B46" s="21" t="s">
        <v>848</v>
      </c>
      <c r="C46" s="21">
        <v>2029</v>
      </c>
      <c r="D46" s="21" t="s">
        <v>105</v>
      </c>
      <c r="E46" s="19" t="s">
        <v>844</v>
      </c>
      <c r="F46" s="21">
        <v>2593</v>
      </c>
    </row>
    <row r="47" spans="1:6">
      <c r="A47" s="21">
        <v>2028</v>
      </c>
      <c r="B47" s="21" t="s">
        <v>843</v>
      </c>
      <c r="C47" s="21">
        <v>2028</v>
      </c>
      <c r="D47" s="21" t="s">
        <v>105</v>
      </c>
      <c r="E47" s="19" t="s">
        <v>849</v>
      </c>
      <c r="F47" s="21">
        <v>0</v>
      </c>
    </row>
    <row r="48" spans="1:6">
      <c r="A48" s="21">
        <v>2028</v>
      </c>
      <c r="B48" s="21" t="s">
        <v>845</v>
      </c>
      <c r="C48" s="21">
        <v>2028</v>
      </c>
      <c r="D48" s="21" t="s">
        <v>105</v>
      </c>
      <c r="E48" s="19" t="s">
        <v>849</v>
      </c>
      <c r="F48" s="21">
        <v>35</v>
      </c>
    </row>
    <row r="49" spans="1:6">
      <c r="A49" s="21">
        <v>2028</v>
      </c>
      <c r="B49" s="21" t="s">
        <v>846</v>
      </c>
      <c r="C49" s="21">
        <v>2029</v>
      </c>
      <c r="D49" s="21" t="s">
        <v>105</v>
      </c>
      <c r="E49" s="19" t="s">
        <v>849</v>
      </c>
      <c r="F49" s="21">
        <v>103</v>
      </c>
    </row>
    <row r="50" spans="1:6">
      <c r="A50" s="21">
        <v>2028</v>
      </c>
      <c r="B50" s="21" t="s">
        <v>847</v>
      </c>
      <c r="C50" s="21">
        <v>2029</v>
      </c>
      <c r="D50" s="21" t="s">
        <v>105</v>
      </c>
      <c r="E50" s="19" t="s">
        <v>849</v>
      </c>
      <c r="F50" s="21">
        <v>63</v>
      </c>
    </row>
    <row r="51" spans="1:6">
      <c r="A51" s="21">
        <v>2028</v>
      </c>
      <c r="B51" s="21" t="s">
        <v>848</v>
      </c>
      <c r="C51" s="21">
        <v>2029</v>
      </c>
      <c r="D51" s="21" t="s">
        <v>105</v>
      </c>
      <c r="E51" s="19" t="s">
        <v>849</v>
      </c>
      <c r="F51" s="21">
        <v>101</v>
      </c>
    </row>
    <row r="52" spans="1:6">
      <c r="A52" s="21">
        <v>2028</v>
      </c>
      <c r="B52" s="21" t="s">
        <v>843</v>
      </c>
      <c r="C52" s="21">
        <v>2028</v>
      </c>
      <c r="D52" s="21" t="s">
        <v>106</v>
      </c>
      <c r="E52" s="19" t="s">
        <v>844</v>
      </c>
      <c r="F52" s="21">
        <v>1254</v>
      </c>
    </row>
    <row r="53" spans="1:6">
      <c r="A53" s="21">
        <v>2028</v>
      </c>
      <c r="B53" s="21" t="s">
        <v>845</v>
      </c>
      <c r="C53" s="21">
        <v>2028</v>
      </c>
      <c r="D53" s="21" t="s">
        <v>106</v>
      </c>
      <c r="E53" s="19" t="s">
        <v>844</v>
      </c>
      <c r="F53" s="21">
        <v>1086</v>
      </c>
    </row>
    <row r="54" spans="1:6">
      <c r="A54" s="21">
        <v>2028</v>
      </c>
      <c r="B54" s="21" t="s">
        <v>846</v>
      </c>
      <c r="C54" s="21">
        <v>2029</v>
      </c>
      <c r="D54" s="21" t="s">
        <v>106</v>
      </c>
      <c r="E54" s="19" t="s">
        <v>844</v>
      </c>
      <c r="F54" s="21">
        <v>1220</v>
      </c>
    </row>
    <row r="55" spans="1:6">
      <c r="A55" s="21">
        <v>2028</v>
      </c>
      <c r="B55" s="21" t="s">
        <v>847</v>
      </c>
      <c r="C55" s="21">
        <v>2029</v>
      </c>
      <c r="D55" s="21" t="s">
        <v>106</v>
      </c>
      <c r="E55" s="19" t="s">
        <v>844</v>
      </c>
      <c r="F55" s="21">
        <v>970</v>
      </c>
    </row>
    <row r="56" spans="1:6">
      <c r="A56" s="21">
        <v>2028</v>
      </c>
      <c r="B56" s="21" t="s">
        <v>848</v>
      </c>
      <c r="C56" s="21">
        <v>2029</v>
      </c>
      <c r="D56" s="21" t="s">
        <v>106</v>
      </c>
      <c r="E56" s="19" t="s">
        <v>844</v>
      </c>
      <c r="F56" s="21">
        <v>1248</v>
      </c>
    </row>
    <row r="57" spans="1:6">
      <c r="A57" s="21">
        <v>2028</v>
      </c>
      <c r="B57" s="21" t="s">
        <v>843</v>
      </c>
      <c r="C57" s="21">
        <v>2028</v>
      </c>
      <c r="D57" s="21" t="s">
        <v>106</v>
      </c>
      <c r="E57" s="19" t="s">
        <v>849</v>
      </c>
      <c r="F57" s="21">
        <v>36</v>
      </c>
    </row>
    <row r="58" spans="1:6">
      <c r="A58" s="21">
        <v>2028</v>
      </c>
      <c r="B58" s="21" t="s">
        <v>845</v>
      </c>
      <c r="C58" s="21">
        <v>2028</v>
      </c>
      <c r="D58" s="21" t="s">
        <v>106</v>
      </c>
      <c r="E58" s="19" t="s">
        <v>849</v>
      </c>
      <c r="F58" s="21">
        <v>31</v>
      </c>
    </row>
    <row r="59" spans="1:6">
      <c r="A59" s="21">
        <v>2028</v>
      </c>
      <c r="B59" s="21" t="s">
        <v>846</v>
      </c>
      <c r="C59" s="21">
        <v>2029</v>
      </c>
      <c r="D59" s="21" t="s">
        <v>106</v>
      </c>
      <c r="E59" s="19" t="s">
        <v>849</v>
      </c>
      <c r="F59" s="21">
        <v>33</v>
      </c>
    </row>
    <row r="60" spans="1:6">
      <c r="A60" s="21">
        <v>2028</v>
      </c>
      <c r="B60" s="21" t="s">
        <v>847</v>
      </c>
      <c r="C60" s="21">
        <v>2029</v>
      </c>
      <c r="D60" s="21" t="s">
        <v>106</v>
      </c>
      <c r="E60" s="19" t="s">
        <v>849</v>
      </c>
      <c r="F60" s="21">
        <v>28</v>
      </c>
    </row>
    <row r="61" spans="1:6">
      <c r="A61" s="21">
        <v>2028</v>
      </c>
      <c r="B61" s="21" t="s">
        <v>848</v>
      </c>
      <c r="C61" s="21">
        <v>2029</v>
      </c>
      <c r="D61" s="21" t="s">
        <v>106</v>
      </c>
      <c r="E61" s="19" t="s">
        <v>849</v>
      </c>
      <c r="F61" s="21">
        <v>36</v>
      </c>
    </row>
    <row r="62" spans="1:6">
      <c r="A62" s="21">
        <v>2029</v>
      </c>
      <c r="B62" s="21" t="s">
        <v>843</v>
      </c>
      <c r="C62" s="21">
        <v>2029</v>
      </c>
      <c r="D62" s="21" t="s">
        <v>105</v>
      </c>
      <c r="E62" s="19" t="s">
        <v>844</v>
      </c>
      <c r="F62" s="21">
        <v>2178</v>
      </c>
    </row>
    <row r="63" spans="1:6">
      <c r="A63" s="21">
        <v>2029</v>
      </c>
      <c r="B63" s="21" t="s">
        <v>845</v>
      </c>
      <c r="C63" s="21">
        <v>2029</v>
      </c>
      <c r="D63" s="21" t="s">
        <v>105</v>
      </c>
      <c r="E63" s="19" t="s">
        <v>844</v>
      </c>
      <c r="F63" s="21">
        <v>2177</v>
      </c>
    </row>
    <row r="64" spans="1:6">
      <c r="A64" s="21">
        <v>2029</v>
      </c>
      <c r="B64" s="21" t="s">
        <v>846</v>
      </c>
      <c r="C64" s="21">
        <v>2030</v>
      </c>
      <c r="D64" s="21" t="s">
        <v>105</v>
      </c>
      <c r="E64" s="19" t="s">
        <v>844</v>
      </c>
      <c r="F64" s="21">
        <v>2445</v>
      </c>
    </row>
    <row r="65" spans="1:6">
      <c r="A65" s="21">
        <v>2029</v>
      </c>
      <c r="B65" s="21" t="s">
        <v>847</v>
      </c>
      <c r="C65" s="21">
        <v>2030</v>
      </c>
      <c r="D65" s="21" t="s">
        <v>105</v>
      </c>
      <c r="E65" s="19" t="s">
        <v>844</v>
      </c>
      <c r="F65" s="21">
        <v>1813</v>
      </c>
    </row>
    <row r="66" spans="1:6">
      <c r="A66" s="21">
        <v>2029</v>
      </c>
      <c r="B66" s="21" t="s">
        <v>848</v>
      </c>
      <c r="C66" s="21">
        <v>2030</v>
      </c>
      <c r="D66" s="21" t="s">
        <v>105</v>
      </c>
      <c r="E66" s="19" t="s">
        <v>844</v>
      </c>
      <c r="F66" s="21">
        <v>2647</v>
      </c>
    </row>
    <row r="67" spans="1:6">
      <c r="A67" s="21">
        <v>2029</v>
      </c>
      <c r="B67" s="21" t="s">
        <v>843</v>
      </c>
      <c r="C67" s="21">
        <v>2029</v>
      </c>
      <c r="D67" s="21" t="s">
        <v>105</v>
      </c>
      <c r="E67" s="19" t="s">
        <v>849</v>
      </c>
      <c r="F67" s="21">
        <v>61</v>
      </c>
    </row>
    <row r="68" spans="1:6">
      <c r="A68" s="21">
        <v>2029</v>
      </c>
      <c r="B68" s="21" t="s">
        <v>845</v>
      </c>
      <c r="C68" s="21">
        <v>2029</v>
      </c>
      <c r="D68" s="21" t="s">
        <v>105</v>
      </c>
      <c r="E68" s="19" t="s">
        <v>849</v>
      </c>
      <c r="F68" s="21">
        <v>61</v>
      </c>
    </row>
    <row r="69" spans="1:6">
      <c r="A69" s="21">
        <v>2029</v>
      </c>
      <c r="B69" s="21" t="s">
        <v>846</v>
      </c>
      <c r="C69" s="21">
        <v>2030</v>
      </c>
      <c r="D69" s="21" t="s">
        <v>105</v>
      </c>
      <c r="E69" s="19" t="s">
        <v>849</v>
      </c>
      <c r="F69" s="21">
        <v>109</v>
      </c>
    </row>
    <row r="70" spans="1:6">
      <c r="A70" s="21">
        <v>2029</v>
      </c>
      <c r="B70" s="21" t="s">
        <v>847</v>
      </c>
      <c r="C70" s="21">
        <v>2030</v>
      </c>
      <c r="D70" s="21" t="s">
        <v>105</v>
      </c>
      <c r="E70" s="19" t="s">
        <v>849</v>
      </c>
      <c r="F70" s="21">
        <v>70</v>
      </c>
    </row>
    <row r="71" spans="1:6">
      <c r="A71" s="21">
        <v>2029</v>
      </c>
      <c r="B71" s="21" t="s">
        <v>848</v>
      </c>
      <c r="C71" s="21">
        <v>2030</v>
      </c>
      <c r="D71" s="21" t="s">
        <v>105</v>
      </c>
      <c r="E71" s="19" t="s">
        <v>849</v>
      </c>
      <c r="F71" s="21">
        <v>110</v>
      </c>
    </row>
    <row r="72" spans="1:6">
      <c r="A72" s="21">
        <v>2029</v>
      </c>
      <c r="B72" s="21" t="s">
        <v>843</v>
      </c>
      <c r="C72" s="21">
        <v>2029</v>
      </c>
      <c r="D72" s="21" t="s">
        <v>106</v>
      </c>
      <c r="E72" s="19" t="s">
        <v>844</v>
      </c>
      <c r="F72" s="21">
        <v>1310</v>
      </c>
    </row>
    <row r="73" spans="1:6">
      <c r="A73" s="21">
        <v>2029</v>
      </c>
      <c r="B73" s="21" t="s">
        <v>845</v>
      </c>
      <c r="C73" s="21">
        <v>2029</v>
      </c>
      <c r="D73" s="21" t="s">
        <v>106</v>
      </c>
      <c r="E73" s="19" t="s">
        <v>844</v>
      </c>
      <c r="F73" s="21">
        <v>1207</v>
      </c>
    </row>
    <row r="74" spans="1:6">
      <c r="A74" s="21">
        <v>2029</v>
      </c>
      <c r="B74" s="21" t="s">
        <v>846</v>
      </c>
      <c r="C74" s="21">
        <v>2030</v>
      </c>
      <c r="D74" s="21" t="s">
        <v>106</v>
      </c>
      <c r="E74" s="19" t="s">
        <v>844</v>
      </c>
      <c r="F74" s="21">
        <v>1305</v>
      </c>
    </row>
    <row r="75" spans="1:6">
      <c r="A75" s="21">
        <v>2029</v>
      </c>
      <c r="B75" s="21" t="s">
        <v>847</v>
      </c>
      <c r="C75" s="21">
        <v>2030</v>
      </c>
      <c r="D75" s="21" t="s">
        <v>106</v>
      </c>
      <c r="E75" s="19" t="s">
        <v>844</v>
      </c>
      <c r="F75" s="21">
        <v>1096</v>
      </c>
    </row>
    <row r="76" spans="1:6">
      <c r="A76" s="21">
        <v>2029</v>
      </c>
      <c r="B76" s="21" t="s">
        <v>848</v>
      </c>
      <c r="C76" s="21">
        <v>2030</v>
      </c>
      <c r="D76" s="21" t="s">
        <v>106</v>
      </c>
      <c r="E76" s="19" t="s">
        <v>844</v>
      </c>
      <c r="F76" s="21">
        <v>1399</v>
      </c>
    </row>
    <row r="77" spans="1:6">
      <c r="A77" s="21">
        <v>2029</v>
      </c>
      <c r="B77" s="21" t="s">
        <v>843</v>
      </c>
      <c r="C77" s="21">
        <v>2029</v>
      </c>
      <c r="D77" s="21" t="s">
        <v>106</v>
      </c>
      <c r="E77" s="19" t="s">
        <v>849</v>
      </c>
      <c r="F77" s="21">
        <v>49</v>
      </c>
    </row>
    <row r="78" spans="1:6">
      <c r="A78" s="21">
        <v>2029</v>
      </c>
      <c r="B78" s="21" t="s">
        <v>845</v>
      </c>
      <c r="C78" s="21">
        <v>2029</v>
      </c>
      <c r="D78" s="21" t="s">
        <v>106</v>
      </c>
      <c r="E78" s="19" t="s">
        <v>849</v>
      </c>
      <c r="F78" s="21">
        <v>43</v>
      </c>
    </row>
    <row r="79" spans="1:6">
      <c r="A79" s="21">
        <v>2029</v>
      </c>
      <c r="B79" s="21" t="s">
        <v>846</v>
      </c>
      <c r="C79" s="21">
        <v>2030</v>
      </c>
      <c r="D79" s="21" t="s">
        <v>106</v>
      </c>
      <c r="E79" s="19" t="s">
        <v>849</v>
      </c>
      <c r="F79" s="21">
        <v>45</v>
      </c>
    </row>
    <row r="80" spans="1:6">
      <c r="A80" s="21">
        <v>2029</v>
      </c>
      <c r="B80" s="21" t="s">
        <v>847</v>
      </c>
      <c r="C80" s="21">
        <v>2030</v>
      </c>
      <c r="D80" s="21" t="s">
        <v>106</v>
      </c>
      <c r="E80" s="19" t="s">
        <v>849</v>
      </c>
      <c r="F80" s="21">
        <v>41</v>
      </c>
    </row>
    <row r="81" spans="1:6">
      <c r="A81" s="21">
        <v>2029</v>
      </c>
      <c r="B81" s="21" t="s">
        <v>848</v>
      </c>
      <c r="C81" s="21">
        <v>2030</v>
      </c>
      <c r="D81" s="21" t="s">
        <v>106</v>
      </c>
      <c r="E81" s="19" t="s">
        <v>849</v>
      </c>
      <c r="F81" s="21">
        <v>49</v>
      </c>
    </row>
    <row r="82" spans="1:6">
      <c r="A82" s="21">
        <v>2025</v>
      </c>
      <c r="B82" s="21" t="s">
        <v>843</v>
      </c>
      <c r="C82" s="21">
        <v>2025</v>
      </c>
      <c r="D82" s="21" t="s">
        <v>106</v>
      </c>
      <c r="E82" s="19" t="s">
        <v>844</v>
      </c>
      <c r="F82" s="21">
        <v>1070</v>
      </c>
    </row>
    <row r="83" spans="1:6">
      <c r="A83" s="21">
        <v>2025</v>
      </c>
      <c r="B83" s="21" t="s">
        <v>845</v>
      </c>
      <c r="C83" s="21">
        <v>2025</v>
      </c>
      <c r="D83" s="21" t="s">
        <v>106</v>
      </c>
      <c r="E83" s="19" t="s">
        <v>844</v>
      </c>
      <c r="F83" s="21">
        <v>802</v>
      </c>
    </row>
    <row r="84" spans="1:6">
      <c r="A84" s="21">
        <v>2025</v>
      </c>
      <c r="B84" s="21" t="s">
        <v>846</v>
      </c>
      <c r="C84" s="21">
        <v>2026</v>
      </c>
      <c r="D84" s="21" t="s">
        <v>106</v>
      </c>
      <c r="E84" s="19" t="s">
        <v>844</v>
      </c>
      <c r="F84" s="21">
        <v>814</v>
      </c>
    </row>
    <row r="85" spans="1:6">
      <c r="A85" s="21">
        <v>2025</v>
      </c>
      <c r="B85" s="21" t="s">
        <v>847</v>
      </c>
      <c r="C85" s="21">
        <v>2026</v>
      </c>
      <c r="D85" s="21" t="s">
        <v>106</v>
      </c>
      <c r="E85" s="19" t="s">
        <v>844</v>
      </c>
      <c r="F85" s="21">
        <v>521</v>
      </c>
    </row>
    <row r="86" spans="1:6">
      <c r="A86" s="21">
        <v>2025</v>
      </c>
      <c r="B86" s="21" t="s">
        <v>848</v>
      </c>
      <c r="C86" s="21">
        <v>2026</v>
      </c>
      <c r="D86" s="21" t="s">
        <v>106</v>
      </c>
      <c r="E86" s="19" t="s">
        <v>844</v>
      </c>
      <c r="F86" s="21">
        <v>785</v>
      </c>
    </row>
  </sheetData>
  <autoFilter ref="A1:F86" xr:uid="{00000000-0001-0000-1100-000000000000}"/>
  <dataValidations count="3">
    <dataValidation type="list" sqref="B2:B500" xr:uid="{00000000-0002-0000-1100-000000000000}">
      <formula1>"Agosto,Octubre,Enero,Marzo,Junio"</formula1>
    </dataValidation>
    <dataValidation type="list" sqref="D2:D500" xr:uid="{00000000-0002-0000-1100-000001000000}">
      <formula1>"Posgrado,Ejecutivo"</formula1>
    </dataValidation>
    <dataValidation type="list" sqref="E2:E500" xr:uid="{00000000-0002-0000-1100-000002000000}">
      <formula1>"Síncrono,Asíncrono"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5"/>
  <sheetViews>
    <sheetView workbookViewId="0"/>
  </sheetViews>
  <sheetFormatPr baseColWidth="10" defaultColWidth="8.6640625" defaultRowHeight="14"/>
  <cols>
    <col min="1" max="3" width="16" customWidth="1"/>
    <col min="4" max="5" width="18" customWidth="1"/>
    <col min="6" max="6" width="20" customWidth="1"/>
    <col min="7" max="7" width="60" customWidth="1"/>
  </cols>
  <sheetData>
    <row r="1" spans="1:7" ht="28">
      <c r="A1" s="47" t="s">
        <v>840</v>
      </c>
      <c r="B1" s="47" t="s">
        <v>37</v>
      </c>
      <c r="C1" s="47" t="s">
        <v>38</v>
      </c>
      <c r="D1" s="51" t="s">
        <v>850</v>
      </c>
      <c r="E1" s="47" t="s">
        <v>851</v>
      </c>
      <c r="F1" s="47" t="s">
        <v>852</v>
      </c>
      <c r="G1" s="47" t="s">
        <v>738</v>
      </c>
    </row>
    <row r="2" spans="1:7" ht="28">
      <c r="A2" s="21">
        <v>2030</v>
      </c>
      <c r="B2" s="21" t="s">
        <v>105</v>
      </c>
      <c r="C2" s="19" t="s">
        <v>844</v>
      </c>
      <c r="D2" s="45">
        <v>0.03</v>
      </c>
      <c r="E2" s="19" t="s">
        <v>7</v>
      </c>
      <c r="F2" s="19" t="s">
        <v>844</v>
      </c>
      <c r="G2" s="18" t="s">
        <v>853</v>
      </c>
    </row>
    <row r="3" spans="1:7" ht="28">
      <c r="A3" s="21">
        <v>2030</v>
      </c>
      <c r="B3" s="21" t="s">
        <v>105</v>
      </c>
      <c r="C3" s="19" t="s">
        <v>849</v>
      </c>
      <c r="D3" s="45"/>
      <c r="E3" s="19" t="s">
        <v>7</v>
      </c>
      <c r="F3" s="19" t="s">
        <v>854</v>
      </c>
      <c r="G3" s="18" t="s">
        <v>855</v>
      </c>
    </row>
    <row r="4" spans="1:7" ht="28">
      <c r="A4" s="21">
        <v>2030</v>
      </c>
      <c r="B4" s="21" t="s">
        <v>106</v>
      </c>
      <c r="C4" s="19" t="s">
        <v>844</v>
      </c>
      <c r="D4" s="45">
        <v>0.03</v>
      </c>
      <c r="E4" s="19" t="s">
        <v>7</v>
      </c>
      <c r="F4" s="19" t="s">
        <v>844</v>
      </c>
      <c r="G4" s="18" t="s">
        <v>853</v>
      </c>
    </row>
    <row r="5" spans="1:7" ht="28">
      <c r="A5" s="21">
        <v>2030</v>
      </c>
      <c r="B5" s="21" t="s">
        <v>106</v>
      </c>
      <c r="C5" s="19" t="s">
        <v>849</v>
      </c>
      <c r="D5" s="45"/>
      <c r="E5" s="19" t="s">
        <v>7</v>
      </c>
      <c r="F5" s="19" t="s">
        <v>854</v>
      </c>
      <c r="G5" s="18" t="s">
        <v>855</v>
      </c>
    </row>
    <row r="6" spans="1:7" ht="28">
      <c r="A6" s="21">
        <v>2031</v>
      </c>
      <c r="B6" s="21" t="s">
        <v>105</v>
      </c>
      <c r="C6" s="19" t="s">
        <v>844</v>
      </c>
      <c r="D6" s="45">
        <v>0.03</v>
      </c>
      <c r="E6" s="19" t="s">
        <v>7</v>
      </c>
      <c r="F6" s="19" t="s">
        <v>844</v>
      </c>
      <c r="G6" s="18" t="s">
        <v>853</v>
      </c>
    </row>
    <row r="7" spans="1:7" ht="28">
      <c r="A7" s="21">
        <v>2031</v>
      </c>
      <c r="B7" s="21" t="s">
        <v>105</v>
      </c>
      <c r="C7" s="19" t="s">
        <v>849</v>
      </c>
      <c r="D7" s="45"/>
      <c r="E7" s="19" t="s">
        <v>7</v>
      </c>
      <c r="F7" s="19" t="s">
        <v>854</v>
      </c>
      <c r="G7" s="18" t="s">
        <v>855</v>
      </c>
    </row>
    <row r="8" spans="1:7" ht="28">
      <c r="A8" s="21">
        <v>2031</v>
      </c>
      <c r="B8" s="21" t="s">
        <v>106</v>
      </c>
      <c r="C8" s="19" t="s">
        <v>844</v>
      </c>
      <c r="D8" s="45">
        <v>0.03</v>
      </c>
      <c r="E8" s="19" t="s">
        <v>7</v>
      </c>
      <c r="F8" s="19" t="s">
        <v>844</v>
      </c>
      <c r="G8" s="18" t="s">
        <v>853</v>
      </c>
    </row>
    <row r="9" spans="1:7" ht="28">
      <c r="A9" s="21">
        <v>2031</v>
      </c>
      <c r="B9" s="21" t="s">
        <v>106</v>
      </c>
      <c r="C9" s="19" t="s">
        <v>849</v>
      </c>
      <c r="D9" s="45"/>
      <c r="E9" s="19" t="s">
        <v>7</v>
      </c>
      <c r="F9" s="19" t="s">
        <v>854</v>
      </c>
      <c r="G9" s="18" t="s">
        <v>855</v>
      </c>
    </row>
    <row r="10" spans="1:7" ht="28">
      <c r="A10" s="21">
        <v>2032</v>
      </c>
      <c r="B10" s="21" t="s">
        <v>105</v>
      </c>
      <c r="C10" s="19" t="s">
        <v>844</v>
      </c>
      <c r="D10" s="45">
        <v>0.03</v>
      </c>
      <c r="E10" s="19" t="s">
        <v>7</v>
      </c>
      <c r="F10" s="19" t="s">
        <v>844</v>
      </c>
      <c r="G10" s="18" t="s">
        <v>853</v>
      </c>
    </row>
    <row r="11" spans="1:7" ht="28">
      <c r="A11" s="21">
        <v>2032</v>
      </c>
      <c r="B11" s="21" t="s">
        <v>105</v>
      </c>
      <c r="C11" s="19" t="s">
        <v>849</v>
      </c>
      <c r="D11" s="45"/>
      <c r="E11" s="19" t="s">
        <v>7</v>
      </c>
      <c r="F11" s="19" t="s">
        <v>854</v>
      </c>
      <c r="G11" s="18" t="s">
        <v>855</v>
      </c>
    </row>
    <row r="12" spans="1:7" ht="28">
      <c r="A12" s="21">
        <v>2032</v>
      </c>
      <c r="B12" s="21" t="s">
        <v>106</v>
      </c>
      <c r="C12" s="19" t="s">
        <v>844</v>
      </c>
      <c r="D12" s="45">
        <v>0.03</v>
      </c>
      <c r="E12" s="19" t="s">
        <v>7</v>
      </c>
      <c r="F12" s="19" t="s">
        <v>844</v>
      </c>
      <c r="G12" s="18" t="s">
        <v>853</v>
      </c>
    </row>
    <row r="13" spans="1:7" ht="28">
      <c r="A13" s="21">
        <v>2032</v>
      </c>
      <c r="B13" s="21" t="s">
        <v>106</v>
      </c>
      <c r="C13" s="19" t="s">
        <v>849</v>
      </c>
      <c r="D13" s="45"/>
      <c r="E13" s="19" t="s">
        <v>7</v>
      </c>
      <c r="F13" s="19" t="s">
        <v>854</v>
      </c>
      <c r="G13" s="18" t="s">
        <v>855</v>
      </c>
    </row>
    <row r="14" spans="1:7" ht="28">
      <c r="A14" s="21">
        <v>2033</v>
      </c>
      <c r="B14" s="21" t="s">
        <v>105</v>
      </c>
      <c r="C14" s="19" t="s">
        <v>844</v>
      </c>
      <c r="D14" s="45">
        <v>0.03</v>
      </c>
      <c r="E14" s="19" t="s">
        <v>7</v>
      </c>
      <c r="F14" s="19" t="s">
        <v>844</v>
      </c>
      <c r="G14" s="18" t="s">
        <v>853</v>
      </c>
    </row>
    <row r="15" spans="1:7" ht="28">
      <c r="A15" s="21">
        <v>2033</v>
      </c>
      <c r="B15" s="21" t="s">
        <v>105</v>
      </c>
      <c r="C15" s="19" t="s">
        <v>849</v>
      </c>
      <c r="D15" s="45"/>
      <c r="E15" s="19" t="s">
        <v>7</v>
      </c>
      <c r="F15" s="19" t="s">
        <v>854</v>
      </c>
      <c r="G15" s="18" t="s">
        <v>855</v>
      </c>
    </row>
    <row r="16" spans="1:7" ht="28">
      <c r="A16" s="21">
        <v>2033</v>
      </c>
      <c r="B16" s="21" t="s">
        <v>106</v>
      </c>
      <c r="C16" s="19" t="s">
        <v>844</v>
      </c>
      <c r="D16" s="45">
        <v>0.03</v>
      </c>
      <c r="E16" s="19" t="s">
        <v>7</v>
      </c>
      <c r="F16" s="19" t="s">
        <v>844</v>
      </c>
      <c r="G16" s="18" t="s">
        <v>853</v>
      </c>
    </row>
    <row r="17" spans="1:7" ht="28">
      <c r="A17" s="21">
        <v>2033</v>
      </c>
      <c r="B17" s="21" t="s">
        <v>106</v>
      </c>
      <c r="C17" s="19" t="s">
        <v>849</v>
      </c>
      <c r="D17" s="45"/>
      <c r="E17" s="19" t="s">
        <v>7</v>
      </c>
      <c r="F17" s="19" t="s">
        <v>854</v>
      </c>
      <c r="G17" s="18" t="s">
        <v>855</v>
      </c>
    </row>
    <row r="18" spans="1:7" ht="28">
      <c r="A18" s="21">
        <v>2034</v>
      </c>
      <c r="B18" s="21" t="s">
        <v>105</v>
      </c>
      <c r="C18" s="19" t="s">
        <v>844</v>
      </c>
      <c r="D18" s="45">
        <v>0.03</v>
      </c>
      <c r="E18" s="19" t="s">
        <v>7</v>
      </c>
      <c r="F18" s="19" t="s">
        <v>844</v>
      </c>
      <c r="G18" s="18" t="s">
        <v>853</v>
      </c>
    </row>
    <row r="19" spans="1:7" ht="28">
      <c r="A19" s="21">
        <v>2034</v>
      </c>
      <c r="B19" s="21" t="s">
        <v>105</v>
      </c>
      <c r="C19" s="19" t="s">
        <v>849</v>
      </c>
      <c r="D19" s="45"/>
      <c r="E19" s="19" t="s">
        <v>7</v>
      </c>
      <c r="F19" s="19" t="s">
        <v>854</v>
      </c>
      <c r="G19" s="18" t="s">
        <v>855</v>
      </c>
    </row>
    <row r="20" spans="1:7" ht="28">
      <c r="A20" s="21">
        <v>2034</v>
      </c>
      <c r="B20" s="21" t="s">
        <v>106</v>
      </c>
      <c r="C20" s="19" t="s">
        <v>844</v>
      </c>
      <c r="D20" s="45">
        <v>0.03</v>
      </c>
      <c r="E20" s="19" t="s">
        <v>7</v>
      </c>
      <c r="F20" s="19" t="s">
        <v>844</v>
      </c>
      <c r="G20" s="18" t="s">
        <v>853</v>
      </c>
    </row>
    <row r="21" spans="1:7" ht="28">
      <c r="A21" s="21">
        <v>2034</v>
      </c>
      <c r="B21" s="21" t="s">
        <v>106</v>
      </c>
      <c r="C21" s="19" t="s">
        <v>849</v>
      </c>
      <c r="D21" s="45"/>
      <c r="E21" s="19" t="s">
        <v>7</v>
      </c>
      <c r="F21" s="19" t="s">
        <v>854</v>
      </c>
      <c r="G21" s="18" t="s">
        <v>855</v>
      </c>
    </row>
    <row r="22" spans="1:7" ht="28">
      <c r="A22" s="21">
        <v>2035</v>
      </c>
      <c r="B22" s="21" t="s">
        <v>105</v>
      </c>
      <c r="C22" s="19" t="s">
        <v>844</v>
      </c>
      <c r="D22" s="45">
        <v>0.03</v>
      </c>
      <c r="E22" s="19" t="s">
        <v>7</v>
      </c>
      <c r="F22" s="19" t="s">
        <v>844</v>
      </c>
      <c r="G22" s="18" t="s">
        <v>853</v>
      </c>
    </row>
    <row r="23" spans="1:7" ht="28">
      <c r="A23" s="21">
        <v>2035</v>
      </c>
      <c r="B23" s="21" t="s">
        <v>105</v>
      </c>
      <c r="C23" s="19" t="s">
        <v>849</v>
      </c>
      <c r="D23" s="45"/>
      <c r="E23" s="19" t="s">
        <v>7</v>
      </c>
      <c r="F23" s="19" t="s">
        <v>854</v>
      </c>
      <c r="G23" s="18" t="s">
        <v>855</v>
      </c>
    </row>
    <row r="24" spans="1:7" ht="28">
      <c r="A24" s="21">
        <v>2035</v>
      </c>
      <c r="B24" s="21" t="s">
        <v>106</v>
      </c>
      <c r="C24" s="19" t="s">
        <v>844</v>
      </c>
      <c r="D24" s="45">
        <v>0.03</v>
      </c>
      <c r="E24" s="19" t="s">
        <v>7</v>
      </c>
      <c r="F24" s="19" t="s">
        <v>844</v>
      </c>
      <c r="G24" s="18" t="s">
        <v>853</v>
      </c>
    </row>
    <row r="25" spans="1:7" ht="28">
      <c r="A25" s="21">
        <v>2035</v>
      </c>
      <c r="B25" s="21" t="s">
        <v>106</v>
      </c>
      <c r="C25" s="19" t="s">
        <v>849</v>
      </c>
      <c r="D25" s="45"/>
      <c r="E25" s="19" t="s">
        <v>7</v>
      </c>
      <c r="F25" s="19" t="s">
        <v>854</v>
      </c>
      <c r="G25" s="18" t="s">
        <v>855</v>
      </c>
    </row>
    <row r="26" spans="1:7" ht="28">
      <c r="A26" s="21">
        <v>2036</v>
      </c>
      <c r="B26" s="21" t="s">
        <v>105</v>
      </c>
      <c r="C26" s="19" t="s">
        <v>844</v>
      </c>
      <c r="D26" s="45">
        <v>0.03</v>
      </c>
      <c r="E26" s="19" t="s">
        <v>7</v>
      </c>
      <c r="F26" s="19" t="s">
        <v>844</v>
      </c>
      <c r="G26" s="18" t="s">
        <v>853</v>
      </c>
    </row>
    <row r="27" spans="1:7" ht="28">
      <c r="A27" s="21">
        <v>2036</v>
      </c>
      <c r="B27" s="21" t="s">
        <v>105</v>
      </c>
      <c r="C27" s="19" t="s">
        <v>849</v>
      </c>
      <c r="D27" s="45"/>
      <c r="E27" s="19" t="s">
        <v>7</v>
      </c>
      <c r="F27" s="19" t="s">
        <v>854</v>
      </c>
      <c r="G27" s="18" t="s">
        <v>855</v>
      </c>
    </row>
    <row r="28" spans="1:7" ht="28">
      <c r="A28" s="21">
        <v>2036</v>
      </c>
      <c r="B28" s="21" t="s">
        <v>106</v>
      </c>
      <c r="C28" s="19" t="s">
        <v>844</v>
      </c>
      <c r="D28" s="45">
        <v>0.03</v>
      </c>
      <c r="E28" s="19" t="s">
        <v>7</v>
      </c>
      <c r="F28" s="19" t="s">
        <v>844</v>
      </c>
      <c r="G28" s="18" t="s">
        <v>853</v>
      </c>
    </row>
    <row r="29" spans="1:7" ht="28">
      <c r="A29" s="21">
        <v>2036</v>
      </c>
      <c r="B29" s="21" t="s">
        <v>106</v>
      </c>
      <c r="C29" s="19" t="s">
        <v>849</v>
      </c>
      <c r="D29" s="45"/>
      <c r="E29" s="19" t="s">
        <v>7</v>
      </c>
      <c r="F29" s="19" t="s">
        <v>854</v>
      </c>
      <c r="G29" s="18" t="s">
        <v>855</v>
      </c>
    </row>
    <row r="30" spans="1:7" ht="28">
      <c r="A30" s="21">
        <v>2037</v>
      </c>
      <c r="B30" s="21" t="s">
        <v>105</v>
      </c>
      <c r="C30" s="19" t="s">
        <v>844</v>
      </c>
      <c r="D30" s="45">
        <v>0.03</v>
      </c>
      <c r="E30" s="19" t="s">
        <v>7</v>
      </c>
      <c r="F30" s="19" t="s">
        <v>844</v>
      </c>
      <c r="G30" s="18" t="s">
        <v>853</v>
      </c>
    </row>
    <row r="31" spans="1:7" ht="28">
      <c r="A31" s="21">
        <v>2037</v>
      </c>
      <c r="B31" s="21" t="s">
        <v>105</v>
      </c>
      <c r="C31" s="19" t="s">
        <v>849</v>
      </c>
      <c r="D31" s="45"/>
      <c r="E31" s="19" t="s">
        <v>7</v>
      </c>
      <c r="F31" s="19" t="s">
        <v>854</v>
      </c>
      <c r="G31" s="18" t="s">
        <v>855</v>
      </c>
    </row>
    <row r="32" spans="1:7" ht="28">
      <c r="A32" s="21">
        <v>2037</v>
      </c>
      <c r="B32" s="21" t="s">
        <v>106</v>
      </c>
      <c r="C32" s="19" t="s">
        <v>844</v>
      </c>
      <c r="D32" s="45">
        <v>0.03</v>
      </c>
      <c r="E32" s="19" t="s">
        <v>7</v>
      </c>
      <c r="F32" s="19" t="s">
        <v>844</v>
      </c>
      <c r="G32" s="18" t="s">
        <v>853</v>
      </c>
    </row>
    <row r="33" spans="1:7" ht="28">
      <c r="A33" s="21">
        <v>2037</v>
      </c>
      <c r="B33" s="21" t="s">
        <v>106</v>
      </c>
      <c r="C33" s="19" t="s">
        <v>849</v>
      </c>
      <c r="D33" s="45"/>
      <c r="E33" s="19" t="s">
        <v>7</v>
      </c>
      <c r="F33" s="19" t="s">
        <v>854</v>
      </c>
      <c r="G33" s="18" t="s">
        <v>855</v>
      </c>
    </row>
    <row r="34" spans="1:7" ht="28">
      <c r="A34" s="21">
        <v>2038</v>
      </c>
      <c r="B34" s="21" t="s">
        <v>105</v>
      </c>
      <c r="C34" s="19" t="s">
        <v>844</v>
      </c>
      <c r="D34" s="45">
        <v>0.03</v>
      </c>
      <c r="E34" s="19" t="s">
        <v>7</v>
      </c>
      <c r="F34" s="19" t="s">
        <v>844</v>
      </c>
      <c r="G34" s="18" t="s">
        <v>853</v>
      </c>
    </row>
    <row r="35" spans="1:7" ht="28">
      <c r="A35" s="21">
        <v>2038</v>
      </c>
      <c r="B35" s="21" t="s">
        <v>105</v>
      </c>
      <c r="C35" s="19" t="s">
        <v>849</v>
      </c>
      <c r="D35" s="45"/>
      <c r="E35" s="19" t="s">
        <v>7</v>
      </c>
      <c r="F35" s="19" t="s">
        <v>854</v>
      </c>
      <c r="G35" s="18" t="s">
        <v>855</v>
      </c>
    </row>
    <row r="36" spans="1:7" ht="28">
      <c r="A36" s="21">
        <v>2038</v>
      </c>
      <c r="B36" s="21" t="s">
        <v>106</v>
      </c>
      <c r="C36" s="19" t="s">
        <v>844</v>
      </c>
      <c r="D36" s="45">
        <v>0.03</v>
      </c>
      <c r="E36" s="19" t="s">
        <v>7</v>
      </c>
      <c r="F36" s="19" t="s">
        <v>844</v>
      </c>
      <c r="G36" s="18" t="s">
        <v>853</v>
      </c>
    </row>
    <row r="37" spans="1:7" ht="28">
      <c r="A37" s="21">
        <v>2038</v>
      </c>
      <c r="B37" s="21" t="s">
        <v>106</v>
      </c>
      <c r="C37" s="19" t="s">
        <v>849</v>
      </c>
      <c r="D37" s="45"/>
      <c r="E37" s="19" t="s">
        <v>7</v>
      </c>
      <c r="F37" s="19" t="s">
        <v>854</v>
      </c>
      <c r="G37" s="18" t="s">
        <v>855</v>
      </c>
    </row>
    <row r="38" spans="1:7" ht="28">
      <c r="A38" s="21">
        <v>2039</v>
      </c>
      <c r="B38" s="21" t="s">
        <v>105</v>
      </c>
      <c r="C38" s="19" t="s">
        <v>844</v>
      </c>
      <c r="D38" s="45">
        <v>0.03</v>
      </c>
      <c r="E38" s="19" t="s">
        <v>7</v>
      </c>
      <c r="F38" s="19" t="s">
        <v>844</v>
      </c>
      <c r="G38" s="18" t="s">
        <v>853</v>
      </c>
    </row>
    <row r="39" spans="1:7" ht="28">
      <c r="A39" s="21">
        <v>2039</v>
      </c>
      <c r="B39" s="21" t="s">
        <v>105</v>
      </c>
      <c r="C39" s="19" t="s">
        <v>849</v>
      </c>
      <c r="D39" s="45"/>
      <c r="E39" s="19" t="s">
        <v>7</v>
      </c>
      <c r="F39" s="19" t="s">
        <v>854</v>
      </c>
      <c r="G39" s="18" t="s">
        <v>855</v>
      </c>
    </row>
    <row r="40" spans="1:7" ht="28">
      <c r="A40" s="21">
        <v>2039</v>
      </c>
      <c r="B40" s="21" t="s">
        <v>106</v>
      </c>
      <c r="C40" s="19" t="s">
        <v>844</v>
      </c>
      <c r="D40" s="45">
        <v>0.03</v>
      </c>
      <c r="E40" s="19" t="s">
        <v>7</v>
      </c>
      <c r="F40" s="19" t="s">
        <v>844</v>
      </c>
      <c r="G40" s="18" t="s">
        <v>853</v>
      </c>
    </row>
    <row r="41" spans="1:7" ht="28">
      <c r="A41" s="21">
        <v>2039</v>
      </c>
      <c r="B41" s="21" t="s">
        <v>106</v>
      </c>
      <c r="C41" s="19" t="s">
        <v>849</v>
      </c>
      <c r="D41" s="45"/>
      <c r="E41" s="19" t="s">
        <v>7</v>
      </c>
      <c r="F41" s="19" t="s">
        <v>854</v>
      </c>
      <c r="G41" s="18" t="s">
        <v>855</v>
      </c>
    </row>
    <row r="42" spans="1:7" ht="28">
      <c r="A42" s="21">
        <v>2040</v>
      </c>
      <c r="B42" s="21" t="s">
        <v>105</v>
      </c>
      <c r="C42" s="19" t="s">
        <v>844</v>
      </c>
      <c r="D42" s="45">
        <v>0.03</v>
      </c>
      <c r="E42" s="19" t="s">
        <v>7</v>
      </c>
      <c r="F42" s="19" t="s">
        <v>844</v>
      </c>
      <c r="G42" s="18" t="s">
        <v>853</v>
      </c>
    </row>
    <row r="43" spans="1:7" ht="28">
      <c r="A43" s="21">
        <v>2040</v>
      </c>
      <c r="B43" s="21" t="s">
        <v>105</v>
      </c>
      <c r="C43" s="19" t="s">
        <v>849</v>
      </c>
      <c r="D43" s="45"/>
      <c r="E43" s="19" t="s">
        <v>7</v>
      </c>
      <c r="F43" s="19" t="s">
        <v>854</v>
      </c>
      <c r="G43" s="18" t="s">
        <v>855</v>
      </c>
    </row>
    <row r="44" spans="1:7" ht="28">
      <c r="A44" s="21">
        <v>2040</v>
      </c>
      <c r="B44" s="21" t="s">
        <v>106</v>
      </c>
      <c r="C44" s="19" t="s">
        <v>844</v>
      </c>
      <c r="D44" s="45">
        <v>0.03</v>
      </c>
      <c r="E44" s="19" t="s">
        <v>7</v>
      </c>
      <c r="F44" s="19" t="s">
        <v>844</v>
      </c>
      <c r="G44" s="18" t="s">
        <v>853</v>
      </c>
    </row>
    <row r="45" spans="1:7" ht="28">
      <c r="A45" s="21">
        <v>2040</v>
      </c>
      <c r="B45" s="21" t="s">
        <v>106</v>
      </c>
      <c r="C45" s="19" t="s">
        <v>849</v>
      </c>
      <c r="D45" s="45"/>
      <c r="E45" s="19" t="s">
        <v>7</v>
      </c>
      <c r="F45" s="19" t="s">
        <v>854</v>
      </c>
      <c r="G45" s="18" t="s">
        <v>855</v>
      </c>
    </row>
    <row r="46" spans="1:7" ht="28">
      <c r="A46" s="21">
        <v>2041</v>
      </c>
      <c r="B46" s="21" t="s">
        <v>105</v>
      </c>
      <c r="C46" s="19" t="s">
        <v>844</v>
      </c>
      <c r="D46" s="45">
        <v>0.03</v>
      </c>
      <c r="E46" s="19" t="s">
        <v>7</v>
      </c>
      <c r="F46" s="19" t="s">
        <v>844</v>
      </c>
      <c r="G46" s="18" t="s">
        <v>853</v>
      </c>
    </row>
    <row r="47" spans="1:7" ht="28">
      <c r="A47" s="21">
        <v>2041</v>
      </c>
      <c r="B47" s="21" t="s">
        <v>105</v>
      </c>
      <c r="C47" s="19" t="s">
        <v>849</v>
      </c>
      <c r="D47" s="45"/>
      <c r="E47" s="19" t="s">
        <v>7</v>
      </c>
      <c r="F47" s="19" t="s">
        <v>854</v>
      </c>
      <c r="G47" s="18" t="s">
        <v>855</v>
      </c>
    </row>
    <row r="48" spans="1:7" ht="28">
      <c r="A48" s="21">
        <v>2041</v>
      </c>
      <c r="B48" s="21" t="s">
        <v>106</v>
      </c>
      <c r="C48" s="19" t="s">
        <v>844</v>
      </c>
      <c r="D48" s="45">
        <v>0.03</v>
      </c>
      <c r="E48" s="19" t="s">
        <v>7</v>
      </c>
      <c r="F48" s="19" t="s">
        <v>844</v>
      </c>
      <c r="G48" s="18" t="s">
        <v>853</v>
      </c>
    </row>
    <row r="49" spans="1:7" ht="28">
      <c r="A49" s="21">
        <v>2041</v>
      </c>
      <c r="B49" s="21" t="s">
        <v>106</v>
      </c>
      <c r="C49" s="19" t="s">
        <v>849</v>
      </c>
      <c r="D49" s="45"/>
      <c r="E49" s="19" t="s">
        <v>7</v>
      </c>
      <c r="F49" s="19" t="s">
        <v>854</v>
      </c>
      <c r="G49" s="18" t="s">
        <v>855</v>
      </c>
    </row>
    <row r="50" spans="1:7" ht="28">
      <c r="A50" s="21">
        <v>2042</v>
      </c>
      <c r="B50" s="21" t="s">
        <v>105</v>
      </c>
      <c r="C50" s="19" t="s">
        <v>844</v>
      </c>
      <c r="D50" s="45">
        <v>0.03</v>
      </c>
      <c r="E50" s="19" t="s">
        <v>7</v>
      </c>
      <c r="F50" s="19" t="s">
        <v>844</v>
      </c>
      <c r="G50" s="18" t="s">
        <v>853</v>
      </c>
    </row>
    <row r="51" spans="1:7" ht="28">
      <c r="A51" s="21">
        <v>2042</v>
      </c>
      <c r="B51" s="21" t="s">
        <v>105</v>
      </c>
      <c r="C51" s="19" t="s">
        <v>849</v>
      </c>
      <c r="D51" s="45"/>
      <c r="E51" s="19" t="s">
        <v>7</v>
      </c>
      <c r="F51" s="19" t="s">
        <v>854</v>
      </c>
      <c r="G51" s="18" t="s">
        <v>855</v>
      </c>
    </row>
    <row r="52" spans="1:7" ht="28">
      <c r="A52" s="21">
        <v>2042</v>
      </c>
      <c r="B52" s="21" t="s">
        <v>106</v>
      </c>
      <c r="C52" s="19" t="s">
        <v>844</v>
      </c>
      <c r="D52" s="45">
        <v>0.03</v>
      </c>
      <c r="E52" s="19" t="s">
        <v>7</v>
      </c>
      <c r="F52" s="19" t="s">
        <v>844</v>
      </c>
      <c r="G52" s="18" t="s">
        <v>853</v>
      </c>
    </row>
    <row r="53" spans="1:7" ht="28">
      <c r="A53" s="21">
        <v>2042</v>
      </c>
      <c r="B53" s="21" t="s">
        <v>106</v>
      </c>
      <c r="C53" s="19" t="s">
        <v>849</v>
      </c>
      <c r="D53" s="45"/>
      <c r="E53" s="19" t="s">
        <v>7</v>
      </c>
      <c r="F53" s="19" t="s">
        <v>854</v>
      </c>
      <c r="G53" s="18" t="s">
        <v>855</v>
      </c>
    </row>
    <row r="54" spans="1:7" ht="28">
      <c r="A54" s="21">
        <v>2043</v>
      </c>
      <c r="B54" s="21" t="s">
        <v>105</v>
      </c>
      <c r="C54" s="19" t="s">
        <v>844</v>
      </c>
      <c r="D54" s="45">
        <v>0.03</v>
      </c>
      <c r="E54" s="19" t="s">
        <v>7</v>
      </c>
      <c r="F54" s="19" t="s">
        <v>844</v>
      </c>
      <c r="G54" s="18" t="s">
        <v>853</v>
      </c>
    </row>
    <row r="55" spans="1:7" ht="28">
      <c r="A55" s="21">
        <v>2043</v>
      </c>
      <c r="B55" s="21" t="s">
        <v>105</v>
      </c>
      <c r="C55" s="19" t="s">
        <v>849</v>
      </c>
      <c r="D55" s="45"/>
      <c r="E55" s="19" t="s">
        <v>7</v>
      </c>
      <c r="F55" s="19" t="s">
        <v>854</v>
      </c>
      <c r="G55" s="18" t="s">
        <v>855</v>
      </c>
    </row>
    <row r="56" spans="1:7" ht="28">
      <c r="A56" s="21">
        <v>2043</v>
      </c>
      <c r="B56" s="21" t="s">
        <v>106</v>
      </c>
      <c r="C56" s="19" t="s">
        <v>844</v>
      </c>
      <c r="D56" s="45">
        <v>0.03</v>
      </c>
      <c r="E56" s="19" t="s">
        <v>7</v>
      </c>
      <c r="F56" s="19" t="s">
        <v>844</v>
      </c>
      <c r="G56" s="18" t="s">
        <v>853</v>
      </c>
    </row>
    <row r="57" spans="1:7" ht="28">
      <c r="A57" s="21">
        <v>2043</v>
      </c>
      <c r="B57" s="21" t="s">
        <v>106</v>
      </c>
      <c r="C57" s="19" t="s">
        <v>849</v>
      </c>
      <c r="D57" s="45"/>
      <c r="E57" s="19" t="s">
        <v>7</v>
      </c>
      <c r="F57" s="19" t="s">
        <v>854</v>
      </c>
      <c r="G57" s="18" t="s">
        <v>855</v>
      </c>
    </row>
    <row r="58" spans="1:7" ht="28">
      <c r="A58" s="21">
        <v>2044</v>
      </c>
      <c r="B58" s="21" t="s">
        <v>105</v>
      </c>
      <c r="C58" s="19" t="s">
        <v>844</v>
      </c>
      <c r="D58" s="45">
        <v>0.03</v>
      </c>
      <c r="E58" s="19" t="s">
        <v>7</v>
      </c>
      <c r="F58" s="19" t="s">
        <v>844</v>
      </c>
      <c r="G58" s="18" t="s">
        <v>853</v>
      </c>
    </row>
    <row r="59" spans="1:7" ht="28">
      <c r="A59" s="21">
        <v>2044</v>
      </c>
      <c r="B59" s="21" t="s">
        <v>105</v>
      </c>
      <c r="C59" s="19" t="s">
        <v>849</v>
      </c>
      <c r="D59" s="45"/>
      <c r="E59" s="19" t="s">
        <v>7</v>
      </c>
      <c r="F59" s="19" t="s">
        <v>854</v>
      </c>
      <c r="G59" s="18" t="s">
        <v>855</v>
      </c>
    </row>
    <row r="60" spans="1:7" ht="28">
      <c r="A60" s="21">
        <v>2044</v>
      </c>
      <c r="B60" s="21" t="s">
        <v>106</v>
      </c>
      <c r="C60" s="19" t="s">
        <v>844</v>
      </c>
      <c r="D60" s="45">
        <v>0.03</v>
      </c>
      <c r="E60" s="19" t="s">
        <v>7</v>
      </c>
      <c r="F60" s="19" t="s">
        <v>844</v>
      </c>
      <c r="G60" s="18" t="s">
        <v>853</v>
      </c>
    </row>
    <row r="61" spans="1:7" ht="28">
      <c r="A61" s="21">
        <v>2044</v>
      </c>
      <c r="B61" s="21" t="s">
        <v>106</v>
      </c>
      <c r="C61" s="19" t="s">
        <v>849</v>
      </c>
      <c r="D61" s="45"/>
      <c r="E61" s="19" t="s">
        <v>7</v>
      </c>
      <c r="F61" s="19" t="s">
        <v>854</v>
      </c>
      <c r="G61" s="18" t="s">
        <v>855</v>
      </c>
    </row>
    <row r="62" spans="1:7" ht="28">
      <c r="A62" s="21">
        <v>2045</v>
      </c>
      <c r="B62" s="21" t="s">
        <v>105</v>
      </c>
      <c r="C62" s="19" t="s">
        <v>844</v>
      </c>
      <c r="D62" s="45">
        <v>0.03</v>
      </c>
      <c r="E62" s="19" t="s">
        <v>7</v>
      </c>
      <c r="F62" s="19" t="s">
        <v>844</v>
      </c>
      <c r="G62" s="18" t="s">
        <v>853</v>
      </c>
    </row>
    <row r="63" spans="1:7" ht="28">
      <c r="A63" s="21">
        <v>2045</v>
      </c>
      <c r="B63" s="21" t="s">
        <v>105</v>
      </c>
      <c r="C63" s="19" t="s">
        <v>849</v>
      </c>
      <c r="D63" s="45"/>
      <c r="E63" s="19" t="s">
        <v>7</v>
      </c>
      <c r="F63" s="19" t="s">
        <v>854</v>
      </c>
      <c r="G63" s="18" t="s">
        <v>855</v>
      </c>
    </row>
    <row r="64" spans="1:7" ht="28">
      <c r="A64" s="21">
        <v>2045</v>
      </c>
      <c r="B64" s="21" t="s">
        <v>106</v>
      </c>
      <c r="C64" s="19" t="s">
        <v>844</v>
      </c>
      <c r="D64" s="45">
        <v>0.03</v>
      </c>
      <c r="E64" s="19" t="s">
        <v>7</v>
      </c>
      <c r="F64" s="19" t="s">
        <v>844</v>
      </c>
      <c r="G64" s="18" t="s">
        <v>853</v>
      </c>
    </row>
    <row r="65" spans="1:7" ht="28">
      <c r="A65" s="21">
        <v>2045</v>
      </c>
      <c r="B65" s="21" t="s">
        <v>106</v>
      </c>
      <c r="C65" s="19" t="s">
        <v>849</v>
      </c>
      <c r="D65" s="45"/>
      <c r="E65" s="19" t="s">
        <v>7</v>
      </c>
      <c r="F65" s="19" t="s">
        <v>854</v>
      </c>
      <c r="G65" s="18" t="s">
        <v>855</v>
      </c>
    </row>
  </sheetData>
  <dataValidations count="3">
    <dataValidation type="list" sqref="B2:B201" xr:uid="{00000000-0002-0000-1200-000000000000}">
      <formula1>"Posgrado,Ejecutivo"</formula1>
    </dataValidation>
    <dataValidation type="list" sqref="C2:C201" xr:uid="{00000000-0002-0000-1200-000001000000}">
      <formula1>"Síncrono,Asíncrono"</formula1>
    </dataValidation>
    <dataValidation type="list" sqref="E2:E201" xr:uid="{00000000-0002-0000-1200-000002000000}">
      <formula1>"Sí,No"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1"/>
  <sheetViews>
    <sheetView workbookViewId="0"/>
  </sheetViews>
  <sheetFormatPr baseColWidth="10" defaultColWidth="8.6640625" defaultRowHeight="14"/>
  <cols>
    <col min="1" max="3" width="16" customWidth="1"/>
    <col min="4" max="4" width="9.5" customWidth="1"/>
    <col min="5" max="5" width="70" customWidth="1"/>
  </cols>
  <sheetData>
    <row r="1" spans="1:5" ht="28">
      <c r="A1" s="47" t="s">
        <v>37</v>
      </c>
      <c r="B1" s="47" t="s">
        <v>38</v>
      </c>
      <c r="C1" s="47" t="s">
        <v>39</v>
      </c>
      <c r="D1" s="51" t="s">
        <v>856</v>
      </c>
      <c r="E1" s="47" t="s">
        <v>738</v>
      </c>
    </row>
    <row r="2" spans="1:5" ht="28">
      <c r="A2" s="21" t="s">
        <v>105</v>
      </c>
      <c r="B2" s="19" t="s">
        <v>844</v>
      </c>
      <c r="C2" s="21" t="s">
        <v>843</v>
      </c>
      <c r="D2" s="19">
        <v>18.5</v>
      </c>
      <c r="E2" s="19" t="s">
        <v>857</v>
      </c>
    </row>
    <row r="3" spans="1:5" ht="28">
      <c r="A3" s="21" t="s">
        <v>105</v>
      </c>
      <c r="B3" s="19" t="s">
        <v>844</v>
      </c>
      <c r="C3" s="21" t="s">
        <v>845</v>
      </c>
      <c r="D3" s="19">
        <v>18.5</v>
      </c>
      <c r="E3" s="19" t="s">
        <v>857</v>
      </c>
    </row>
    <row r="4" spans="1:5" ht="28">
      <c r="A4" s="21" t="s">
        <v>105</v>
      </c>
      <c r="B4" s="19" t="s">
        <v>844</v>
      </c>
      <c r="C4" s="21" t="s">
        <v>846</v>
      </c>
      <c r="D4" s="19">
        <v>22</v>
      </c>
      <c r="E4" s="19" t="s">
        <v>857</v>
      </c>
    </row>
    <row r="5" spans="1:5" ht="28">
      <c r="A5" s="21" t="s">
        <v>105</v>
      </c>
      <c r="B5" s="19" t="s">
        <v>844</v>
      </c>
      <c r="C5" s="21" t="s">
        <v>847</v>
      </c>
      <c r="D5" s="19">
        <v>16</v>
      </c>
      <c r="E5" s="19" t="s">
        <v>857</v>
      </c>
    </row>
    <row r="6" spans="1:5" ht="28">
      <c r="A6" s="21" t="s">
        <v>105</v>
      </c>
      <c r="B6" s="19" t="s">
        <v>844</v>
      </c>
      <c r="C6" s="21" t="s">
        <v>848</v>
      </c>
      <c r="D6" s="19">
        <v>25</v>
      </c>
      <c r="E6" s="19" t="s">
        <v>857</v>
      </c>
    </row>
    <row r="7" spans="1:5" ht="28">
      <c r="A7" s="21" t="s">
        <v>105</v>
      </c>
      <c r="B7" s="19" t="s">
        <v>849</v>
      </c>
      <c r="C7" s="21" t="s">
        <v>843</v>
      </c>
      <c r="D7" s="19">
        <v>18.5</v>
      </c>
      <c r="E7" s="19" t="s">
        <v>857</v>
      </c>
    </row>
    <row r="8" spans="1:5" ht="28">
      <c r="A8" s="21" t="s">
        <v>105</v>
      </c>
      <c r="B8" s="19" t="s">
        <v>849</v>
      </c>
      <c r="C8" s="21" t="s">
        <v>845</v>
      </c>
      <c r="D8" s="19">
        <v>18.5</v>
      </c>
      <c r="E8" s="19" t="s">
        <v>857</v>
      </c>
    </row>
    <row r="9" spans="1:5" ht="28">
      <c r="A9" s="21" t="s">
        <v>105</v>
      </c>
      <c r="B9" s="19" t="s">
        <v>849</v>
      </c>
      <c r="C9" s="21" t="s">
        <v>846</v>
      </c>
      <c r="D9" s="19">
        <v>22</v>
      </c>
      <c r="E9" s="19" t="s">
        <v>857</v>
      </c>
    </row>
    <row r="10" spans="1:5" ht="28">
      <c r="A10" s="21" t="s">
        <v>105</v>
      </c>
      <c r="B10" s="19" t="s">
        <v>849</v>
      </c>
      <c r="C10" s="21" t="s">
        <v>847</v>
      </c>
      <c r="D10" s="19">
        <v>16</v>
      </c>
      <c r="E10" s="19" t="s">
        <v>857</v>
      </c>
    </row>
    <row r="11" spans="1:5" ht="28">
      <c r="A11" s="21" t="s">
        <v>105</v>
      </c>
      <c r="B11" s="19" t="s">
        <v>849</v>
      </c>
      <c r="C11" s="21" t="s">
        <v>848</v>
      </c>
      <c r="D11" s="19">
        <v>25</v>
      </c>
      <c r="E11" s="19" t="s">
        <v>857</v>
      </c>
    </row>
    <row r="12" spans="1:5" ht="28">
      <c r="A12" s="21" t="s">
        <v>106</v>
      </c>
      <c r="B12" s="19" t="s">
        <v>844</v>
      </c>
      <c r="C12" s="21" t="s">
        <v>843</v>
      </c>
      <c r="D12" s="19">
        <v>20.5</v>
      </c>
      <c r="E12" s="19" t="s">
        <v>857</v>
      </c>
    </row>
    <row r="13" spans="1:5" ht="28">
      <c r="A13" s="21" t="s">
        <v>106</v>
      </c>
      <c r="B13" s="19" t="s">
        <v>844</v>
      </c>
      <c r="C13" s="21" t="s">
        <v>845</v>
      </c>
      <c r="D13" s="19">
        <v>19</v>
      </c>
      <c r="E13" s="19" t="s">
        <v>857</v>
      </c>
    </row>
    <row r="14" spans="1:5" ht="28">
      <c r="A14" s="21" t="s">
        <v>106</v>
      </c>
      <c r="B14" s="19" t="s">
        <v>844</v>
      </c>
      <c r="C14" s="21" t="s">
        <v>846</v>
      </c>
      <c r="D14" s="19">
        <v>22</v>
      </c>
      <c r="E14" s="19" t="s">
        <v>857</v>
      </c>
    </row>
    <row r="15" spans="1:5" ht="28">
      <c r="A15" s="21" t="s">
        <v>106</v>
      </c>
      <c r="B15" s="19" t="s">
        <v>844</v>
      </c>
      <c r="C15" s="21" t="s">
        <v>847</v>
      </c>
      <c r="D15" s="19">
        <v>17</v>
      </c>
      <c r="E15" s="19" t="s">
        <v>857</v>
      </c>
    </row>
    <row r="16" spans="1:5" ht="28">
      <c r="A16" s="21" t="s">
        <v>106</v>
      </c>
      <c r="B16" s="19" t="s">
        <v>844</v>
      </c>
      <c r="C16" s="21" t="s">
        <v>848</v>
      </c>
      <c r="D16" s="19">
        <v>21.5</v>
      </c>
      <c r="E16" s="19" t="s">
        <v>857</v>
      </c>
    </row>
    <row r="17" spans="1:5" ht="28">
      <c r="A17" s="21" t="s">
        <v>106</v>
      </c>
      <c r="B17" s="19" t="s">
        <v>849</v>
      </c>
      <c r="C17" s="21" t="s">
        <v>843</v>
      </c>
      <c r="D17" s="19">
        <v>20.5</v>
      </c>
      <c r="E17" s="19" t="s">
        <v>857</v>
      </c>
    </row>
    <row r="18" spans="1:5" ht="28">
      <c r="A18" s="21" t="s">
        <v>106</v>
      </c>
      <c r="B18" s="19" t="s">
        <v>849</v>
      </c>
      <c r="C18" s="21" t="s">
        <v>845</v>
      </c>
      <c r="D18" s="19">
        <v>19</v>
      </c>
      <c r="E18" s="19" t="s">
        <v>857</v>
      </c>
    </row>
    <row r="19" spans="1:5" ht="28">
      <c r="A19" s="21" t="s">
        <v>106</v>
      </c>
      <c r="B19" s="19" t="s">
        <v>849</v>
      </c>
      <c r="C19" s="21" t="s">
        <v>846</v>
      </c>
      <c r="D19" s="19">
        <v>22</v>
      </c>
      <c r="E19" s="19" t="s">
        <v>857</v>
      </c>
    </row>
    <row r="20" spans="1:5" ht="28">
      <c r="A20" s="21" t="s">
        <v>106</v>
      </c>
      <c r="B20" s="19" t="s">
        <v>849</v>
      </c>
      <c r="C20" s="21" t="s">
        <v>847</v>
      </c>
      <c r="D20" s="19">
        <v>17</v>
      </c>
      <c r="E20" s="19" t="s">
        <v>857</v>
      </c>
    </row>
    <row r="21" spans="1:5" ht="28">
      <c r="A21" s="21" t="s">
        <v>106</v>
      </c>
      <c r="B21" s="19" t="s">
        <v>849</v>
      </c>
      <c r="C21" s="21" t="s">
        <v>848</v>
      </c>
      <c r="D21" s="19">
        <v>21.5</v>
      </c>
      <c r="E21" s="19" t="s">
        <v>857</v>
      </c>
    </row>
  </sheetData>
  <dataValidations count="3">
    <dataValidation type="list" sqref="A2:A201" xr:uid="{00000000-0002-0000-1300-000000000000}">
      <formula1>"Posgrado,Ejecutivo"</formula1>
    </dataValidation>
    <dataValidation type="list" sqref="B2:B201" xr:uid="{00000000-0002-0000-1300-000001000000}">
      <formula1>"Síncrono,Asíncrono"</formula1>
    </dataValidation>
    <dataValidation type="list" sqref="C2:C201" xr:uid="{00000000-0002-0000-1300-000002000000}">
      <formula1>"Agosto,Octubre,Enero,Marzo,Junio"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7"/>
  <sheetViews>
    <sheetView workbookViewId="0"/>
  </sheetViews>
  <sheetFormatPr baseColWidth="10" defaultColWidth="8.6640625" defaultRowHeight="14"/>
  <cols>
    <col min="1" max="4" width="18" customWidth="1"/>
    <col min="5" max="5" width="5.9140625" customWidth="1"/>
    <col min="6" max="6" width="70" customWidth="1"/>
  </cols>
  <sheetData>
    <row r="1" spans="1:6">
      <c r="A1" s="47" t="s">
        <v>37</v>
      </c>
      <c r="B1" s="47" t="s">
        <v>38</v>
      </c>
      <c r="C1" s="47" t="s">
        <v>858</v>
      </c>
      <c r="D1" s="47" t="s">
        <v>859</v>
      </c>
      <c r="E1" s="51" t="s">
        <v>118</v>
      </c>
      <c r="F1" s="47" t="s">
        <v>738</v>
      </c>
    </row>
    <row r="2" spans="1:6" ht="28">
      <c r="A2" s="21" t="s">
        <v>105</v>
      </c>
      <c r="B2" s="19" t="s">
        <v>844</v>
      </c>
      <c r="C2" s="21" t="s">
        <v>860</v>
      </c>
      <c r="D2" s="19" t="s">
        <v>861</v>
      </c>
      <c r="E2" s="45">
        <v>0.9</v>
      </c>
      <c r="F2" s="19" t="s">
        <v>862</v>
      </c>
    </row>
    <row r="3" spans="1:6" ht="28">
      <c r="A3" s="21" t="s">
        <v>105</v>
      </c>
      <c r="B3" s="19" t="s">
        <v>844</v>
      </c>
      <c r="C3" s="21" t="s">
        <v>861</v>
      </c>
      <c r="D3" s="19" t="s">
        <v>863</v>
      </c>
      <c r="E3" s="45">
        <v>0.95</v>
      </c>
      <c r="F3" s="19" t="s">
        <v>862</v>
      </c>
    </row>
    <row r="4" spans="1:6" ht="28">
      <c r="A4" s="21" t="s">
        <v>105</v>
      </c>
      <c r="B4" s="19" t="s">
        <v>844</v>
      </c>
      <c r="C4" s="21" t="s">
        <v>863</v>
      </c>
      <c r="D4" s="19" t="s">
        <v>864</v>
      </c>
      <c r="E4" s="45">
        <v>0.95</v>
      </c>
      <c r="F4" s="19" t="s">
        <v>862</v>
      </c>
    </row>
    <row r="5" spans="1:6" ht="28">
      <c r="A5" s="21" t="s">
        <v>105</v>
      </c>
      <c r="B5" s="19" t="s">
        <v>844</v>
      </c>
      <c r="C5" s="21" t="s">
        <v>864</v>
      </c>
      <c r="D5" s="19" t="s">
        <v>865</v>
      </c>
      <c r="E5" s="45">
        <v>0.92</v>
      </c>
      <c r="F5" s="19" t="s">
        <v>862</v>
      </c>
    </row>
    <row r="6" spans="1:6" ht="28">
      <c r="A6" s="21" t="s">
        <v>105</v>
      </c>
      <c r="B6" s="19" t="s">
        <v>844</v>
      </c>
      <c r="C6" s="21" t="s">
        <v>865</v>
      </c>
      <c r="D6" s="19" t="s">
        <v>866</v>
      </c>
      <c r="E6" s="45">
        <v>0.95</v>
      </c>
      <c r="F6" s="19" t="s">
        <v>862</v>
      </c>
    </row>
    <row r="7" spans="1:6" ht="28">
      <c r="A7" s="21" t="s">
        <v>105</v>
      </c>
      <c r="B7" s="19" t="s">
        <v>844</v>
      </c>
      <c r="C7" s="21" t="s">
        <v>866</v>
      </c>
      <c r="D7" s="19" t="s">
        <v>867</v>
      </c>
      <c r="E7" s="45">
        <v>0.88</v>
      </c>
      <c r="F7" s="19" t="s">
        <v>862</v>
      </c>
    </row>
    <row r="8" spans="1:6" ht="28">
      <c r="A8" s="21" t="s">
        <v>105</v>
      </c>
      <c r="B8" s="19" t="s">
        <v>844</v>
      </c>
      <c r="C8" s="21" t="s">
        <v>867</v>
      </c>
      <c r="D8" s="19" t="s">
        <v>868</v>
      </c>
      <c r="E8" s="45">
        <v>0.88</v>
      </c>
      <c r="F8" s="19" t="s">
        <v>862</v>
      </c>
    </row>
    <row r="9" spans="1:6" ht="28">
      <c r="A9" s="21" t="s">
        <v>105</v>
      </c>
      <c r="B9" s="19" t="s">
        <v>844</v>
      </c>
      <c r="C9" s="21" t="s">
        <v>868</v>
      </c>
      <c r="D9" s="19" t="s">
        <v>869</v>
      </c>
      <c r="E9" s="45">
        <v>0.88</v>
      </c>
      <c r="F9" s="19" t="s">
        <v>862</v>
      </c>
    </row>
    <row r="10" spans="1:6" ht="28">
      <c r="A10" s="21" t="s">
        <v>105</v>
      </c>
      <c r="B10" s="19" t="s">
        <v>844</v>
      </c>
      <c r="C10" s="21" t="s">
        <v>869</v>
      </c>
      <c r="D10" s="19" t="s">
        <v>870</v>
      </c>
      <c r="E10" s="45">
        <v>0.88</v>
      </c>
      <c r="F10" s="19" t="s">
        <v>862</v>
      </c>
    </row>
    <row r="11" spans="1:6" ht="28">
      <c r="A11" s="21" t="s">
        <v>105</v>
      </c>
      <c r="B11" s="19" t="s">
        <v>844</v>
      </c>
      <c r="C11" s="21" t="s">
        <v>870</v>
      </c>
      <c r="D11" s="19" t="s">
        <v>871</v>
      </c>
      <c r="E11" s="45">
        <v>0.2</v>
      </c>
      <c r="F11" s="19" t="s">
        <v>862</v>
      </c>
    </row>
    <row r="12" spans="1:6" ht="28">
      <c r="A12" s="21" t="s">
        <v>105</v>
      </c>
      <c r="B12" s="19" t="s">
        <v>844</v>
      </c>
      <c r="C12" s="21" t="s">
        <v>871</v>
      </c>
      <c r="D12" s="19" t="s">
        <v>872</v>
      </c>
      <c r="E12" s="45">
        <v>0.1</v>
      </c>
      <c r="F12" s="19" t="s">
        <v>862</v>
      </c>
    </row>
    <row r="13" spans="1:6" ht="28">
      <c r="A13" s="21" t="s">
        <v>105</v>
      </c>
      <c r="B13" s="19" t="s">
        <v>844</v>
      </c>
      <c r="C13" s="21" t="s">
        <v>872</v>
      </c>
      <c r="D13" s="19" t="s">
        <v>873</v>
      </c>
      <c r="E13" s="45">
        <v>0.4</v>
      </c>
      <c r="F13" s="19" t="s">
        <v>862</v>
      </c>
    </row>
    <row r="14" spans="1:6" ht="28">
      <c r="A14" s="21" t="s">
        <v>105</v>
      </c>
      <c r="B14" s="19" t="s">
        <v>844</v>
      </c>
      <c r="C14" s="21" t="s">
        <v>873</v>
      </c>
      <c r="D14" s="19" t="s">
        <v>874</v>
      </c>
      <c r="E14" s="45">
        <v>0.3</v>
      </c>
      <c r="F14" s="19" t="s">
        <v>862</v>
      </c>
    </row>
    <row r="15" spans="1:6" ht="28">
      <c r="A15" s="21" t="s">
        <v>105</v>
      </c>
      <c r="B15" s="19" t="s">
        <v>844</v>
      </c>
      <c r="C15" s="21" t="s">
        <v>874</v>
      </c>
      <c r="D15" s="19" t="s">
        <v>875</v>
      </c>
      <c r="E15" s="45">
        <v>0.01</v>
      </c>
      <c r="F15" s="19" t="s">
        <v>862</v>
      </c>
    </row>
    <row r="16" spans="1:6" ht="28">
      <c r="A16" s="21" t="s">
        <v>105</v>
      </c>
      <c r="B16" s="19" t="s">
        <v>849</v>
      </c>
      <c r="C16" s="21" t="s">
        <v>860</v>
      </c>
      <c r="D16" s="19" t="s">
        <v>861</v>
      </c>
      <c r="E16" s="45">
        <v>0.9</v>
      </c>
      <c r="F16" s="19" t="s">
        <v>862</v>
      </c>
    </row>
    <row r="17" spans="1:6" ht="28">
      <c r="A17" s="21" t="s">
        <v>105</v>
      </c>
      <c r="B17" s="19" t="s">
        <v>849</v>
      </c>
      <c r="C17" s="21" t="s">
        <v>861</v>
      </c>
      <c r="D17" s="19" t="s">
        <v>863</v>
      </c>
      <c r="E17" s="45">
        <v>0.95</v>
      </c>
      <c r="F17" s="19" t="s">
        <v>862</v>
      </c>
    </row>
    <row r="18" spans="1:6" ht="28">
      <c r="A18" s="21" t="s">
        <v>105</v>
      </c>
      <c r="B18" s="19" t="s">
        <v>849</v>
      </c>
      <c r="C18" s="21" t="s">
        <v>863</v>
      </c>
      <c r="D18" s="19" t="s">
        <v>864</v>
      </c>
      <c r="E18" s="45">
        <v>0.95</v>
      </c>
      <c r="F18" s="19" t="s">
        <v>862</v>
      </c>
    </row>
    <row r="19" spans="1:6" ht="28">
      <c r="A19" s="21" t="s">
        <v>105</v>
      </c>
      <c r="B19" s="19" t="s">
        <v>849</v>
      </c>
      <c r="C19" s="21" t="s">
        <v>864</v>
      </c>
      <c r="D19" s="19" t="s">
        <v>865</v>
      </c>
      <c r="E19" s="45">
        <v>0.92</v>
      </c>
      <c r="F19" s="19" t="s">
        <v>862</v>
      </c>
    </row>
    <row r="20" spans="1:6" ht="28">
      <c r="A20" s="21" t="s">
        <v>105</v>
      </c>
      <c r="B20" s="19" t="s">
        <v>849</v>
      </c>
      <c r="C20" s="21" t="s">
        <v>865</v>
      </c>
      <c r="D20" s="19" t="s">
        <v>866</v>
      </c>
      <c r="E20" s="45">
        <v>0.95</v>
      </c>
      <c r="F20" s="19" t="s">
        <v>862</v>
      </c>
    </row>
    <row r="21" spans="1:6" ht="28">
      <c r="A21" s="21" t="s">
        <v>105</v>
      </c>
      <c r="B21" s="19" t="s">
        <v>849</v>
      </c>
      <c r="C21" s="21" t="s">
        <v>866</v>
      </c>
      <c r="D21" s="19" t="s">
        <v>867</v>
      </c>
      <c r="E21" s="45">
        <v>0.88</v>
      </c>
      <c r="F21" s="19" t="s">
        <v>862</v>
      </c>
    </row>
    <row r="22" spans="1:6" ht="28">
      <c r="A22" s="21" t="s">
        <v>105</v>
      </c>
      <c r="B22" s="19" t="s">
        <v>849</v>
      </c>
      <c r="C22" s="21" t="s">
        <v>867</v>
      </c>
      <c r="D22" s="19" t="s">
        <v>868</v>
      </c>
      <c r="E22" s="45">
        <v>0.88</v>
      </c>
      <c r="F22" s="19" t="s">
        <v>862</v>
      </c>
    </row>
    <row r="23" spans="1:6" ht="28">
      <c r="A23" s="21" t="s">
        <v>105</v>
      </c>
      <c r="B23" s="19" t="s">
        <v>849</v>
      </c>
      <c r="C23" s="21" t="s">
        <v>868</v>
      </c>
      <c r="D23" s="19" t="s">
        <v>869</v>
      </c>
      <c r="E23" s="45">
        <v>0.88</v>
      </c>
      <c r="F23" s="19" t="s">
        <v>862</v>
      </c>
    </row>
    <row r="24" spans="1:6" ht="28">
      <c r="A24" s="21" t="s">
        <v>105</v>
      </c>
      <c r="B24" s="19" t="s">
        <v>849</v>
      </c>
      <c r="C24" s="21" t="s">
        <v>869</v>
      </c>
      <c r="D24" s="19" t="s">
        <v>870</v>
      </c>
      <c r="E24" s="45">
        <v>0.88</v>
      </c>
      <c r="F24" s="19" t="s">
        <v>862</v>
      </c>
    </row>
    <row r="25" spans="1:6" ht="28">
      <c r="A25" s="21" t="s">
        <v>105</v>
      </c>
      <c r="B25" s="19" t="s">
        <v>849</v>
      </c>
      <c r="C25" s="21" t="s">
        <v>870</v>
      </c>
      <c r="D25" s="19" t="s">
        <v>871</v>
      </c>
      <c r="E25" s="45">
        <v>0.2</v>
      </c>
      <c r="F25" s="19" t="s">
        <v>862</v>
      </c>
    </row>
    <row r="26" spans="1:6" ht="28">
      <c r="A26" s="21" t="s">
        <v>105</v>
      </c>
      <c r="B26" s="19" t="s">
        <v>849</v>
      </c>
      <c r="C26" s="21" t="s">
        <v>871</v>
      </c>
      <c r="D26" s="19" t="s">
        <v>872</v>
      </c>
      <c r="E26" s="45">
        <v>0.1</v>
      </c>
      <c r="F26" s="19" t="s">
        <v>862</v>
      </c>
    </row>
    <row r="27" spans="1:6" ht="28">
      <c r="A27" s="21" t="s">
        <v>105</v>
      </c>
      <c r="B27" s="19" t="s">
        <v>849</v>
      </c>
      <c r="C27" s="21" t="s">
        <v>872</v>
      </c>
      <c r="D27" s="19" t="s">
        <v>873</v>
      </c>
      <c r="E27" s="45">
        <v>0.4</v>
      </c>
      <c r="F27" s="19" t="s">
        <v>862</v>
      </c>
    </row>
    <row r="28" spans="1:6" ht="28">
      <c r="A28" s="21" t="s">
        <v>105</v>
      </c>
      <c r="B28" s="19" t="s">
        <v>849</v>
      </c>
      <c r="C28" s="21" t="s">
        <v>873</v>
      </c>
      <c r="D28" s="19" t="s">
        <v>874</v>
      </c>
      <c r="E28" s="45">
        <v>0.3</v>
      </c>
      <c r="F28" s="19" t="s">
        <v>862</v>
      </c>
    </row>
    <row r="29" spans="1:6" ht="28">
      <c r="A29" s="21" t="s">
        <v>105</v>
      </c>
      <c r="B29" s="19" t="s">
        <v>849</v>
      </c>
      <c r="C29" s="21" t="s">
        <v>874</v>
      </c>
      <c r="D29" s="19" t="s">
        <v>875</v>
      </c>
      <c r="E29" s="45">
        <v>0.01</v>
      </c>
      <c r="F29" s="19" t="s">
        <v>862</v>
      </c>
    </row>
    <row r="30" spans="1:6" ht="28">
      <c r="A30" s="21" t="s">
        <v>106</v>
      </c>
      <c r="B30" s="19" t="s">
        <v>844</v>
      </c>
      <c r="C30" s="21" t="s">
        <v>860</v>
      </c>
      <c r="D30" s="19" t="s">
        <v>861</v>
      </c>
      <c r="E30" s="45">
        <v>0.87</v>
      </c>
      <c r="F30" s="19" t="s">
        <v>876</v>
      </c>
    </row>
    <row r="31" spans="1:6" ht="28">
      <c r="A31" s="21" t="s">
        <v>106</v>
      </c>
      <c r="B31" s="19" t="s">
        <v>844</v>
      </c>
      <c r="C31" s="21" t="s">
        <v>861</v>
      </c>
      <c r="D31" s="19" t="s">
        <v>863</v>
      </c>
      <c r="E31" s="45">
        <v>0.9</v>
      </c>
      <c r="F31" s="19" t="s">
        <v>876</v>
      </c>
    </row>
    <row r="32" spans="1:6" ht="28">
      <c r="A32" s="21" t="s">
        <v>106</v>
      </c>
      <c r="B32" s="19" t="s">
        <v>844</v>
      </c>
      <c r="C32" s="21" t="s">
        <v>863</v>
      </c>
      <c r="D32" s="19" t="s">
        <v>864</v>
      </c>
      <c r="E32" s="45">
        <v>0.9</v>
      </c>
      <c r="F32" s="19" t="s">
        <v>876</v>
      </c>
    </row>
    <row r="33" spans="1:6" ht="28">
      <c r="A33" s="21" t="s">
        <v>106</v>
      </c>
      <c r="B33" s="19" t="s">
        <v>844</v>
      </c>
      <c r="C33" s="21" t="s">
        <v>864</v>
      </c>
      <c r="D33" s="19" t="s">
        <v>865</v>
      </c>
      <c r="E33" s="45">
        <v>0.9</v>
      </c>
      <c r="F33" s="19" t="s">
        <v>876</v>
      </c>
    </row>
    <row r="34" spans="1:6" ht="28">
      <c r="A34" s="21" t="s">
        <v>106</v>
      </c>
      <c r="B34" s="19" t="s">
        <v>844</v>
      </c>
      <c r="C34" s="21" t="s">
        <v>865</v>
      </c>
      <c r="D34" s="19" t="s">
        <v>866</v>
      </c>
      <c r="E34" s="45">
        <v>0.9</v>
      </c>
      <c r="F34" s="19" t="s">
        <v>876</v>
      </c>
    </row>
    <row r="35" spans="1:6" ht="28">
      <c r="A35" s="21" t="s">
        <v>106</v>
      </c>
      <c r="B35" s="19" t="s">
        <v>844</v>
      </c>
      <c r="C35" s="21" t="s">
        <v>866</v>
      </c>
      <c r="D35" s="19" t="s">
        <v>867</v>
      </c>
      <c r="E35" s="45">
        <v>0.9</v>
      </c>
      <c r="F35" s="19" t="s">
        <v>876</v>
      </c>
    </row>
    <row r="36" spans="1:6" ht="28">
      <c r="A36" s="21" t="s">
        <v>106</v>
      </c>
      <c r="B36" s="19" t="s">
        <v>844</v>
      </c>
      <c r="C36" s="21" t="s">
        <v>867</v>
      </c>
      <c r="D36" s="19" t="s">
        <v>868</v>
      </c>
      <c r="E36" s="45">
        <v>0.9</v>
      </c>
      <c r="F36" s="19" t="s">
        <v>876</v>
      </c>
    </row>
    <row r="37" spans="1:6" ht="28">
      <c r="A37" s="21" t="s">
        <v>106</v>
      </c>
      <c r="B37" s="19" t="s">
        <v>844</v>
      </c>
      <c r="C37" s="21" t="s">
        <v>868</v>
      </c>
      <c r="D37" s="19" t="s">
        <v>869</v>
      </c>
      <c r="E37" s="45">
        <v>0.9</v>
      </c>
      <c r="F37" s="19" t="s">
        <v>876</v>
      </c>
    </row>
    <row r="38" spans="1:6" ht="28">
      <c r="A38" s="21" t="s">
        <v>106</v>
      </c>
      <c r="B38" s="19" t="s">
        <v>844</v>
      </c>
      <c r="C38" s="21" t="s">
        <v>869</v>
      </c>
      <c r="D38" s="19" t="s">
        <v>870</v>
      </c>
      <c r="E38" s="45">
        <v>0.9</v>
      </c>
      <c r="F38" s="19" t="s">
        <v>876</v>
      </c>
    </row>
    <row r="39" spans="1:6" ht="28">
      <c r="A39" s="21" t="s">
        <v>106</v>
      </c>
      <c r="B39" s="19" t="s">
        <v>844</v>
      </c>
      <c r="C39" s="21" t="s">
        <v>870</v>
      </c>
      <c r="D39" s="19" t="s">
        <v>871</v>
      </c>
      <c r="E39" s="45">
        <v>0.92</v>
      </c>
      <c r="F39" s="19" t="s">
        <v>876</v>
      </c>
    </row>
    <row r="40" spans="1:6" ht="28">
      <c r="A40" s="21" t="s">
        <v>106</v>
      </c>
      <c r="B40" s="19" t="s">
        <v>844</v>
      </c>
      <c r="C40" s="21" t="s">
        <v>871</v>
      </c>
      <c r="D40" s="19" t="s">
        <v>872</v>
      </c>
      <c r="E40" s="45">
        <v>0.92</v>
      </c>
      <c r="F40" s="19" t="s">
        <v>876</v>
      </c>
    </row>
    <row r="41" spans="1:6" ht="28">
      <c r="A41" s="21" t="s">
        <v>106</v>
      </c>
      <c r="B41" s="19" t="s">
        <v>844</v>
      </c>
      <c r="C41" s="21" t="s">
        <v>872</v>
      </c>
      <c r="D41" s="19" t="s">
        <v>873</v>
      </c>
      <c r="E41" s="45">
        <v>0.92</v>
      </c>
      <c r="F41" s="19" t="s">
        <v>876</v>
      </c>
    </row>
    <row r="42" spans="1:6" ht="28">
      <c r="A42" s="21" t="s">
        <v>106</v>
      </c>
      <c r="B42" s="19" t="s">
        <v>844</v>
      </c>
      <c r="C42" s="21" t="s">
        <v>873</v>
      </c>
      <c r="D42" s="19" t="s">
        <v>874</v>
      </c>
      <c r="E42" s="45">
        <v>0.92</v>
      </c>
      <c r="F42" s="19" t="s">
        <v>876</v>
      </c>
    </row>
    <row r="43" spans="1:6" ht="28">
      <c r="A43" s="21" t="s">
        <v>106</v>
      </c>
      <c r="B43" s="19" t="s">
        <v>844</v>
      </c>
      <c r="C43" s="21" t="s">
        <v>874</v>
      </c>
      <c r="D43" s="19" t="s">
        <v>875</v>
      </c>
      <c r="E43" s="45">
        <v>0.92</v>
      </c>
      <c r="F43" s="19" t="s">
        <v>876</v>
      </c>
    </row>
    <row r="44" spans="1:6" ht="28">
      <c r="A44" s="21" t="s">
        <v>106</v>
      </c>
      <c r="B44" s="19" t="s">
        <v>844</v>
      </c>
      <c r="C44" s="21" t="s">
        <v>875</v>
      </c>
      <c r="D44" s="19" t="s">
        <v>877</v>
      </c>
      <c r="E44" s="45">
        <v>0.1</v>
      </c>
      <c r="F44" s="19" t="s">
        <v>876</v>
      </c>
    </row>
    <row r="45" spans="1:6" ht="28">
      <c r="A45" s="21" t="s">
        <v>106</v>
      </c>
      <c r="B45" s="19" t="s">
        <v>844</v>
      </c>
      <c r="C45" s="21" t="s">
        <v>877</v>
      </c>
      <c r="D45" s="19" t="s">
        <v>878</v>
      </c>
      <c r="E45" s="45">
        <v>0.8</v>
      </c>
      <c r="F45" s="19" t="s">
        <v>876</v>
      </c>
    </row>
    <row r="46" spans="1:6" ht="28">
      <c r="A46" s="21" t="s">
        <v>106</v>
      </c>
      <c r="B46" s="19" t="s">
        <v>844</v>
      </c>
      <c r="C46" s="21" t="s">
        <v>878</v>
      </c>
      <c r="D46" s="19" t="s">
        <v>879</v>
      </c>
      <c r="E46" s="45">
        <v>0.5</v>
      </c>
      <c r="F46" s="19" t="s">
        <v>876</v>
      </c>
    </row>
    <row r="47" spans="1:6" ht="28">
      <c r="A47" s="21" t="s">
        <v>106</v>
      </c>
      <c r="B47" s="19" t="s">
        <v>844</v>
      </c>
      <c r="C47" s="21" t="s">
        <v>879</v>
      </c>
      <c r="D47" s="19" t="s">
        <v>880</v>
      </c>
      <c r="E47" s="45">
        <v>0.3</v>
      </c>
      <c r="F47" s="19" t="s">
        <v>876</v>
      </c>
    </row>
    <row r="48" spans="1:6" ht="28">
      <c r="A48" s="21" t="s">
        <v>106</v>
      </c>
      <c r="B48" s="19" t="s">
        <v>844</v>
      </c>
      <c r="C48" s="21" t="s">
        <v>880</v>
      </c>
      <c r="D48" s="19" t="s">
        <v>881</v>
      </c>
      <c r="E48" s="45">
        <v>0.1</v>
      </c>
      <c r="F48" s="19" t="s">
        <v>876</v>
      </c>
    </row>
    <row r="49" spans="1:6" ht="28">
      <c r="A49" s="21" t="s">
        <v>106</v>
      </c>
      <c r="B49" s="19" t="s">
        <v>849</v>
      </c>
      <c r="C49" s="21" t="s">
        <v>860</v>
      </c>
      <c r="D49" s="19" t="s">
        <v>861</v>
      </c>
      <c r="E49" s="45">
        <v>0.87</v>
      </c>
      <c r="F49" s="19" t="s">
        <v>876</v>
      </c>
    </row>
    <row r="50" spans="1:6" ht="28">
      <c r="A50" s="21" t="s">
        <v>106</v>
      </c>
      <c r="B50" s="19" t="s">
        <v>849</v>
      </c>
      <c r="C50" s="21" t="s">
        <v>861</v>
      </c>
      <c r="D50" s="19" t="s">
        <v>863</v>
      </c>
      <c r="E50" s="45">
        <v>0.9</v>
      </c>
      <c r="F50" s="19" t="s">
        <v>876</v>
      </c>
    </row>
    <row r="51" spans="1:6" ht="28">
      <c r="A51" s="21" t="s">
        <v>106</v>
      </c>
      <c r="B51" s="19" t="s">
        <v>849</v>
      </c>
      <c r="C51" s="21" t="s">
        <v>863</v>
      </c>
      <c r="D51" s="19" t="s">
        <v>864</v>
      </c>
      <c r="E51" s="45">
        <v>0.9</v>
      </c>
      <c r="F51" s="19" t="s">
        <v>876</v>
      </c>
    </row>
    <row r="52" spans="1:6" ht="28">
      <c r="A52" s="21" t="s">
        <v>106</v>
      </c>
      <c r="B52" s="19" t="s">
        <v>849</v>
      </c>
      <c r="C52" s="21" t="s">
        <v>864</v>
      </c>
      <c r="D52" s="19" t="s">
        <v>865</v>
      </c>
      <c r="E52" s="45">
        <v>0.9</v>
      </c>
      <c r="F52" s="19" t="s">
        <v>876</v>
      </c>
    </row>
    <row r="53" spans="1:6" ht="28">
      <c r="A53" s="21" t="s">
        <v>106</v>
      </c>
      <c r="B53" s="19" t="s">
        <v>849</v>
      </c>
      <c r="C53" s="21" t="s">
        <v>865</v>
      </c>
      <c r="D53" s="19" t="s">
        <v>866</v>
      </c>
      <c r="E53" s="45">
        <v>0.9</v>
      </c>
      <c r="F53" s="19" t="s">
        <v>876</v>
      </c>
    </row>
    <row r="54" spans="1:6" ht="28">
      <c r="A54" s="21" t="s">
        <v>106</v>
      </c>
      <c r="B54" s="19" t="s">
        <v>849</v>
      </c>
      <c r="C54" s="21" t="s">
        <v>866</v>
      </c>
      <c r="D54" s="19" t="s">
        <v>867</v>
      </c>
      <c r="E54" s="45">
        <v>0.9</v>
      </c>
      <c r="F54" s="19" t="s">
        <v>876</v>
      </c>
    </row>
    <row r="55" spans="1:6" ht="28">
      <c r="A55" s="21" t="s">
        <v>106</v>
      </c>
      <c r="B55" s="19" t="s">
        <v>849</v>
      </c>
      <c r="C55" s="21" t="s">
        <v>867</v>
      </c>
      <c r="D55" s="19" t="s">
        <v>868</v>
      </c>
      <c r="E55" s="45">
        <v>0.9</v>
      </c>
      <c r="F55" s="19" t="s">
        <v>876</v>
      </c>
    </row>
    <row r="56" spans="1:6" ht="28">
      <c r="A56" s="21" t="s">
        <v>106</v>
      </c>
      <c r="B56" s="19" t="s">
        <v>849</v>
      </c>
      <c r="C56" s="21" t="s">
        <v>868</v>
      </c>
      <c r="D56" s="19" t="s">
        <v>869</v>
      </c>
      <c r="E56" s="45">
        <v>0.9</v>
      </c>
      <c r="F56" s="19" t="s">
        <v>876</v>
      </c>
    </row>
    <row r="57" spans="1:6" ht="28">
      <c r="A57" s="21" t="s">
        <v>106</v>
      </c>
      <c r="B57" s="19" t="s">
        <v>849</v>
      </c>
      <c r="C57" s="21" t="s">
        <v>869</v>
      </c>
      <c r="D57" s="19" t="s">
        <v>870</v>
      </c>
      <c r="E57" s="45">
        <v>0.9</v>
      </c>
      <c r="F57" s="19" t="s">
        <v>876</v>
      </c>
    </row>
    <row r="58" spans="1:6" ht="28">
      <c r="A58" s="21" t="s">
        <v>106</v>
      </c>
      <c r="B58" s="19" t="s">
        <v>849</v>
      </c>
      <c r="C58" s="21" t="s">
        <v>870</v>
      </c>
      <c r="D58" s="19" t="s">
        <v>871</v>
      </c>
      <c r="E58" s="45">
        <v>0.92</v>
      </c>
      <c r="F58" s="19" t="s">
        <v>876</v>
      </c>
    </row>
    <row r="59" spans="1:6" ht="28">
      <c r="A59" s="21" t="s">
        <v>106</v>
      </c>
      <c r="B59" s="19" t="s">
        <v>849</v>
      </c>
      <c r="C59" s="21" t="s">
        <v>871</v>
      </c>
      <c r="D59" s="19" t="s">
        <v>872</v>
      </c>
      <c r="E59" s="45">
        <v>0.92</v>
      </c>
      <c r="F59" s="19" t="s">
        <v>876</v>
      </c>
    </row>
    <row r="60" spans="1:6" ht="28">
      <c r="A60" s="21" t="s">
        <v>106</v>
      </c>
      <c r="B60" s="19" t="s">
        <v>849</v>
      </c>
      <c r="C60" s="21" t="s">
        <v>872</v>
      </c>
      <c r="D60" s="19" t="s">
        <v>873</v>
      </c>
      <c r="E60" s="45">
        <v>0.92</v>
      </c>
      <c r="F60" s="19" t="s">
        <v>876</v>
      </c>
    </row>
    <row r="61" spans="1:6" ht="28">
      <c r="A61" s="21" t="s">
        <v>106</v>
      </c>
      <c r="B61" s="19" t="s">
        <v>849</v>
      </c>
      <c r="C61" s="21" t="s">
        <v>873</v>
      </c>
      <c r="D61" s="19" t="s">
        <v>874</v>
      </c>
      <c r="E61" s="45">
        <v>0.92</v>
      </c>
      <c r="F61" s="19" t="s">
        <v>876</v>
      </c>
    </row>
    <row r="62" spans="1:6" ht="28">
      <c r="A62" s="21" t="s">
        <v>106</v>
      </c>
      <c r="B62" s="19" t="s">
        <v>849</v>
      </c>
      <c r="C62" s="21" t="s">
        <v>874</v>
      </c>
      <c r="D62" s="19" t="s">
        <v>875</v>
      </c>
      <c r="E62" s="45">
        <v>0.92</v>
      </c>
      <c r="F62" s="19" t="s">
        <v>876</v>
      </c>
    </row>
    <row r="63" spans="1:6" ht="28">
      <c r="A63" s="21" t="s">
        <v>106</v>
      </c>
      <c r="B63" s="19" t="s">
        <v>849</v>
      </c>
      <c r="C63" s="21" t="s">
        <v>875</v>
      </c>
      <c r="D63" s="19" t="s">
        <v>877</v>
      </c>
      <c r="E63" s="45">
        <v>0.1</v>
      </c>
      <c r="F63" s="19" t="s">
        <v>876</v>
      </c>
    </row>
    <row r="64" spans="1:6" ht="28">
      <c r="A64" s="21" t="s">
        <v>106</v>
      </c>
      <c r="B64" s="19" t="s">
        <v>849</v>
      </c>
      <c r="C64" s="21" t="s">
        <v>877</v>
      </c>
      <c r="D64" s="19" t="s">
        <v>878</v>
      </c>
      <c r="E64" s="45">
        <v>0.8</v>
      </c>
      <c r="F64" s="19" t="s">
        <v>876</v>
      </c>
    </row>
    <row r="65" spans="1:6" ht="28">
      <c r="A65" s="21" t="s">
        <v>106</v>
      </c>
      <c r="B65" s="19" t="s">
        <v>849</v>
      </c>
      <c r="C65" s="21" t="s">
        <v>878</v>
      </c>
      <c r="D65" s="19" t="s">
        <v>879</v>
      </c>
      <c r="E65" s="45">
        <v>0.5</v>
      </c>
      <c r="F65" s="19" t="s">
        <v>876</v>
      </c>
    </row>
    <row r="66" spans="1:6" ht="28">
      <c r="A66" s="21" t="s">
        <v>106</v>
      </c>
      <c r="B66" s="19" t="s">
        <v>849</v>
      </c>
      <c r="C66" s="21" t="s">
        <v>879</v>
      </c>
      <c r="D66" s="19" t="s">
        <v>880</v>
      </c>
      <c r="E66" s="45">
        <v>0.3</v>
      </c>
      <c r="F66" s="19" t="s">
        <v>876</v>
      </c>
    </row>
    <row r="67" spans="1:6" ht="28">
      <c r="A67" s="21" t="s">
        <v>106</v>
      </c>
      <c r="B67" s="19" t="s">
        <v>849</v>
      </c>
      <c r="C67" s="21" t="s">
        <v>880</v>
      </c>
      <c r="D67" s="19" t="s">
        <v>881</v>
      </c>
      <c r="E67" s="45">
        <v>0.1</v>
      </c>
      <c r="F67" s="19" t="s">
        <v>876</v>
      </c>
    </row>
  </sheetData>
  <dataValidations count="2">
    <dataValidation type="list" sqref="A2:A197" xr:uid="{00000000-0002-0000-1400-000000000000}">
      <formula1>"Posgrado,Ejecutivo"</formula1>
    </dataValidation>
    <dataValidation type="list" sqref="B2:B197" xr:uid="{00000000-0002-0000-1400-000001000000}">
      <formula1>"Síncrono,Asíncrono"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7"/>
  <sheetViews>
    <sheetView workbookViewId="0"/>
  </sheetViews>
  <sheetFormatPr baseColWidth="10" defaultColWidth="8.6640625" defaultRowHeight="14"/>
  <cols>
    <col min="1" max="5" width="16" customWidth="1"/>
    <col min="6" max="6" width="9.5" customWidth="1"/>
    <col min="7" max="7" width="60" customWidth="1"/>
  </cols>
  <sheetData>
    <row r="1" spans="1:7" ht="28">
      <c r="A1" s="47" t="s">
        <v>882</v>
      </c>
      <c r="B1" s="47" t="s">
        <v>883</v>
      </c>
      <c r="C1" s="47" t="s">
        <v>37</v>
      </c>
      <c r="D1" s="47" t="s">
        <v>38</v>
      </c>
      <c r="E1" s="47" t="s">
        <v>884</v>
      </c>
      <c r="F1" s="50" t="s">
        <v>885</v>
      </c>
      <c r="G1" s="47" t="s">
        <v>738</v>
      </c>
    </row>
    <row r="2" spans="1:7" ht="28">
      <c r="A2" s="21">
        <v>2029</v>
      </c>
      <c r="B2" s="21" t="s">
        <v>843</v>
      </c>
      <c r="C2" s="19" t="s">
        <v>105</v>
      </c>
      <c r="D2" s="19" t="s">
        <v>844</v>
      </c>
      <c r="E2" s="21" t="s">
        <v>861</v>
      </c>
      <c r="F2" s="19">
        <v>2533</v>
      </c>
      <c r="G2" s="18" t="s">
        <v>886</v>
      </c>
    </row>
    <row r="3" spans="1:7" ht="28">
      <c r="A3" s="21">
        <v>2029</v>
      </c>
      <c r="B3" s="21" t="s">
        <v>843</v>
      </c>
      <c r="C3" s="19" t="s">
        <v>105</v>
      </c>
      <c r="D3" s="19" t="s">
        <v>844</v>
      </c>
      <c r="E3" s="21" t="s">
        <v>863</v>
      </c>
      <c r="F3" s="19">
        <v>1605</v>
      </c>
      <c r="G3" s="18" t="s">
        <v>886</v>
      </c>
    </row>
    <row r="4" spans="1:7" ht="28">
      <c r="A4" s="21">
        <v>2029</v>
      </c>
      <c r="B4" s="21" t="s">
        <v>843</v>
      </c>
      <c r="C4" s="19" t="s">
        <v>105</v>
      </c>
      <c r="D4" s="19" t="s">
        <v>844</v>
      </c>
      <c r="E4" s="21" t="s">
        <v>864</v>
      </c>
      <c r="F4" s="19">
        <v>2052</v>
      </c>
      <c r="G4" s="18" t="s">
        <v>886</v>
      </c>
    </row>
    <row r="5" spans="1:7" ht="28">
      <c r="A5" s="21">
        <v>2029</v>
      </c>
      <c r="B5" s="21" t="s">
        <v>843</v>
      </c>
      <c r="C5" s="19" t="s">
        <v>105</v>
      </c>
      <c r="D5" s="19" t="s">
        <v>844</v>
      </c>
      <c r="E5" s="21" t="s">
        <v>865</v>
      </c>
      <c r="F5" s="19">
        <v>1507</v>
      </c>
      <c r="G5" s="18" t="s">
        <v>886</v>
      </c>
    </row>
    <row r="6" spans="1:7" ht="28">
      <c r="A6" s="21">
        <v>2029</v>
      </c>
      <c r="B6" s="21" t="s">
        <v>843</v>
      </c>
      <c r="C6" s="19" t="s">
        <v>105</v>
      </c>
      <c r="D6" s="19" t="s">
        <v>844</v>
      </c>
      <c r="E6" s="21" t="s">
        <v>866</v>
      </c>
      <c r="F6" s="19">
        <v>1432</v>
      </c>
      <c r="G6" s="18" t="s">
        <v>886</v>
      </c>
    </row>
    <row r="7" spans="1:7" ht="28">
      <c r="A7" s="21">
        <v>2029</v>
      </c>
      <c r="B7" s="21" t="s">
        <v>843</v>
      </c>
      <c r="C7" s="19" t="s">
        <v>105</v>
      </c>
      <c r="D7" s="19" t="s">
        <v>844</v>
      </c>
      <c r="E7" s="21" t="s">
        <v>867</v>
      </c>
      <c r="F7" s="19">
        <v>1599</v>
      </c>
      <c r="G7" s="18" t="s">
        <v>886</v>
      </c>
    </row>
    <row r="8" spans="1:7" ht="28">
      <c r="A8" s="21">
        <v>2029</v>
      </c>
      <c r="B8" s="21" t="s">
        <v>843</v>
      </c>
      <c r="C8" s="19" t="s">
        <v>105</v>
      </c>
      <c r="D8" s="19" t="s">
        <v>844</v>
      </c>
      <c r="E8" s="21" t="s">
        <v>868</v>
      </c>
      <c r="F8" s="19">
        <v>940</v>
      </c>
      <c r="G8" s="18" t="s">
        <v>886</v>
      </c>
    </row>
    <row r="9" spans="1:7" ht="28">
      <c r="A9" s="21">
        <v>2029</v>
      </c>
      <c r="B9" s="21" t="s">
        <v>843</v>
      </c>
      <c r="C9" s="19" t="s">
        <v>105</v>
      </c>
      <c r="D9" s="19" t="s">
        <v>844</v>
      </c>
      <c r="E9" s="21" t="s">
        <v>869</v>
      </c>
      <c r="F9" s="19">
        <v>1112</v>
      </c>
      <c r="G9" s="18" t="s">
        <v>886</v>
      </c>
    </row>
    <row r="10" spans="1:7" ht="28">
      <c r="A10" s="21">
        <v>2029</v>
      </c>
      <c r="B10" s="21" t="s">
        <v>843</v>
      </c>
      <c r="C10" s="19" t="s">
        <v>105</v>
      </c>
      <c r="D10" s="19" t="s">
        <v>844</v>
      </c>
      <c r="E10" s="21" t="s">
        <v>870</v>
      </c>
      <c r="F10" s="19">
        <v>811</v>
      </c>
      <c r="G10" s="18" t="s">
        <v>886</v>
      </c>
    </row>
    <row r="11" spans="1:7" ht="28">
      <c r="A11" s="21">
        <v>2029</v>
      </c>
      <c r="B11" s="21" t="s">
        <v>843</v>
      </c>
      <c r="C11" s="19" t="s">
        <v>105</v>
      </c>
      <c r="D11" s="19" t="s">
        <v>844</v>
      </c>
      <c r="E11" s="21" t="s">
        <v>871</v>
      </c>
      <c r="F11" s="19">
        <v>714</v>
      </c>
      <c r="G11" s="18" t="s">
        <v>886</v>
      </c>
    </row>
    <row r="12" spans="1:7" ht="28">
      <c r="A12" s="21">
        <v>2029</v>
      </c>
      <c r="B12" s="21" t="s">
        <v>843</v>
      </c>
      <c r="C12" s="19" t="s">
        <v>105</v>
      </c>
      <c r="D12" s="19" t="s">
        <v>844</v>
      </c>
      <c r="E12" s="21" t="s">
        <v>872</v>
      </c>
      <c r="F12" s="19">
        <v>169</v>
      </c>
      <c r="G12" s="18" t="s">
        <v>886</v>
      </c>
    </row>
    <row r="13" spans="1:7" ht="28">
      <c r="A13" s="21">
        <v>2029</v>
      </c>
      <c r="B13" s="21" t="s">
        <v>843</v>
      </c>
      <c r="C13" s="19" t="s">
        <v>105</v>
      </c>
      <c r="D13" s="19" t="s">
        <v>844</v>
      </c>
      <c r="E13" s="21" t="s">
        <v>873</v>
      </c>
      <c r="F13" s="19">
        <v>12</v>
      </c>
      <c r="G13" s="18" t="s">
        <v>886</v>
      </c>
    </row>
    <row r="14" spans="1:7" ht="28">
      <c r="A14" s="21">
        <v>2029</v>
      </c>
      <c r="B14" s="21" t="s">
        <v>843</v>
      </c>
      <c r="C14" s="19" t="s">
        <v>105</v>
      </c>
      <c r="D14" s="19" t="s">
        <v>844</v>
      </c>
      <c r="E14" s="21" t="s">
        <v>874</v>
      </c>
      <c r="F14" s="19">
        <v>7</v>
      </c>
      <c r="G14" s="18" t="s">
        <v>886</v>
      </c>
    </row>
    <row r="15" spans="1:7" ht="28">
      <c r="A15" s="21">
        <v>2029</v>
      </c>
      <c r="B15" s="21" t="s">
        <v>843</v>
      </c>
      <c r="C15" s="19" t="s">
        <v>105</v>
      </c>
      <c r="D15" s="19" t="s">
        <v>844</v>
      </c>
      <c r="E15" s="21" t="s">
        <v>875</v>
      </c>
      <c r="F15" s="19">
        <v>2</v>
      </c>
      <c r="G15" s="18" t="s">
        <v>886</v>
      </c>
    </row>
    <row r="16" spans="1:7" ht="28">
      <c r="A16" s="21">
        <v>2029</v>
      </c>
      <c r="B16" s="21" t="s">
        <v>843</v>
      </c>
      <c r="C16" s="19" t="s">
        <v>105</v>
      </c>
      <c r="D16" s="19" t="s">
        <v>849</v>
      </c>
      <c r="E16" s="21" t="s">
        <v>861</v>
      </c>
      <c r="F16" s="19"/>
      <c r="G16" s="18" t="s">
        <v>886</v>
      </c>
    </row>
    <row r="17" spans="1:7" ht="28">
      <c r="A17" s="21">
        <v>2029</v>
      </c>
      <c r="B17" s="21" t="s">
        <v>843</v>
      </c>
      <c r="C17" s="19" t="s">
        <v>105</v>
      </c>
      <c r="D17" s="19" t="s">
        <v>849</v>
      </c>
      <c r="E17" s="21" t="s">
        <v>863</v>
      </c>
      <c r="F17" s="19"/>
      <c r="G17" s="18" t="s">
        <v>886</v>
      </c>
    </row>
    <row r="18" spans="1:7" ht="28">
      <c r="A18" s="21">
        <v>2029</v>
      </c>
      <c r="B18" s="21" t="s">
        <v>843</v>
      </c>
      <c r="C18" s="19" t="s">
        <v>105</v>
      </c>
      <c r="D18" s="19" t="s">
        <v>849</v>
      </c>
      <c r="E18" s="21" t="s">
        <v>864</v>
      </c>
      <c r="F18" s="19"/>
      <c r="G18" s="18" t="s">
        <v>886</v>
      </c>
    </row>
    <row r="19" spans="1:7" ht="28">
      <c r="A19" s="21">
        <v>2029</v>
      </c>
      <c r="B19" s="21" t="s">
        <v>843</v>
      </c>
      <c r="C19" s="19" t="s">
        <v>105</v>
      </c>
      <c r="D19" s="19" t="s">
        <v>849</v>
      </c>
      <c r="E19" s="21" t="s">
        <v>865</v>
      </c>
      <c r="F19" s="19"/>
      <c r="G19" s="18" t="s">
        <v>886</v>
      </c>
    </row>
    <row r="20" spans="1:7" ht="28">
      <c r="A20" s="21">
        <v>2029</v>
      </c>
      <c r="B20" s="21" t="s">
        <v>843</v>
      </c>
      <c r="C20" s="19" t="s">
        <v>105</v>
      </c>
      <c r="D20" s="19" t="s">
        <v>849</v>
      </c>
      <c r="E20" s="21" t="s">
        <v>866</v>
      </c>
      <c r="F20" s="19"/>
      <c r="G20" s="18" t="s">
        <v>886</v>
      </c>
    </row>
    <row r="21" spans="1:7" ht="28">
      <c r="A21" s="21">
        <v>2029</v>
      </c>
      <c r="B21" s="21" t="s">
        <v>843</v>
      </c>
      <c r="C21" s="19" t="s">
        <v>105</v>
      </c>
      <c r="D21" s="19" t="s">
        <v>849</v>
      </c>
      <c r="E21" s="21" t="s">
        <v>867</v>
      </c>
      <c r="F21" s="19"/>
      <c r="G21" s="18" t="s">
        <v>886</v>
      </c>
    </row>
    <row r="22" spans="1:7" ht="28">
      <c r="A22" s="21">
        <v>2029</v>
      </c>
      <c r="B22" s="21" t="s">
        <v>843</v>
      </c>
      <c r="C22" s="19" t="s">
        <v>105</v>
      </c>
      <c r="D22" s="19" t="s">
        <v>849</v>
      </c>
      <c r="E22" s="21" t="s">
        <v>868</v>
      </c>
      <c r="F22" s="19"/>
      <c r="G22" s="18" t="s">
        <v>886</v>
      </c>
    </row>
    <row r="23" spans="1:7" ht="28">
      <c r="A23" s="21">
        <v>2029</v>
      </c>
      <c r="B23" s="21" t="s">
        <v>843</v>
      </c>
      <c r="C23" s="19" t="s">
        <v>105</v>
      </c>
      <c r="D23" s="19" t="s">
        <v>849</v>
      </c>
      <c r="E23" s="21" t="s">
        <v>869</v>
      </c>
      <c r="F23" s="19"/>
      <c r="G23" s="18" t="s">
        <v>886</v>
      </c>
    </row>
    <row r="24" spans="1:7" ht="28">
      <c r="A24" s="21">
        <v>2029</v>
      </c>
      <c r="B24" s="21" t="s">
        <v>843</v>
      </c>
      <c r="C24" s="19" t="s">
        <v>105</v>
      </c>
      <c r="D24" s="19" t="s">
        <v>849</v>
      </c>
      <c r="E24" s="21" t="s">
        <v>870</v>
      </c>
      <c r="F24" s="19"/>
      <c r="G24" s="18" t="s">
        <v>886</v>
      </c>
    </row>
    <row r="25" spans="1:7" ht="28">
      <c r="A25" s="21">
        <v>2029</v>
      </c>
      <c r="B25" s="21" t="s">
        <v>843</v>
      </c>
      <c r="C25" s="19" t="s">
        <v>105</v>
      </c>
      <c r="D25" s="19" t="s">
        <v>849</v>
      </c>
      <c r="E25" s="21" t="s">
        <v>871</v>
      </c>
      <c r="F25" s="19"/>
      <c r="G25" s="18" t="s">
        <v>886</v>
      </c>
    </row>
    <row r="26" spans="1:7" ht="28">
      <c r="A26" s="21">
        <v>2029</v>
      </c>
      <c r="B26" s="21" t="s">
        <v>843</v>
      </c>
      <c r="C26" s="19" t="s">
        <v>105</v>
      </c>
      <c r="D26" s="19" t="s">
        <v>849</v>
      </c>
      <c r="E26" s="21" t="s">
        <v>872</v>
      </c>
      <c r="F26" s="19"/>
      <c r="G26" s="18" t="s">
        <v>886</v>
      </c>
    </row>
    <row r="27" spans="1:7" ht="28">
      <c r="A27" s="21">
        <v>2029</v>
      </c>
      <c r="B27" s="21" t="s">
        <v>843</v>
      </c>
      <c r="C27" s="19" t="s">
        <v>105</v>
      </c>
      <c r="D27" s="19" t="s">
        <v>849</v>
      </c>
      <c r="E27" s="21" t="s">
        <v>873</v>
      </c>
      <c r="F27" s="19"/>
      <c r="G27" s="18" t="s">
        <v>886</v>
      </c>
    </row>
    <row r="28" spans="1:7" ht="28">
      <c r="A28" s="21">
        <v>2029</v>
      </c>
      <c r="B28" s="21" t="s">
        <v>843</v>
      </c>
      <c r="C28" s="19" t="s">
        <v>105</v>
      </c>
      <c r="D28" s="19" t="s">
        <v>849</v>
      </c>
      <c r="E28" s="21" t="s">
        <v>874</v>
      </c>
      <c r="F28" s="19"/>
      <c r="G28" s="18" t="s">
        <v>886</v>
      </c>
    </row>
    <row r="29" spans="1:7" ht="28">
      <c r="A29" s="21">
        <v>2029</v>
      </c>
      <c r="B29" s="21" t="s">
        <v>843</v>
      </c>
      <c r="C29" s="19" t="s">
        <v>105</v>
      </c>
      <c r="D29" s="19" t="s">
        <v>849</v>
      </c>
      <c r="E29" s="21" t="s">
        <v>875</v>
      </c>
      <c r="F29" s="19"/>
      <c r="G29" s="18" t="s">
        <v>886</v>
      </c>
    </row>
    <row r="30" spans="1:7" ht="28">
      <c r="A30" s="21">
        <v>2029</v>
      </c>
      <c r="B30" s="21" t="s">
        <v>843</v>
      </c>
      <c r="C30" s="19" t="s">
        <v>106</v>
      </c>
      <c r="D30" s="19" t="s">
        <v>844</v>
      </c>
      <c r="E30" s="21" t="s">
        <v>861</v>
      </c>
      <c r="F30" s="19">
        <v>1244</v>
      </c>
      <c r="G30" s="18" t="s">
        <v>886</v>
      </c>
    </row>
    <row r="31" spans="1:7" ht="28">
      <c r="A31" s="21">
        <v>2029</v>
      </c>
      <c r="B31" s="21" t="s">
        <v>843</v>
      </c>
      <c r="C31" s="19" t="s">
        <v>106</v>
      </c>
      <c r="D31" s="19" t="s">
        <v>844</v>
      </c>
      <c r="E31" s="21" t="s">
        <v>863</v>
      </c>
      <c r="F31" s="19">
        <v>747</v>
      </c>
      <c r="G31" s="18" t="s">
        <v>886</v>
      </c>
    </row>
    <row r="32" spans="1:7" ht="28">
      <c r="A32" s="21">
        <v>2029</v>
      </c>
      <c r="B32" s="21" t="s">
        <v>843</v>
      </c>
      <c r="C32" s="19" t="s">
        <v>106</v>
      </c>
      <c r="D32" s="19" t="s">
        <v>844</v>
      </c>
      <c r="E32" s="21" t="s">
        <v>864</v>
      </c>
      <c r="F32" s="19">
        <v>840</v>
      </c>
      <c r="G32" s="18" t="s">
        <v>886</v>
      </c>
    </row>
    <row r="33" spans="1:7" ht="28">
      <c r="A33" s="21">
        <v>2029</v>
      </c>
      <c r="B33" s="21" t="s">
        <v>843</v>
      </c>
      <c r="C33" s="19" t="s">
        <v>106</v>
      </c>
      <c r="D33" s="19" t="s">
        <v>844</v>
      </c>
      <c r="E33" s="21" t="s">
        <v>865</v>
      </c>
      <c r="F33" s="19">
        <v>691</v>
      </c>
      <c r="G33" s="18" t="s">
        <v>886</v>
      </c>
    </row>
    <row r="34" spans="1:7" ht="28">
      <c r="A34" s="21">
        <v>2029</v>
      </c>
      <c r="B34" s="21" t="s">
        <v>843</v>
      </c>
      <c r="C34" s="19" t="s">
        <v>106</v>
      </c>
      <c r="D34" s="19" t="s">
        <v>844</v>
      </c>
      <c r="E34" s="21" t="s">
        <v>866</v>
      </c>
      <c r="F34" s="19">
        <v>717</v>
      </c>
      <c r="G34" s="18" t="s">
        <v>886</v>
      </c>
    </row>
    <row r="35" spans="1:7" ht="28">
      <c r="A35" s="21">
        <v>2029</v>
      </c>
      <c r="B35" s="21" t="s">
        <v>843</v>
      </c>
      <c r="C35" s="19" t="s">
        <v>106</v>
      </c>
      <c r="D35" s="19" t="s">
        <v>844</v>
      </c>
      <c r="E35" s="21" t="s">
        <v>867</v>
      </c>
      <c r="F35" s="19">
        <v>715</v>
      </c>
      <c r="G35" s="18" t="s">
        <v>886</v>
      </c>
    </row>
    <row r="36" spans="1:7" ht="28">
      <c r="A36" s="21">
        <v>2029</v>
      </c>
      <c r="B36" s="21" t="s">
        <v>843</v>
      </c>
      <c r="C36" s="19" t="s">
        <v>106</v>
      </c>
      <c r="D36" s="19" t="s">
        <v>844</v>
      </c>
      <c r="E36" s="21" t="s">
        <v>868</v>
      </c>
      <c r="F36" s="19">
        <v>430</v>
      </c>
      <c r="G36" s="18" t="s">
        <v>886</v>
      </c>
    </row>
    <row r="37" spans="1:7" ht="28">
      <c r="A37" s="21">
        <v>2029</v>
      </c>
      <c r="B37" s="21" t="s">
        <v>843</v>
      </c>
      <c r="C37" s="19" t="s">
        <v>106</v>
      </c>
      <c r="D37" s="19" t="s">
        <v>844</v>
      </c>
      <c r="E37" s="21" t="s">
        <v>869</v>
      </c>
      <c r="F37" s="19">
        <v>484</v>
      </c>
      <c r="G37" s="18" t="s">
        <v>886</v>
      </c>
    </row>
    <row r="38" spans="1:7" ht="28">
      <c r="A38" s="21">
        <v>2029</v>
      </c>
      <c r="B38" s="21" t="s">
        <v>843</v>
      </c>
      <c r="C38" s="19" t="s">
        <v>106</v>
      </c>
      <c r="D38" s="19" t="s">
        <v>844</v>
      </c>
      <c r="E38" s="21" t="s">
        <v>870</v>
      </c>
      <c r="F38" s="19">
        <v>392</v>
      </c>
      <c r="G38" s="18" t="s">
        <v>886</v>
      </c>
    </row>
    <row r="39" spans="1:7" ht="28">
      <c r="A39" s="21">
        <v>2029</v>
      </c>
      <c r="B39" s="21" t="s">
        <v>843</v>
      </c>
      <c r="C39" s="19" t="s">
        <v>106</v>
      </c>
      <c r="D39" s="19" t="s">
        <v>844</v>
      </c>
      <c r="E39" s="21" t="s">
        <v>871</v>
      </c>
      <c r="F39" s="19">
        <v>432</v>
      </c>
      <c r="G39" s="18" t="s">
        <v>886</v>
      </c>
    </row>
    <row r="40" spans="1:7" ht="28">
      <c r="A40" s="21">
        <v>2029</v>
      </c>
      <c r="B40" s="21" t="s">
        <v>843</v>
      </c>
      <c r="C40" s="19" t="s">
        <v>106</v>
      </c>
      <c r="D40" s="19" t="s">
        <v>844</v>
      </c>
      <c r="E40" s="21" t="s">
        <v>872</v>
      </c>
      <c r="F40" s="19">
        <v>318</v>
      </c>
      <c r="G40" s="18" t="s">
        <v>886</v>
      </c>
    </row>
    <row r="41" spans="1:7" ht="28">
      <c r="A41" s="21">
        <v>2029</v>
      </c>
      <c r="B41" s="21" t="s">
        <v>843</v>
      </c>
      <c r="C41" s="19" t="s">
        <v>106</v>
      </c>
      <c r="D41" s="19" t="s">
        <v>844</v>
      </c>
      <c r="E41" s="21" t="s">
        <v>873</v>
      </c>
      <c r="F41" s="19">
        <v>225</v>
      </c>
      <c r="G41" s="18" t="s">
        <v>886</v>
      </c>
    </row>
    <row r="42" spans="1:7" ht="28">
      <c r="A42" s="21">
        <v>2029</v>
      </c>
      <c r="B42" s="21" t="s">
        <v>843</v>
      </c>
      <c r="C42" s="19" t="s">
        <v>106</v>
      </c>
      <c r="D42" s="19" t="s">
        <v>844</v>
      </c>
      <c r="E42" s="21" t="s">
        <v>874</v>
      </c>
      <c r="F42" s="19">
        <v>272</v>
      </c>
      <c r="G42" s="18" t="s">
        <v>886</v>
      </c>
    </row>
    <row r="43" spans="1:7" ht="28">
      <c r="A43" s="21">
        <v>2029</v>
      </c>
      <c r="B43" s="21" t="s">
        <v>843</v>
      </c>
      <c r="C43" s="19" t="s">
        <v>106</v>
      </c>
      <c r="D43" s="19" t="s">
        <v>844</v>
      </c>
      <c r="E43" s="21" t="s">
        <v>875</v>
      </c>
      <c r="F43" s="19">
        <v>213</v>
      </c>
      <c r="G43" s="18" t="s">
        <v>886</v>
      </c>
    </row>
    <row r="44" spans="1:7" ht="28">
      <c r="A44" s="21">
        <v>2029</v>
      </c>
      <c r="B44" s="21" t="s">
        <v>843</v>
      </c>
      <c r="C44" s="19" t="s">
        <v>106</v>
      </c>
      <c r="D44" s="19" t="s">
        <v>844</v>
      </c>
      <c r="E44" s="21" t="s">
        <v>877</v>
      </c>
      <c r="F44" s="19">
        <v>215</v>
      </c>
      <c r="G44" s="18" t="s">
        <v>886</v>
      </c>
    </row>
    <row r="45" spans="1:7" ht="28">
      <c r="A45" s="21">
        <v>2029</v>
      </c>
      <c r="B45" s="21" t="s">
        <v>843</v>
      </c>
      <c r="C45" s="19" t="s">
        <v>106</v>
      </c>
      <c r="D45" s="19" t="s">
        <v>844</v>
      </c>
      <c r="E45" s="21" t="s">
        <v>878</v>
      </c>
      <c r="F45" s="19">
        <v>17</v>
      </c>
      <c r="G45" s="18" t="s">
        <v>886</v>
      </c>
    </row>
    <row r="46" spans="1:7" ht="28">
      <c r="A46" s="21">
        <v>2029</v>
      </c>
      <c r="B46" s="21" t="s">
        <v>843</v>
      </c>
      <c r="C46" s="19" t="s">
        <v>106</v>
      </c>
      <c r="D46" s="19" t="s">
        <v>844</v>
      </c>
      <c r="E46" s="21" t="s">
        <v>879</v>
      </c>
      <c r="F46" s="19">
        <v>10</v>
      </c>
      <c r="G46" s="18" t="s">
        <v>886</v>
      </c>
    </row>
    <row r="47" spans="1:7" ht="28">
      <c r="A47" s="21">
        <v>2029</v>
      </c>
      <c r="B47" s="21" t="s">
        <v>843</v>
      </c>
      <c r="C47" s="19" t="s">
        <v>106</v>
      </c>
      <c r="D47" s="19" t="s">
        <v>844</v>
      </c>
      <c r="E47" s="21" t="s">
        <v>880</v>
      </c>
      <c r="F47" s="19">
        <v>8</v>
      </c>
      <c r="G47" s="18" t="s">
        <v>886</v>
      </c>
    </row>
    <row r="48" spans="1:7" ht="28">
      <c r="A48" s="21">
        <v>2029</v>
      </c>
      <c r="B48" s="21" t="s">
        <v>843</v>
      </c>
      <c r="C48" s="19" t="s">
        <v>106</v>
      </c>
      <c r="D48" s="19" t="s">
        <v>844</v>
      </c>
      <c r="E48" s="21" t="s">
        <v>881</v>
      </c>
      <c r="F48" s="19">
        <v>3</v>
      </c>
      <c r="G48" s="18" t="s">
        <v>886</v>
      </c>
    </row>
    <row r="49" spans="1:7" ht="28">
      <c r="A49" s="21">
        <v>2029</v>
      </c>
      <c r="B49" s="21" t="s">
        <v>843</v>
      </c>
      <c r="C49" s="19" t="s">
        <v>106</v>
      </c>
      <c r="D49" s="19" t="s">
        <v>849</v>
      </c>
      <c r="E49" s="21" t="s">
        <v>861</v>
      </c>
      <c r="F49" s="19"/>
      <c r="G49" s="18" t="s">
        <v>886</v>
      </c>
    </row>
    <row r="50" spans="1:7" ht="28">
      <c r="A50" s="21">
        <v>2029</v>
      </c>
      <c r="B50" s="21" t="s">
        <v>843</v>
      </c>
      <c r="C50" s="19" t="s">
        <v>106</v>
      </c>
      <c r="D50" s="19" t="s">
        <v>849</v>
      </c>
      <c r="E50" s="21" t="s">
        <v>863</v>
      </c>
      <c r="F50" s="19"/>
      <c r="G50" s="18" t="s">
        <v>886</v>
      </c>
    </row>
    <row r="51" spans="1:7" ht="28">
      <c r="A51" s="21">
        <v>2029</v>
      </c>
      <c r="B51" s="21" t="s">
        <v>843</v>
      </c>
      <c r="C51" s="19" t="s">
        <v>106</v>
      </c>
      <c r="D51" s="19" t="s">
        <v>849</v>
      </c>
      <c r="E51" s="21" t="s">
        <v>864</v>
      </c>
      <c r="F51" s="19"/>
      <c r="G51" s="18" t="s">
        <v>886</v>
      </c>
    </row>
    <row r="52" spans="1:7" ht="28">
      <c r="A52" s="21">
        <v>2029</v>
      </c>
      <c r="B52" s="21" t="s">
        <v>843</v>
      </c>
      <c r="C52" s="19" t="s">
        <v>106</v>
      </c>
      <c r="D52" s="19" t="s">
        <v>849</v>
      </c>
      <c r="E52" s="21" t="s">
        <v>865</v>
      </c>
      <c r="F52" s="19"/>
      <c r="G52" s="18" t="s">
        <v>886</v>
      </c>
    </row>
    <row r="53" spans="1:7" ht="28">
      <c r="A53" s="21">
        <v>2029</v>
      </c>
      <c r="B53" s="21" t="s">
        <v>843</v>
      </c>
      <c r="C53" s="19" t="s">
        <v>106</v>
      </c>
      <c r="D53" s="19" t="s">
        <v>849</v>
      </c>
      <c r="E53" s="21" t="s">
        <v>866</v>
      </c>
      <c r="F53" s="19"/>
      <c r="G53" s="18" t="s">
        <v>886</v>
      </c>
    </row>
    <row r="54" spans="1:7" ht="28">
      <c r="A54" s="21">
        <v>2029</v>
      </c>
      <c r="B54" s="21" t="s">
        <v>843</v>
      </c>
      <c r="C54" s="19" t="s">
        <v>106</v>
      </c>
      <c r="D54" s="19" t="s">
        <v>849</v>
      </c>
      <c r="E54" s="21" t="s">
        <v>867</v>
      </c>
      <c r="F54" s="19"/>
      <c r="G54" s="18" t="s">
        <v>886</v>
      </c>
    </row>
    <row r="55" spans="1:7" ht="28">
      <c r="A55" s="21">
        <v>2029</v>
      </c>
      <c r="B55" s="21" t="s">
        <v>843</v>
      </c>
      <c r="C55" s="19" t="s">
        <v>106</v>
      </c>
      <c r="D55" s="19" t="s">
        <v>849</v>
      </c>
      <c r="E55" s="21" t="s">
        <v>868</v>
      </c>
      <c r="F55" s="19"/>
      <c r="G55" s="18" t="s">
        <v>886</v>
      </c>
    </row>
    <row r="56" spans="1:7" ht="28">
      <c r="A56" s="21">
        <v>2029</v>
      </c>
      <c r="B56" s="21" t="s">
        <v>843</v>
      </c>
      <c r="C56" s="19" t="s">
        <v>106</v>
      </c>
      <c r="D56" s="19" t="s">
        <v>849</v>
      </c>
      <c r="E56" s="21" t="s">
        <v>869</v>
      </c>
      <c r="F56" s="19"/>
      <c r="G56" s="18" t="s">
        <v>886</v>
      </c>
    </row>
    <row r="57" spans="1:7" ht="28">
      <c r="A57" s="21">
        <v>2029</v>
      </c>
      <c r="B57" s="21" t="s">
        <v>843</v>
      </c>
      <c r="C57" s="19" t="s">
        <v>106</v>
      </c>
      <c r="D57" s="19" t="s">
        <v>849</v>
      </c>
      <c r="E57" s="21" t="s">
        <v>870</v>
      </c>
      <c r="F57" s="19"/>
      <c r="G57" s="18" t="s">
        <v>886</v>
      </c>
    </row>
    <row r="58" spans="1:7" ht="28">
      <c r="A58" s="21">
        <v>2029</v>
      </c>
      <c r="B58" s="21" t="s">
        <v>843</v>
      </c>
      <c r="C58" s="19" t="s">
        <v>106</v>
      </c>
      <c r="D58" s="19" t="s">
        <v>849</v>
      </c>
      <c r="E58" s="21" t="s">
        <v>871</v>
      </c>
      <c r="F58" s="19"/>
      <c r="G58" s="18" t="s">
        <v>886</v>
      </c>
    </row>
    <row r="59" spans="1:7" ht="28">
      <c r="A59" s="21">
        <v>2029</v>
      </c>
      <c r="B59" s="21" t="s">
        <v>843</v>
      </c>
      <c r="C59" s="19" t="s">
        <v>106</v>
      </c>
      <c r="D59" s="19" t="s">
        <v>849</v>
      </c>
      <c r="E59" s="21" t="s">
        <v>872</v>
      </c>
      <c r="F59" s="19"/>
      <c r="G59" s="18" t="s">
        <v>886</v>
      </c>
    </row>
    <row r="60" spans="1:7" ht="28">
      <c r="A60" s="21">
        <v>2029</v>
      </c>
      <c r="B60" s="21" t="s">
        <v>843</v>
      </c>
      <c r="C60" s="19" t="s">
        <v>106</v>
      </c>
      <c r="D60" s="19" t="s">
        <v>849</v>
      </c>
      <c r="E60" s="21" t="s">
        <v>873</v>
      </c>
      <c r="F60" s="19"/>
      <c r="G60" s="18" t="s">
        <v>886</v>
      </c>
    </row>
    <row r="61" spans="1:7" ht="28">
      <c r="A61" s="21">
        <v>2029</v>
      </c>
      <c r="B61" s="21" t="s">
        <v>843</v>
      </c>
      <c r="C61" s="19" t="s">
        <v>106</v>
      </c>
      <c r="D61" s="19" t="s">
        <v>849</v>
      </c>
      <c r="E61" s="21" t="s">
        <v>874</v>
      </c>
      <c r="F61" s="19"/>
      <c r="G61" s="18" t="s">
        <v>886</v>
      </c>
    </row>
    <row r="62" spans="1:7" ht="28">
      <c r="A62" s="21">
        <v>2029</v>
      </c>
      <c r="B62" s="21" t="s">
        <v>843</v>
      </c>
      <c r="C62" s="19" t="s">
        <v>106</v>
      </c>
      <c r="D62" s="19" t="s">
        <v>849</v>
      </c>
      <c r="E62" s="21" t="s">
        <v>875</v>
      </c>
      <c r="F62" s="19"/>
      <c r="G62" s="18" t="s">
        <v>886</v>
      </c>
    </row>
    <row r="63" spans="1:7" ht="28">
      <c r="A63" s="21">
        <v>2029</v>
      </c>
      <c r="B63" s="21" t="s">
        <v>843</v>
      </c>
      <c r="C63" s="19" t="s">
        <v>106</v>
      </c>
      <c r="D63" s="19" t="s">
        <v>849</v>
      </c>
      <c r="E63" s="21" t="s">
        <v>877</v>
      </c>
      <c r="F63" s="19"/>
      <c r="G63" s="18" t="s">
        <v>886</v>
      </c>
    </row>
    <row r="64" spans="1:7" ht="28">
      <c r="A64" s="21">
        <v>2029</v>
      </c>
      <c r="B64" s="21" t="s">
        <v>843</v>
      </c>
      <c r="C64" s="19" t="s">
        <v>106</v>
      </c>
      <c r="D64" s="19" t="s">
        <v>849</v>
      </c>
      <c r="E64" s="21" t="s">
        <v>878</v>
      </c>
      <c r="F64" s="19"/>
      <c r="G64" s="18" t="s">
        <v>886</v>
      </c>
    </row>
    <row r="65" spans="1:7" ht="28">
      <c r="A65" s="21">
        <v>2029</v>
      </c>
      <c r="B65" s="21" t="s">
        <v>843</v>
      </c>
      <c r="C65" s="19" t="s">
        <v>106</v>
      </c>
      <c r="D65" s="19" t="s">
        <v>849</v>
      </c>
      <c r="E65" s="21" t="s">
        <v>879</v>
      </c>
      <c r="F65" s="19"/>
      <c r="G65" s="18" t="s">
        <v>886</v>
      </c>
    </row>
    <row r="66" spans="1:7" ht="28">
      <c r="A66" s="21">
        <v>2029</v>
      </c>
      <c r="B66" s="21" t="s">
        <v>843</v>
      </c>
      <c r="C66" s="19" t="s">
        <v>106</v>
      </c>
      <c r="D66" s="19" t="s">
        <v>849</v>
      </c>
      <c r="E66" s="21" t="s">
        <v>880</v>
      </c>
      <c r="F66" s="19"/>
      <c r="G66" s="18" t="s">
        <v>886</v>
      </c>
    </row>
    <row r="67" spans="1:7" ht="28">
      <c r="A67" s="21">
        <v>2029</v>
      </c>
      <c r="B67" s="21" t="s">
        <v>843</v>
      </c>
      <c r="C67" s="19" t="s">
        <v>106</v>
      </c>
      <c r="D67" s="19" t="s">
        <v>849</v>
      </c>
      <c r="E67" s="21" t="s">
        <v>881</v>
      </c>
      <c r="F67" s="19"/>
      <c r="G67" s="18" t="s">
        <v>886</v>
      </c>
    </row>
  </sheetData>
  <dataValidations count="2">
    <dataValidation type="list" sqref="B2:B201 C2:C200" xr:uid="{00000000-0002-0000-1500-000000000000}">
      <formula1>"Posgrado,Ejecutivo"</formula1>
    </dataValidation>
    <dataValidation type="list" sqref="C2:C201 D2:D200" xr:uid="{00000000-0002-0000-1500-000001000000}">
      <formula1>"Síncrono,Asíncrono"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5"/>
  <sheetViews>
    <sheetView workbookViewId="0">
      <selection sqref="A1:C1"/>
    </sheetView>
  </sheetViews>
  <sheetFormatPr baseColWidth="10" defaultColWidth="8.6640625" defaultRowHeight="14"/>
  <cols>
    <col min="1" max="1" width="33.6640625" customWidth="1"/>
    <col min="2" max="2" width="124.75" customWidth="1"/>
    <col min="3" max="3" width="11.6640625" customWidth="1"/>
    <col min="4" max="4" width="107.75" customWidth="1"/>
  </cols>
  <sheetData>
    <row r="1" spans="1:4" ht="18">
      <c r="A1" s="99" t="s">
        <v>887</v>
      </c>
      <c r="B1" s="99"/>
      <c r="C1" s="99"/>
      <c r="D1" s="48"/>
    </row>
    <row r="2" spans="1:4">
      <c r="A2" s="19" t="s">
        <v>888</v>
      </c>
      <c r="B2" s="19" t="s">
        <v>889</v>
      </c>
      <c r="C2" s="19"/>
      <c r="D2" s="18"/>
    </row>
    <row r="3" spans="1:4" ht="28">
      <c r="A3" s="19" t="s">
        <v>890</v>
      </c>
      <c r="B3" s="19" t="s">
        <v>891</v>
      </c>
      <c r="C3" s="19"/>
      <c r="D3" s="18"/>
    </row>
    <row r="4" spans="1:4">
      <c r="A4" s="46"/>
      <c r="B4" s="46"/>
      <c r="C4" s="46"/>
      <c r="D4" s="18"/>
    </row>
    <row r="5" spans="1:4">
      <c r="A5" s="19" t="s">
        <v>2</v>
      </c>
      <c r="B5" s="19" t="s">
        <v>892</v>
      </c>
      <c r="C5" s="19" t="s">
        <v>893</v>
      </c>
      <c r="D5" s="18" t="s">
        <v>709</v>
      </c>
    </row>
    <row r="6" spans="1:4">
      <c r="A6" s="19" t="s">
        <v>894</v>
      </c>
      <c r="B6" s="19" t="s">
        <v>895</v>
      </c>
      <c r="C6" s="19" t="s">
        <v>7</v>
      </c>
      <c r="D6" s="18" t="s">
        <v>896</v>
      </c>
    </row>
    <row r="7" spans="1:4">
      <c r="A7" s="19" t="s">
        <v>897</v>
      </c>
      <c r="B7" s="19" t="s">
        <v>898</v>
      </c>
      <c r="C7" s="19" t="s">
        <v>7</v>
      </c>
      <c r="D7" s="18" t="s">
        <v>899</v>
      </c>
    </row>
    <row r="8" spans="1:4" ht="28">
      <c r="A8" s="19" t="s">
        <v>900</v>
      </c>
      <c r="B8" s="19" t="s">
        <v>901</v>
      </c>
      <c r="C8" s="19" t="s">
        <v>902</v>
      </c>
      <c r="D8" s="18" t="s">
        <v>903</v>
      </c>
    </row>
    <row r="9" spans="1:4">
      <c r="A9" s="19" t="s">
        <v>904</v>
      </c>
      <c r="B9" s="19" t="s">
        <v>905</v>
      </c>
      <c r="C9" s="19" t="s">
        <v>906</v>
      </c>
      <c r="D9" s="18" t="s">
        <v>907</v>
      </c>
    </row>
    <row r="10" spans="1:4">
      <c r="A10" s="19" t="s">
        <v>908</v>
      </c>
      <c r="B10" s="19" t="s">
        <v>909</v>
      </c>
      <c r="C10" s="19" t="s">
        <v>7</v>
      </c>
      <c r="D10" s="18" t="s">
        <v>910</v>
      </c>
    </row>
    <row r="11" spans="1:4">
      <c r="A11" s="18" t="s">
        <v>911</v>
      </c>
      <c r="B11" s="18" t="s">
        <v>912</v>
      </c>
      <c r="C11" s="18" t="s">
        <v>7</v>
      </c>
      <c r="D11" s="18" t="s">
        <v>913</v>
      </c>
    </row>
    <row r="12" spans="1:4" ht="28">
      <c r="A12" s="18" t="s">
        <v>914</v>
      </c>
      <c r="B12" s="18" t="s">
        <v>915</v>
      </c>
      <c r="C12" s="18" t="s">
        <v>916</v>
      </c>
      <c r="D12" s="18" t="s">
        <v>917</v>
      </c>
    </row>
    <row r="13" spans="1:4">
      <c r="A13" s="18"/>
      <c r="B13" s="18"/>
      <c r="C13" s="18"/>
      <c r="D13" s="18"/>
    </row>
    <row r="14" spans="1:4">
      <c r="A14" s="18" t="s">
        <v>918</v>
      </c>
      <c r="B14" s="18" t="s">
        <v>919</v>
      </c>
      <c r="C14" s="18"/>
      <c r="D14" s="18"/>
    </row>
    <row r="15" spans="1:4">
      <c r="A15" s="18" t="s">
        <v>920</v>
      </c>
      <c r="B15" s="18" t="s">
        <v>921</v>
      </c>
      <c r="C15" s="18"/>
      <c r="D15" s="18"/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"/>
  <sheetViews>
    <sheetView workbookViewId="0"/>
  </sheetViews>
  <sheetFormatPr baseColWidth="10" defaultColWidth="8.6640625" defaultRowHeight="14"/>
  <cols>
    <col min="1" max="1" width="14" customWidth="1"/>
    <col min="2" max="4" width="16" customWidth="1"/>
    <col min="5" max="5" width="12" customWidth="1"/>
    <col min="6" max="6" width="11.9140625" customWidth="1"/>
    <col min="7" max="7" width="12.9140625" customWidth="1"/>
    <col min="8" max="8" width="50" customWidth="1"/>
  </cols>
  <sheetData>
    <row r="1" spans="1:8" ht="28">
      <c r="A1" s="47" t="s">
        <v>882</v>
      </c>
      <c r="B1" s="47" t="s">
        <v>883</v>
      </c>
      <c r="C1" s="47" t="s">
        <v>37</v>
      </c>
      <c r="D1" s="47" t="s">
        <v>38</v>
      </c>
      <c r="E1" s="50" t="s">
        <v>922</v>
      </c>
      <c r="F1" s="50" t="s">
        <v>923</v>
      </c>
      <c r="G1" s="50" t="s">
        <v>924</v>
      </c>
      <c r="H1" s="47" t="s">
        <v>738</v>
      </c>
    </row>
    <row r="2" spans="1:8" ht="28">
      <c r="A2" s="18">
        <v>2026</v>
      </c>
      <c r="B2" s="18" t="s">
        <v>843</v>
      </c>
      <c r="C2" s="18" t="s">
        <v>105</v>
      </c>
      <c r="D2" s="18" t="s">
        <v>844</v>
      </c>
      <c r="E2" s="18"/>
      <c r="F2" s="18"/>
      <c r="G2" s="18"/>
      <c r="H2" s="18" t="s">
        <v>925</v>
      </c>
    </row>
    <row r="3" spans="1:8" ht="28">
      <c r="A3" s="18">
        <v>2026</v>
      </c>
      <c r="B3" s="18" t="s">
        <v>843</v>
      </c>
      <c r="C3" s="18" t="s">
        <v>105</v>
      </c>
      <c r="D3" s="18" t="s">
        <v>849</v>
      </c>
      <c r="E3" s="18"/>
      <c r="F3" s="18"/>
      <c r="G3" s="18"/>
      <c r="H3" s="18" t="s">
        <v>925</v>
      </c>
    </row>
    <row r="4" spans="1:8" ht="28">
      <c r="A4" s="18">
        <v>2026</v>
      </c>
      <c r="B4" s="18" t="s">
        <v>843</v>
      </c>
      <c r="C4" s="18" t="s">
        <v>106</v>
      </c>
      <c r="D4" s="18" t="s">
        <v>844</v>
      </c>
      <c r="E4" s="18"/>
      <c r="F4" s="18"/>
      <c r="G4" s="18"/>
      <c r="H4" s="18" t="s">
        <v>925</v>
      </c>
    </row>
    <row r="5" spans="1:8" ht="28">
      <c r="A5" s="18">
        <v>2026</v>
      </c>
      <c r="B5" s="18" t="s">
        <v>843</v>
      </c>
      <c r="C5" s="18" t="s">
        <v>106</v>
      </c>
      <c r="D5" s="18" t="s">
        <v>849</v>
      </c>
      <c r="E5" s="18"/>
      <c r="F5" s="18"/>
      <c r="G5" s="18"/>
      <c r="H5" s="18" t="s">
        <v>925</v>
      </c>
    </row>
    <row r="6" spans="1:8" ht="28">
      <c r="A6" s="18">
        <v>2027</v>
      </c>
      <c r="B6" s="18" t="s">
        <v>843</v>
      </c>
      <c r="C6" s="18" t="s">
        <v>105</v>
      </c>
      <c r="D6" s="18" t="s">
        <v>844</v>
      </c>
      <c r="E6" s="18"/>
      <c r="F6" s="18"/>
      <c r="G6" s="18"/>
      <c r="H6" s="18" t="s">
        <v>925</v>
      </c>
    </row>
    <row r="7" spans="1:8" ht="28">
      <c r="A7" s="18">
        <v>2027</v>
      </c>
      <c r="B7" s="18" t="s">
        <v>843</v>
      </c>
      <c r="C7" s="18" t="s">
        <v>105</v>
      </c>
      <c r="D7" s="18" t="s">
        <v>849</v>
      </c>
      <c r="E7" s="18"/>
      <c r="F7" s="18"/>
      <c r="G7" s="18"/>
      <c r="H7" s="18" t="s">
        <v>925</v>
      </c>
    </row>
    <row r="8" spans="1:8" ht="28">
      <c r="A8" s="18">
        <v>2027</v>
      </c>
      <c r="B8" s="18" t="s">
        <v>843</v>
      </c>
      <c r="C8" s="18" t="s">
        <v>106</v>
      </c>
      <c r="D8" s="18" t="s">
        <v>844</v>
      </c>
      <c r="E8" s="18"/>
      <c r="F8" s="18"/>
      <c r="G8" s="18"/>
      <c r="H8" s="18" t="s">
        <v>925</v>
      </c>
    </row>
    <row r="9" spans="1:8" ht="28">
      <c r="A9" s="18">
        <v>2027</v>
      </c>
      <c r="B9" s="18" t="s">
        <v>843</v>
      </c>
      <c r="C9" s="18" t="s">
        <v>106</v>
      </c>
      <c r="D9" s="18" t="s">
        <v>849</v>
      </c>
      <c r="E9" s="18"/>
      <c r="F9" s="18"/>
      <c r="G9" s="18"/>
      <c r="H9" s="18" t="s">
        <v>925</v>
      </c>
    </row>
    <row r="10" spans="1:8" ht="28">
      <c r="A10" s="18">
        <v>2028</v>
      </c>
      <c r="B10" s="18" t="s">
        <v>843</v>
      </c>
      <c r="C10" s="18" t="s">
        <v>105</v>
      </c>
      <c r="D10" s="18" t="s">
        <v>844</v>
      </c>
      <c r="E10" s="18"/>
      <c r="F10" s="18"/>
      <c r="G10" s="18"/>
      <c r="H10" s="18" t="s">
        <v>925</v>
      </c>
    </row>
    <row r="11" spans="1:8" ht="28">
      <c r="A11" s="18">
        <v>2028</v>
      </c>
      <c r="B11" s="18" t="s">
        <v>843</v>
      </c>
      <c r="C11" s="18" t="s">
        <v>105</v>
      </c>
      <c r="D11" s="18" t="s">
        <v>849</v>
      </c>
      <c r="E11" s="18">
        <v>80</v>
      </c>
      <c r="F11" s="18">
        <v>0</v>
      </c>
      <c r="G11" s="18"/>
      <c r="H11" s="18" t="s">
        <v>925</v>
      </c>
    </row>
    <row r="12" spans="1:8" ht="28">
      <c r="A12" s="18">
        <v>2028</v>
      </c>
      <c r="B12" s="18" t="s">
        <v>843</v>
      </c>
      <c r="C12" s="18" t="s">
        <v>106</v>
      </c>
      <c r="D12" s="18" t="s">
        <v>844</v>
      </c>
      <c r="E12" s="18"/>
      <c r="F12" s="18"/>
      <c r="G12" s="18"/>
      <c r="H12" s="18" t="s">
        <v>925</v>
      </c>
    </row>
    <row r="13" spans="1:8" ht="28">
      <c r="A13" s="18">
        <v>2028</v>
      </c>
      <c r="B13" s="18" t="s">
        <v>843</v>
      </c>
      <c r="C13" s="18" t="s">
        <v>106</v>
      </c>
      <c r="D13" s="18" t="s">
        <v>849</v>
      </c>
      <c r="E13" s="18">
        <v>36</v>
      </c>
      <c r="F13" s="18">
        <v>0</v>
      </c>
      <c r="G13" s="18"/>
      <c r="H13" s="18" t="s">
        <v>925</v>
      </c>
    </row>
    <row r="14" spans="1:8" ht="28">
      <c r="A14" s="18">
        <v>2029</v>
      </c>
      <c r="B14" s="18" t="s">
        <v>843</v>
      </c>
      <c r="C14" s="18" t="s">
        <v>105</v>
      </c>
      <c r="D14" s="18" t="s">
        <v>844</v>
      </c>
      <c r="E14" s="18"/>
      <c r="F14" s="18"/>
      <c r="G14" s="18"/>
      <c r="H14" s="18" t="s">
        <v>925</v>
      </c>
    </row>
    <row r="15" spans="1:8" ht="28">
      <c r="A15" s="18">
        <v>2029</v>
      </c>
      <c r="B15" s="18" t="s">
        <v>843</v>
      </c>
      <c r="C15" s="18" t="s">
        <v>105</v>
      </c>
      <c r="D15" s="18" t="s">
        <v>849</v>
      </c>
      <c r="E15" s="18">
        <v>226</v>
      </c>
      <c r="F15" s="18">
        <v>301</v>
      </c>
      <c r="G15" s="18"/>
      <c r="H15" s="18" t="s">
        <v>925</v>
      </c>
    </row>
    <row r="16" spans="1:8" ht="28">
      <c r="A16" s="18">
        <v>2029</v>
      </c>
      <c r="B16" s="18" t="s">
        <v>843</v>
      </c>
      <c r="C16" s="18" t="s">
        <v>106</v>
      </c>
      <c r="D16" s="18" t="s">
        <v>844</v>
      </c>
      <c r="E16" s="18"/>
      <c r="F16" s="18"/>
      <c r="G16" s="18"/>
      <c r="H16" s="18" t="s">
        <v>925</v>
      </c>
    </row>
    <row r="17" spans="1:8" ht="28">
      <c r="A17" s="18">
        <v>2029</v>
      </c>
      <c r="B17" s="18" t="s">
        <v>843</v>
      </c>
      <c r="C17" s="18" t="s">
        <v>106</v>
      </c>
      <c r="D17" s="18" t="s">
        <v>849</v>
      </c>
      <c r="E17" s="18">
        <v>49</v>
      </c>
      <c r="F17" s="18">
        <v>134</v>
      </c>
      <c r="G17" s="18"/>
      <c r="H17" s="18" t="s">
        <v>925</v>
      </c>
    </row>
  </sheetData>
  <dataValidations count="2">
    <dataValidation type="list" sqref="C2:C100" xr:uid="{00000000-0002-0000-1700-000000000000}">
      <formula1>"Posgrado,Ejecutivo"</formula1>
    </dataValidation>
    <dataValidation type="list" sqref="D2:D100" xr:uid="{00000000-0002-0000-1700-000001000000}">
      <formula1>"Síncrono,Asíncrono"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1"/>
  <sheetViews>
    <sheetView workbookViewId="0"/>
  </sheetViews>
  <sheetFormatPr baseColWidth="10" defaultColWidth="8.6640625" defaultRowHeight="14"/>
  <cols>
    <col min="1" max="8" width="18" customWidth="1"/>
    <col min="9" max="9" width="48" customWidth="1"/>
  </cols>
  <sheetData>
    <row r="1" spans="1:9" ht="28">
      <c r="A1" s="52" t="s">
        <v>840</v>
      </c>
      <c r="B1" s="52" t="s">
        <v>39</v>
      </c>
      <c r="C1" s="52" t="s">
        <v>841</v>
      </c>
      <c r="D1" s="52" t="s">
        <v>37</v>
      </c>
      <c r="E1" s="52" t="s">
        <v>38</v>
      </c>
      <c r="F1" s="52" t="s">
        <v>926</v>
      </c>
      <c r="G1" s="52" t="s">
        <v>884</v>
      </c>
      <c r="H1" s="52" t="s">
        <v>885</v>
      </c>
      <c r="I1" s="52" t="s">
        <v>738</v>
      </c>
    </row>
    <row r="2" spans="1:9" ht="28">
      <c r="A2" s="18">
        <v>2025</v>
      </c>
      <c r="B2" s="18" t="s">
        <v>845</v>
      </c>
      <c r="C2" s="18">
        <v>2025</v>
      </c>
      <c r="D2" s="18" t="s">
        <v>106</v>
      </c>
      <c r="E2" s="18" t="s">
        <v>844</v>
      </c>
      <c r="F2" s="18" t="s">
        <v>927</v>
      </c>
      <c r="G2" s="18" t="s">
        <v>861</v>
      </c>
      <c r="H2" s="18">
        <v>708</v>
      </c>
      <c r="I2" s="18" t="s">
        <v>928</v>
      </c>
    </row>
    <row r="3" spans="1:9" ht="28">
      <c r="A3" s="18">
        <v>2025</v>
      </c>
      <c r="B3" s="18" t="s">
        <v>846</v>
      </c>
      <c r="C3" s="18">
        <v>2026</v>
      </c>
      <c r="D3" s="18" t="s">
        <v>106</v>
      </c>
      <c r="E3" s="18" t="s">
        <v>844</v>
      </c>
      <c r="F3" s="18" t="s">
        <v>927</v>
      </c>
      <c r="G3" s="18" t="s">
        <v>861</v>
      </c>
      <c r="H3" s="18">
        <v>550</v>
      </c>
      <c r="I3" s="18" t="s">
        <v>929</v>
      </c>
    </row>
    <row r="4" spans="1:9" ht="28">
      <c r="A4" s="18">
        <v>2025</v>
      </c>
      <c r="B4" s="18" t="s">
        <v>846</v>
      </c>
      <c r="C4" s="18">
        <v>2026</v>
      </c>
      <c r="D4" s="18" t="s">
        <v>106</v>
      </c>
      <c r="E4" s="18" t="s">
        <v>844</v>
      </c>
      <c r="F4" s="18" t="s">
        <v>927</v>
      </c>
      <c r="G4" s="18" t="s">
        <v>863</v>
      </c>
      <c r="H4" s="18">
        <v>450</v>
      </c>
      <c r="I4" s="18" t="s">
        <v>930</v>
      </c>
    </row>
    <row r="5" spans="1:9" ht="28">
      <c r="A5" s="18">
        <v>2025</v>
      </c>
      <c r="B5" s="18" t="s">
        <v>847</v>
      </c>
      <c r="C5" s="18">
        <v>2026</v>
      </c>
      <c r="D5" s="18" t="s">
        <v>106</v>
      </c>
      <c r="E5" s="18" t="s">
        <v>844</v>
      </c>
      <c r="F5" s="18" t="s">
        <v>927</v>
      </c>
      <c r="G5" s="18" t="s">
        <v>864</v>
      </c>
      <c r="H5" s="18">
        <v>368</v>
      </c>
      <c r="I5" s="18" t="s">
        <v>931</v>
      </c>
    </row>
    <row r="6" spans="1:9">
      <c r="A6" s="18">
        <v>2025</v>
      </c>
      <c r="B6" s="18" t="s">
        <v>847</v>
      </c>
      <c r="C6" s="18">
        <v>2026</v>
      </c>
      <c r="D6" s="18" t="s">
        <v>106</v>
      </c>
      <c r="E6" s="18" t="s">
        <v>844</v>
      </c>
      <c r="F6" s="18" t="s">
        <v>927</v>
      </c>
      <c r="G6" s="18" t="s">
        <v>863</v>
      </c>
      <c r="H6" s="18">
        <v>325</v>
      </c>
    </row>
    <row r="7" spans="1:9">
      <c r="A7" s="18">
        <v>2025</v>
      </c>
      <c r="B7" s="18" t="s">
        <v>847</v>
      </c>
      <c r="C7" s="18">
        <v>2026</v>
      </c>
      <c r="D7" s="18" t="s">
        <v>106</v>
      </c>
      <c r="E7" s="18" t="s">
        <v>844</v>
      </c>
      <c r="F7" s="18" t="s">
        <v>927</v>
      </c>
      <c r="G7" s="18" t="s">
        <v>861</v>
      </c>
      <c r="H7" s="18">
        <v>793</v>
      </c>
    </row>
    <row r="8" spans="1:9">
      <c r="A8" s="18">
        <v>2025</v>
      </c>
      <c r="B8" s="18" t="s">
        <v>848</v>
      </c>
      <c r="C8" s="18">
        <v>2026</v>
      </c>
      <c r="D8" s="18" t="s">
        <v>106</v>
      </c>
      <c r="E8" s="18" t="s">
        <v>844</v>
      </c>
      <c r="F8" s="18" t="s">
        <v>927</v>
      </c>
      <c r="G8" s="18" t="s">
        <v>865</v>
      </c>
      <c r="H8" s="18">
        <v>2</v>
      </c>
    </row>
    <row r="9" spans="1:9">
      <c r="A9" s="18">
        <v>2025</v>
      </c>
      <c r="B9" s="18" t="s">
        <v>848</v>
      </c>
      <c r="C9" s="18">
        <v>2026</v>
      </c>
      <c r="D9" s="18" t="s">
        <v>106</v>
      </c>
      <c r="E9" s="18" t="s">
        <v>844</v>
      </c>
      <c r="F9" s="18" t="s">
        <v>927</v>
      </c>
      <c r="G9" s="18" t="s">
        <v>864</v>
      </c>
      <c r="H9" s="18">
        <v>301</v>
      </c>
    </row>
    <row r="10" spans="1:9">
      <c r="A10" s="18">
        <v>2025</v>
      </c>
      <c r="B10" s="18" t="s">
        <v>848</v>
      </c>
      <c r="C10" s="18">
        <v>2026</v>
      </c>
      <c r="D10" s="18" t="s">
        <v>106</v>
      </c>
      <c r="E10" s="18" t="s">
        <v>844</v>
      </c>
      <c r="F10" s="18" t="s">
        <v>927</v>
      </c>
      <c r="G10" s="18" t="s">
        <v>863</v>
      </c>
      <c r="H10" s="18">
        <v>766</v>
      </c>
    </row>
    <row r="11" spans="1:9">
      <c r="A11" s="18">
        <v>2025</v>
      </c>
      <c r="B11" s="18" t="s">
        <v>848</v>
      </c>
      <c r="C11" s="18">
        <v>2026</v>
      </c>
      <c r="D11" s="18" t="s">
        <v>106</v>
      </c>
      <c r="E11" s="18" t="s">
        <v>844</v>
      </c>
      <c r="F11" s="18" t="s">
        <v>927</v>
      </c>
      <c r="G11" s="18" t="s">
        <v>861</v>
      </c>
      <c r="H11" s="18">
        <v>420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"/>
  <sheetViews>
    <sheetView workbookViewId="0"/>
  </sheetViews>
  <sheetFormatPr baseColWidth="10" defaultColWidth="8.6640625" defaultRowHeight="14"/>
  <cols>
    <col min="1" max="8" width="18" customWidth="1"/>
    <col min="9" max="9" width="48" customWidth="1"/>
  </cols>
  <sheetData>
    <row r="1" spans="1:9">
      <c r="A1" s="52" t="s">
        <v>840</v>
      </c>
      <c r="B1" s="52" t="s">
        <v>39</v>
      </c>
      <c r="C1" s="52" t="s">
        <v>841</v>
      </c>
      <c r="D1" s="52" t="s">
        <v>37</v>
      </c>
      <c r="E1" s="52" t="s">
        <v>38</v>
      </c>
      <c r="F1" s="52" t="s">
        <v>932</v>
      </c>
      <c r="G1" s="52" t="s">
        <v>933</v>
      </c>
      <c r="H1" s="52" t="s">
        <v>934</v>
      </c>
      <c r="I1" s="52" t="s">
        <v>738</v>
      </c>
    </row>
    <row r="2" spans="1:9" ht="28">
      <c r="A2" s="18">
        <v>2028</v>
      </c>
      <c r="B2" s="18" t="s">
        <v>846</v>
      </c>
      <c r="C2" s="18">
        <v>2029</v>
      </c>
      <c r="D2" s="18" t="s">
        <v>105</v>
      </c>
      <c r="E2" s="18" t="s">
        <v>849</v>
      </c>
      <c r="F2" s="18">
        <v>0</v>
      </c>
      <c r="G2" s="18">
        <v>0</v>
      </c>
      <c r="H2" s="18">
        <v>0</v>
      </c>
      <c r="I2" s="18" t="s">
        <v>935</v>
      </c>
    </row>
    <row r="3" spans="1:9">
      <c r="A3" s="18">
        <v>2028</v>
      </c>
      <c r="B3" s="18" t="s">
        <v>847</v>
      </c>
      <c r="C3" s="18">
        <v>2029</v>
      </c>
      <c r="D3" s="18" t="s">
        <v>105</v>
      </c>
      <c r="E3" s="18" t="s">
        <v>849</v>
      </c>
      <c r="F3" s="18">
        <v>0</v>
      </c>
      <c r="G3" s="18">
        <v>0</v>
      </c>
      <c r="H3" s="18">
        <v>0</v>
      </c>
      <c r="I3" s="18" t="s">
        <v>936</v>
      </c>
    </row>
    <row r="4" spans="1:9" ht="28">
      <c r="A4" s="18">
        <v>2028</v>
      </c>
      <c r="B4" s="18" t="s">
        <v>848</v>
      </c>
      <c r="C4" s="18">
        <v>2029</v>
      </c>
      <c r="D4" s="18" t="s">
        <v>105</v>
      </c>
      <c r="E4" s="18" t="s">
        <v>849</v>
      </c>
      <c r="F4" s="18">
        <v>0</v>
      </c>
      <c r="G4" s="18">
        <v>0</v>
      </c>
      <c r="H4" s="18">
        <v>0</v>
      </c>
      <c r="I4" s="18" t="s">
        <v>937</v>
      </c>
    </row>
    <row r="5" spans="1:9" ht="28">
      <c r="A5" s="18">
        <v>2029</v>
      </c>
      <c r="B5" s="18" t="s">
        <v>843</v>
      </c>
      <c r="C5" s="18">
        <v>2029</v>
      </c>
      <c r="D5" s="18" t="s">
        <v>106</v>
      </c>
      <c r="E5" s="18" t="s">
        <v>844</v>
      </c>
      <c r="F5" s="18">
        <v>0</v>
      </c>
      <c r="G5" s="18">
        <v>0</v>
      </c>
      <c r="H5" s="18">
        <v>0</v>
      </c>
      <c r="I5" s="18" t="s">
        <v>938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/>
  </sheetViews>
  <sheetFormatPr baseColWidth="10" defaultColWidth="8.6640625" defaultRowHeight="14"/>
  <cols>
    <col min="1" max="1" width="28" customWidth="1"/>
    <col min="2" max="2" width="86" customWidth="1"/>
  </cols>
  <sheetData>
    <row r="1" spans="1:2">
      <c r="A1" s="53" t="s">
        <v>939</v>
      </c>
      <c r="B1" s="53" t="s">
        <v>940</v>
      </c>
    </row>
    <row r="2" spans="1:2" ht="28">
      <c r="A2" s="18" t="s">
        <v>941</v>
      </c>
      <c r="B2" s="18" t="s">
        <v>942</v>
      </c>
    </row>
    <row r="3" spans="1:2">
      <c r="A3" s="18" t="s">
        <v>943</v>
      </c>
      <c r="B3" s="18" t="s">
        <v>944</v>
      </c>
    </row>
    <row r="4" spans="1:2" ht="28">
      <c r="A4" s="18" t="s">
        <v>945</v>
      </c>
      <c r="B4" s="18" t="s">
        <v>946</v>
      </c>
    </row>
    <row r="5" spans="1:2" ht="28">
      <c r="A5" s="18" t="s">
        <v>947</v>
      </c>
      <c r="B5" s="18" t="s">
        <v>948</v>
      </c>
    </row>
    <row r="6" spans="1:2" ht="28">
      <c r="A6" s="18" t="s">
        <v>949</v>
      </c>
      <c r="B6" s="18" t="s">
        <v>950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6"/>
  <sheetViews>
    <sheetView workbookViewId="0"/>
  </sheetViews>
  <sheetFormatPr baseColWidth="10" defaultColWidth="8.6640625" defaultRowHeight="14"/>
  <cols>
    <col min="1" max="1" width="28" customWidth="1"/>
    <col min="2" max="2" width="90" customWidth="1"/>
  </cols>
  <sheetData>
    <row r="1" spans="1:2">
      <c r="A1" s="55" t="s">
        <v>951</v>
      </c>
      <c r="B1" s="55" t="s">
        <v>940</v>
      </c>
    </row>
    <row r="2" spans="1:2" ht="28">
      <c r="A2" s="18" t="s">
        <v>952</v>
      </c>
      <c r="B2" s="18" t="s">
        <v>953</v>
      </c>
    </row>
    <row r="3" spans="1:2" ht="28">
      <c r="A3" s="18" t="s">
        <v>947</v>
      </c>
      <c r="B3" s="18" t="s">
        <v>954</v>
      </c>
    </row>
    <row r="4" spans="1:2" ht="28">
      <c r="A4" s="18" t="s">
        <v>955</v>
      </c>
      <c r="B4" s="18" t="s">
        <v>956</v>
      </c>
    </row>
    <row r="5" spans="1:2">
      <c r="A5" s="18" t="s">
        <v>957</v>
      </c>
      <c r="B5" s="18" t="s">
        <v>958</v>
      </c>
    </row>
    <row r="6" spans="1:2" ht="28">
      <c r="A6" s="18" t="s">
        <v>959</v>
      </c>
      <c r="B6" s="18" t="s">
        <v>960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"/>
  <sheetViews>
    <sheetView workbookViewId="0"/>
  </sheetViews>
  <sheetFormatPr baseColWidth="10" defaultColWidth="8.6640625" defaultRowHeight="14"/>
  <cols>
    <col min="1" max="1" width="28" customWidth="1"/>
    <col min="2" max="2" width="90" customWidth="1"/>
  </cols>
  <sheetData>
    <row r="1" spans="1:2">
      <c r="A1" s="56" t="s">
        <v>951</v>
      </c>
      <c r="B1" s="56" t="s">
        <v>940</v>
      </c>
    </row>
    <row r="2" spans="1:2">
      <c r="A2" s="18" t="s">
        <v>961</v>
      </c>
      <c r="B2" s="18" t="s">
        <v>962</v>
      </c>
    </row>
    <row r="3" spans="1:2">
      <c r="A3" s="18" t="s">
        <v>963</v>
      </c>
      <c r="B3" s="18" t="s">
        <v>964</v>
      </c>
    </row>
    <row r="4" spans="1:2">
      <c r="A4" s="18" t="s">
        <v>965</v>
      </c>
      <c r="B4" s="18" t="s">
        <v>966</v>
      </c>
    </row>
    <row r="5" spans="1:2">
      <c r="A5" s="18" t="s">
        <v>967</v>
      </c>
      <c r="B5" s="18" t="s">
        <v>968</v>
      </c>
    </row>
    <row r="6" spans="1:2">
      <c r="A6" s="18" t="s">
        <v>969</v>
      </c>
      <c r="B6" s="18" t="s">
        <v>970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6"/>
  <sheetViews>
    <sheetView workbookViewId="0"/>
  </sheetViews>
  <sheetFormatPr baseColWidth="10" defaultColWidth="8.6640625" defaultRowHeight="14"/>
  <cols>
    <col min="1" max="1" width="30" customWidth="1"/>
    <col min="2" max="2" width="95" customWidth="1"/>
  </cols>
  <sheetData>
    <row r="1" spans="1:2">
      <c r="A1" s="57" t="s">
        <v>951</v>
      </c>
      <c r="B1" s="57" t="s">
        <v>940</v>
      </c>
    </row>
    <row r="2" spans="1:2">
      <c r="A2" s="18" t="s">
        <v>971</v>
      </c>
      <c r="B2" s="18" t="s">
        <v>972</v>
      </c>
    </row>
    <row r="3" spans="1:2" ht="28">
      <c r="A3" s="18" t="s">
        <v>973</v>
      </c>
      <c r="B3" s="18" t="s">
        <v>974</v>
      </c>
    </row>
    <row r="4" spans="1:2" ht="28">
      <c r="A4" s="18" t="s">
        <v>975</v>
      </c>
      <c r="B4" s="18" t="s">
        <v>976</v>
      </c>
    </row>
    <row r="5" spans="1:2">
      <c r="A5" s="18" t="s">
        <v>977</v>
      </c>
      <c r="B5" s="18" t="s">
        <v>978</v>
      </c>
    </row>
    <row r="6" spans="1:2">
      <c r="A6" s="18" t="s">
        <v>979</v>
      </c>
      <c r="B6" s="18" t="s">
        <v>980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7"/>
  <sheetViews>
    <sheetView workbookViewId="0"/>
  </sheetViews>
  <sheetFormatPr baseColWidth="10" defaultColWidth="8.6640625" defaultRowHeight="14"/>
  <cols>
    <col min="1" max="1" width="28" customWidth="1"/>
    <col min="2" max="2" width="95" customWidth="1"/>
  </cols>
  <sheetData>
    <row r="1" spans="1:2">
      <c r="A1" s="58" t="s">
        <v>951</v>
      </c>
      <c r="B1" s="58" t="s">
        <v>940</v>
      </c>
    </row>
    <row r="2" spans="1:2">
      <c r="A2" s="18" t="s">
        <v>981</v>
      </c>
      <c r="B2" s="18" t="s">
        <v>982</v>
      </c>
    </row>
    <row r="3" spans="1:2">
      <c r="A3" s="18" t="s">
        <v>983</v>
      </c>
      <c r="B3" s="18" t="s">
        <v>984</v>
      </c>
    </row>
    <row r="4" spans="1:2">
      <c r="A4" s="18" t="s">
        <v>985</v>
      </c>
      <c r="B4" s="18" t="s">
        <v>986</v>
      </c>
    </row>
    <row r="5" spans="1:2">
      <c r="A5" s="18" t="s">
        <v>987</v>
      </c>
      <c r="B5" s="18" t="s">
        <v>988</v>
      </c>
    </row>
    <row r="6" spans="1:2">
      <c r="A6" s="18" t="s">
        <v>989</v>
      </c>
      <c r="B6" s="18" t="s">
        <v>990</v>
      </c>
    </row>
    <row r="7" spans="1:2">
      <c r="A7" s="18" t="s">
        <v>991</v>
      </c>
      <c r="B7" s="18" t="s">
        <v>992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95" customWidth="1"/>
  </cols>
  <sheetData>
    <row r="1" spans="1:2">
      <c r="A1" s="59" t="s">
        <v>951</v>
      </c>
      <c r="B1" s="59" t="s">
        <v>940</v>
      </c>
    </row>
    <row r="2" spans="1:2" ht="28">
      <c r="A2" s="18" t="s">
        <v>993</v>
      </c>
      <c r="B2" s="18" t="s">
        <v>994</v>
      </c>
    </row>
    <row r="3" spans="1:2">
      <c r="A3" s="18" t="s">
        <v>959</v>
      </c>
      <c r="B3" s="18" t="s">
        <v>995</v>
      </c>
    </row>
    <row r="4" spans="1:2" ht="28">
      <c r="A4" s="18" t="s">
        <v>996</v>
      </c>
      <c r="B4" s="18" t="s">
        <v>997</v>
      </c>
    </row>
    <row r="5" spans="1:2">
      <c r="A5" s="18" t="s">
        <v>998</v>
      </c>
      <c r="B5" s="18" t="s">
        <v>999</v>
      </c>
    </row>
    <row r="6" spans="1:2">
      <c r="A6" s="18" t="s">
        <v>844</v>
      </c>
      <c r="B6" s="18" t="s">
        <v>1000</v>
      </c>
    </row>
    <row r="7" spans="1:2">
      <c r="A7" s="18" t="s">
        <v>849</v>
      </c>
      <c r="B7" s="18" t="s">
        <v>1001</v>
      </c>
    </row>
    <row r="8" spans="1:2">
      <c r="A8" s="18" t="s">
        <v>130</v>
      </c>
      <c r="B8" s="18" t="s">
        <v>1002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6"/>
  <sheetViews>
    <sheetView workbookViewId="0"/>
  </sheetViews>
  <sheetFormatPr baseColWidth="10" defaultColWidth="8.6640625" defaultRowHeight="14"/>
  <cols>
    <col min="1" max="1" width="28" customWidth="1"/>
    <col min="2" max="2" width="95" customWidth="1"/>
  </cols>
  <sheetData>
    <row r="1" spans="1:2">
      <c r="A1" s="60" t="s">
        <v>951</v>
      </c>
      <c r="B1" s="60" t="s">
        <v>940</v>
      </c>
    </row>
    <row r="2" spans="1:2">
      <c r="A2" s="18" t="s">
        <v>1003</v>
      </c>
      <c r="B2" s="18" t="s">
        <v>1004</v>
      </c>
    </row>
    <row r="3" spans="1:2">
      <c r="A3" s="18" t="s">
        <v>993</v>
      </c>
      <c r="B3" s="18" t="s">
        <v>1005</v>
      </c>
    </row>
    <row r="4" spans="1:2">
      <c r="A4" s="18" t="s">
        <v>959</v>
      </c>
      <c r="B4" s="18" t="s">
        <v>1006</v>
      </c>
    </row>
    <row r="5" spans="1:2">
      <c r="A5" s="18" t="s">
        <v>981</v>
      </c>
      <c r="B5" s="18" t="s">
        <v>1007</v>
      </c>
    </row>
    <row r="6" spans="1:2">
      <c r="A6" s="18" t="s">
        <v>1008</v>
      </c>
      <c r="B6" s="18" t="s">
        <v>1009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95" customWidth="1"/>
  </cols>
  <sheetData>
    <row r="1" spans="1:2">
      <c r="A1" s="61" t="s">
        <v>951</v>
      </c>
      <c r="B1" s="61" t="s">
        <v>940</v>
      </c>
    </row>
    <row r="2" spans="1:2">
      <c r="A2" s="18" t="s">
        <v>1010</v>
      </c>
      <c r="B2" s="18" t="s">
        <v>1011</v>
      </c>
    </row>
    <row r="3" spans="1:2">
      <c r="A3" s="18" t="s">
        <v>1012</v>
      </c>
      <c r="B3" s="18" t="s">
        <v>1013</v>
      </c>
    </row>
    <row r="4" spans="1:2">
      <c r="A4" s="18" t="s">
        <v>1014</v>
      </c>
      <c r="B4" s="18" t="s">
        <v>1015</v>
      </c>
    </row>
    <row r="5" spans="1:2">
      <c r="A5" s="18" t="s">
        <v>1016</v>
      </c>
      <c r="B5" s="18" t="s">
        <v>1017</v>
      </c>
    </row>
    <row r="6" spans="1:2">
      <c r="A6" s="18" t="s">
        <v>998</v>
      </c>
      <c r="B6" s="18" t="s">
        <v>1018</v>
      </c>
    </row>
    <row r="7" spans="1:2">
      <c r="A7" s="18" t="s">
        <v>1019</v>
      </c>
      <c r="B7" s="18" t="s">
        <v>1020</v>
      </c>
    </row>
    <row r="8" spans="1:2">
      <c r="A8" s="18" t="s">
        <v>1021</v>
      </c>
      <c r="B8" s="18" t="s">
        <v>1022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8"/>
  <sheetViews>
    <sheetView workbookViewId="0"/>
  </sheetViews>
  <sheetFormatPr baseColWidth="10" defaultColWidth="8.6640625" defaultRowHeight="14"/>
  <cols>
    <col min="1" max="1" width="32" customWidth="1"/>
    <col min="2" max="2" width="95" customWidth="1"/>
  </cols>
  <sheetData>
    <row r="1" spans="1:2">
      <c r="A1" s="62" t="s">
        <v>951</v>
      </c>
      <c r="B1" s="62" t="s">
        <v>940</v>
      </c>
    </row>
    <row r="2" spans="1:2">
      <c r="A2" s="18" t="s">
        <v>1023</v>
      </c>
      <c r="B2" s="18" t="s">
        <v>1024</v>
      </c>
    </row>
    <row r="3" spans="1:2" ht="28">
      <c r="A3" s="18" t="s">
        <v>1025</v>
      </c>
      <c r="B3" s="18" t="s">
        <v>1026</v>
      </c>
    </row>
    <row r="4" spans="1:2">
      <c r="A4" s="18" t="s">
        <v>1027</v>
      </c>
      <c r="B4" s="18" t="s">
        <v>1028</v>
      </c>
    </row>
    <row r="5" spans="1:2">
      <c r="A5" s="18" t="s">
        <v>1029</v>
      </c>
      <c r="B5" s="18" t="s">
        <v>1030</v>
      </c>
    </row>
    <row r="6" spans="1:2">
      <c r="A6" s="18" t="s">
        <v>998</v>
      </c>
      <c r="B6" s="18" t="s">
        <v>1031</v>
      </c>
    </row>
    <row r="7" spans="1:2">
      <c r="A7" s="18" t="s">
        <v>1032</v>
      </c>
      <c r="B7" s="18" t="s">
        <v>1033</v>
      </c>
    </row>
    <row r="8" spans="1:2">
      <c r="A8" s="18" t="s">
        <v>1034</v>
      </c>
      <c r="B8" s="18" t="s">
        <v>1035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7"/>
  <sheetViews>
    <sheetView workbookViewId="0"/>
  </sheetViews>
  <sheetFormatPr baseColWidth="10" defaultColWidth="8.6640625" defaultRowHeight="14"/>
  <cols>
    <col min="1" max="1" width="32" customWidth="1"/>
    <col min="2" max="2" width="95" customWidth="1"/>
  </cols>
  <sheetData>
    <row r="1" spans="1:2">
      <c r="A1" s="63" t="s">
        <v>951</v>
      </c>
      <c r="B1" s="63" t="s">
        <v>940</v>
      </c>
    </row>
    <row r="2" spans="1:2">
      <c r="A2" s="18" t="s">
        <v>1036</v>
      </c>
      <c r="B2" s="18" t="s">
        <v>1037</v>
      </c>
    </row>
    <row r="3" spans="1:2">
      <c r="A3" s="18" t="s">
        <v>1038</v>
      </c>
      <c r="B3" s="18" t="s">
        <v>1039</v>
      </c>
    </row>
    <row r="4" spans="1:2">
      <c r="A4" s="18" t="s">
        <v>1040</v>
      </c>
      <c r="B4" s="18" t="s">
        <v>1041</v>
      </c>
    </row>
    <row r="5" spans="1:2">
      <c r="A5" s="18" t="s">
        <v>1029</v>
      </c>
      <c r="B5" s="18" t="s">
        <v>1042</v>
      </c>
    </row>
    <row r="6" spans="1:2">
      <c r="A6" s="18" t="s">
        <v>1043</v>
      </c>
      <c r="B6" s="18" t="s">
        <v>1044</v>
      </c>
    </row>
    <row r="7" spans="1:2">
      <c r="A7" s="18" t="s">
        <v>1045</v>
      </c>
      <c r="B7" s="18" t="s">
        <v>1046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/>
  </sheetViews>
  <sheetFormatPr baseColWidth="10" defaultColWidth="8.6640625" defaultRowHeight="14"/>
  <cols>
    <col min="1" max="1" width="16" customWidth="1"/>
    <col min="2" max="5" width="24" customWidth="1"/>
    <col min="6" max="6" width="74" customWidth="1"/>
  </cols>
  <sheetData>
    <row r="1" spans="1:6" ht="28">
      <c r="A1" s="86" t="s">
        <v>840</v>
      </c>
      <c r="B1" s="86" t="s">
        <v>791</v>
      </c>
      <c r="C1" s="86" t="s">
        <v>1253</v>
      </c>
      <c r="D1" s="86" t="s">
        <v>795</v>
      </c>
      <c r="E1" s="86" t="s">
        <v>1254</v>
      </c>
      <c r="F1" s="86" t="s">
        <v>738</v>
      </c>
    </row>
    <row r="2" spans="1:6">
      <c r="A2" s="18">
        <v>2027</v>
      </c>
      <c r="B2" s="49" t="s">
        <v>1255</v>
      </c>
      <c r="C2" s="49" t="s">
        <v>792</v>
      </c>
      <c r="D2" s="49" t="s">
        <v>1255</v>
      </c>
      <c r="E2" s="49" t="s">
        <v>792</v>
      </c>
      <c r="F2" s="18" t="s">
        <v>1256</v>
      </c>
    </row>
    <row r="3" spans="1:6">
      <c r="A3" s="18">
        <v>2028</v>
      </c>
      <c r="B3" s="49" t="s">
        <v>1255</v>
      </c>
      <c r="C3" s="49" t="s">
        <v>792</v>
      </c>
      <c r="D3" s="49" t="s">
        <v>1255</v>
      </c>
      <c r="E3" s="49" t="s">
        <v>792</v>
      </c>
      <c r="F3" s="18" t="s">
        <v>1256</v>
      </c>
    </row>
    <row r="4" spans="1:6">
      <c r="A4" s="18">
        <v>2029</v>
      </c>
      <c r="B4" s="49" t="s">
        <v>1255</v>
      </c>
      <c r="C4" s="49" t="s">
        <v>792</v>
      </c>
      <c r="D4" s="49" t="s">
        <v>1255</v>
      </c>
      <c r="E4" s="49" t="s">
        <v>792</v>
      </c>
      <c r="F4" s="18" t="s">
        <v>1256</v>
      </c>
    </row>
    <row r="5" spans="1:6">
      <c r="A5" s="18">
        <v>2030</v>
      </c>
      <c r="B5" s="49" t="s">
        <v>792</v>
      </c>
      <c r="C5" s="49" t="s">
        <v>1255</v>
      </c>
      <c r="D5" s="49" t="s">
        <v>792</v>
      </c>
      <c r="E5" s="49" t="s">
        <v>1255</v>
      </c>
      <c r="F5" s="18" t="s">
        <v>1257</v>
      </c>
    </row>
    <row r="6" spans="1:6">
      <c r="A6" s="18">
        <v>2031</v>
      </c>
      <c r="B6" s="49" t="s">
        <v>792</v>
      </c>
      <c r="C6" s="49" t="s">
        <v>1255</v>
      </c>
      <c r="D6" s="49" t="s">
        <v>792</v>
      </c>
      <c r="E6" s="49" t="s">
        <v>1255</v>
      </c>
      <c r="F6" s="18" t="s">
        <v>1257</v>
      </c>
    </row>
    <row r="7" spans="1:6">
      <c r="A7" s="18">
        <v>2032</v>
      </c>
      <c r="B7" s="49" t="s">
        <v>792</v>
      </c>
      <c r="C7" s="49" t="s">
        <v>1255</v>
      </c>
      <c r="D7" s="49" t="s">
        <v>792</v>
      </c>
      <c r="E7" s="49" t="s">
        <v>1255</v>
      </c>
      <c r="F7" s="18" t="s">
        <v>1257</v>
      </c>
    </row>
    <row r="8" spans="1:6">
      <c r="A8" s="18">
        <v>2033</v>
      </c>
      <c r="B8" s="49" t="s">
        <v>792</v>
      </c>
      <c r="C8" s="49" t="s">
        <v>1255</v>
      </c>
      <c r="D8" s="49" t="s">
        <v>792</v>
      </c>
      <c r="E8" s="49" t="s">
        <v>1255</v>
      </c>
      <c r="F8" s="18" t="s">
        <v>1257</v>
      </c>
    </row>
    <row r="9" spans="1:6">
      <c r="A9" s="18">
        <v>2034</v>
      </c>
      <c r="B9" s="49" t="s">
        <v>792</v>
      </c>
      <c r="C9" s="49" t="s">
        <v>1255</v>
      </c>
      <c r="D9" s="49" t="s">
        <v>792</v>
      </c>
      <c r="E9" s="49" t="s">
        <v>1255</v>
      </c>
      <c r="F9" s="18" t="s">
        <v>1257</v>
      </c>
    </row>
    <row r="10" spans="1:6">
      <c r="A10" s="18">
        <v>2035</v>
      </c>
      <c r="B10" s="49" t="s">
        <v>792</v>
      </c>
      <c r="C10" s="49" t="s">
        <v>1255</v>
      </c>
      <c r="D10" s="49" t="s">
        <v>792</v>
      </c>
      <c r="E10" s="49" t="s">
        <v>1255</v>
      </c>
      <c r="F10" s="18" t="s">
        <v>1257</v>
      </c>
    </row>
    <row r="11" spans="1:6">
      <c r="A11" s="18">
        <v>2036</v>
      </c>
      <c r="B11" s="49" t="s">
        <v>792</v>
      </c>
      <c r="C11" s="49" t="s">
        <v>1255</v>
      </c>
      <c r="D11" s="49" t="s">
        <v>792</v>
      </c>
      <c r="E11" s="49" t="s">
        <v>1255</v>
      </c>
      <c r="F11" s="18" t="s">
        <v>1257</v>
      </c>
    </row>
    <row r="12" spans="1:6">
      <c r="A12" s="18">
        <v>2037</v>
      </c>
      <c r="B12" s="49" t="s">
        <v>792</v>
      </c>
      <c r="C12" s="49" t="s">
        <v>1255</v>
      </c>
      <c r="D12" s="49" t="s">
        <v>792</v>
      </c>
      <c r="E12" s="49" t="s">
        <v>1255</v>
      </c>
      <c r="F12" s="18" t="s">
        <v>1257</v>
      </c>
    </row>
    <row r="13" spans="1:6">
      <c r="A13" s="18">
        <v>2038</v>
      </c>
      <c r="B13" s="49" t="s">
        <v>792</v>
      </c>
      <c r="C13" s="49" t="s">
        <v>1255</v>
      </c>
      <c r="D13" s="49" t="s">
        <v>792</v>
      </c>
      <c r="E13" s="49" t="s">
        <v>1255</v>
      </c>
      <c r="F13" s="18" t="s">
        <v>1257</v>
      </c>
    </row>
    <row r="14" spans="1:6">
      <c r="A14" s="18">
        <v>2039</v>
      </c>
      <c r="B14" s="49" t="s">
        <v>792</v>
      </c>
      <c r="C14" s="49" t="s">
        <v>1255</v>
      </c>
      <c r="D14" s="49" t="s">
        <v>792</v>
      </c>
      <c r="E14" s="49" t="s">
        <v>1255</v>
      </c>
      <c r="F14" s="18" t="s">
        <v>1257</v>
      </c>
    </row>
    <row r="15" spans="1:6">
      <c r="A15" s="18">
        <v>2040</v>
      </c>
      <c r="B15" s="49" t="s">
        <v>792</v>
      </c>
      <c r="C15" s="49" t="s">
        <v>1255</v>
      </c>
      <c r="D15" s="49" t="s">
        <v>792</v>
      </c>
      <c r="E15" s="49" t="s">
        <v>1255</v>
      </c>
      <c r="F15" s="18" t="s">
        <v>1257</v>
      </c>
    </row>
    <row r="16" spans="1:6">
      <c r="A16" s="18">
        <v>2041</v>
      </c>
      <c r="B16" s="49" t="s">
        <v>792</v>
      </c>
      <c r="C16" s="49" t="s">
        <v>1255</v>
      </c>
      <c r="D16" s="49" t="s">
        <v>792</v>
      </c>
      <c r="E16" s="49" t="s">
        <v>1255</v>
      </c>
      <c r="F16" s="18" t="s">
        <v>1257</v>
      </c>
    </row>
    <row r="17" spans="1:6">
      <c r="A17" s="18">
        <v>2042</v>
      </c>
      <c r="B17" s="49" t="s">
        <v>792</v>
      </c>
      <c r="C17" s="49" t="s">
        <v>1255</v>
      </c>
      <c r="D17" s="49" t="s">
        <v>792</v>
      </c>
      <c r="E17" s="49" t="s">
        <v>1255</v>
      </c>
      <c r="F17" s="18" t="s">
        <v>1257</v>
      </c>
    </row>
    <row r="18" spans="1:6">
      <c r="A18" s="18">
        <v>2043</v>
      </c>
      <c r="B18" s="49" t="s">
        <v>792</v>
      </c>
      <c r="C18" s="49" t="s">
        <v>1255</v>
      </c>
      <c r="D18" s="49" t="s">
        <v>792</v>
      </c>
      <c r="E18" s="49" t="s">
        <v>1255</v>
      </c>
      <c r="F18" s="18" t="s">
        <v>1257</v>
      </c>
    </row>
    <row r="19" spans="1:6">
      <c r="A19" s="18">
        <v>2044</v>
      </c>
      <c r="B19" s="49" t="s">
        <v>792</v>
      </c>
      <c r="C19" s="49" t="s">
        <v>1255</v>
      </c>
      <c r="D19" s="49" t="s">
        <v>792</v>
      </c>
      <c r="E19" s="49" t="s">
        <v>1255</v>
      </c>
      <c r="F19" s="18" t="s">
        <v>1257</v>
      </c>
    </row>
    <row r="20" spans="1:6">
      <c r="A20" s="18">
        <v>2045</v>
      </c>
      <c r="B20" s="49" t="s">
        <v>792</v>
      </c>
      <c r="C20" s="49" t="s">
        <v>1255</v>
      </c>
      <c r="D20" s="49" t="s">
        <v>792</v>
      </c>
      <c r="E20" s="49" t="s">
        <v>1255</v>
      </c>
      <c r="F20" s="18" t="s">
        <v>1257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7"/>
  <sheetViews>
    <sheetView workbookViewId="0"/>
  </sheetViews>
  <sheetFormatPr baseColWidth="10" defaultColWidth="8.6640625" defaultRowHeight="14"/>
  <cols>
    <col min="1" max="1" width="32" customWidth="1"/>
    <col min="2" max="2" width="95" customWidth="1"/>
  </cols>
  <sheetData>
    <row r="1" spans="1:2">
      <c r="A1" s="64" t="s">
        <v>951</v>
      </c>
      <c r="B1" s="64" t="s">
        <v>940</v>
      </c>
    </row>
    <row r="2" spans="1:2">
      <c r="A2" s="18" t="s">
        <v>1047</v>
      </c>
      <c r="B2" s="18" t="s">
        <v>1048</v>
      </c>
    </row>
    <row r="3" spans="1:2">
      <c r="A3" s="18" t="s">
        <v>1049</v>
      </c>
      <c r="B3" s="18" t="s">
        <v>1050</v>
      </c>
    </row>
    <row r="4" spans="1:2">
      <c r="A4" s="18" t="s">
        <v>1051</v>
      </c>
      <c r="B4" s="18" t="s">
        <v>1052</v>
      </c>
    </row>
    <row r="5" spans="1:2" ht="28">
      <c r="A5" s="18" t="s">
        <v>1053</v>
      </c>
      <c r="B5" s="18" t="s">
        <v>1054</v>
      </c>
    </row>
    <row r="6" spans="1:2">
      <c r="A6" s="18" t="s">
        <v>1055</v>
      </c>
      <c r="B6" s="18" t="s">
        <v>1056</v>
      </c>
    </row>
    <row r="7" spans="1:2">
      <c r="A7" s="18" t="s">
        <v>1057</v>
      </c>
      <c r="B7" s="18" t="s">
        <v>1058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0"/>
  <sheetViews>
    <sheetView workbookViewId="0"/>
  </sheetViews>
  <sheetFormatPr baseColWidth="10" defaultColWidth="8.6640625" defaultRowHeight="14"/>
  <cols>
    <col min="1" max="1" width="32" customWidth="1"/>
    <col min="2" max="2" width="95" customWidth="1"/>
  </cols>
  <sheetData>
    <row r="1" spans="1:2">
      <c r="A1" s="65" t="s">
        <v>951</v>
      </c>
      <c r="B1" s="65" t="s">
        <v>940</v>
      </c>
    </row>
    <row r="2" spans="1:2">
      <c r="A2" s="18" t="s">
        <v>1059</v>
      </c>
      <c r="B2" s="18" t="s">
        <v>1060</v>
      </c>
    </row>
    <row r="3" spans="1:2">
      <c r="A3" s="18" t="s">
        <v>1061</v>
      </c>
      <c r="B3" s="18" t="s">
        <v>1062</v>
      </c>
    </row>
    <row r="4" spans="1:2">
      <c r="A4" s="18" t="s">
        <v>1063</v>
      </c>
      <c r="B4" s="18" t="s">
        <v>1064</v>
      </c>
    </row>
    <row r="5" spans="1:2">
      <c r="A5" s="18" t="s">
        <v>1065</v>
      </c>
      <c r="B5" s="18" t="s">
        <v>1066</v>
      </c>
    </row>
    <row r="6" spans="1:2">
      <c r="A6" s="18" t="s">
        <v>769</v>
      </c>
      <c r="B6" s="18" t="s">
        <v>1067</v>
      </c>
    </row>
    <row r="7" spans="1:2">
      <c r="A7" s="18" t="s">
        <v>1068</v>
      </c>
      <c r="B7" s="18" t="s">
        <v>1069</v>
      </c>
    </row>
    <row r="8" spans="1:2">
      <c r="A8" s="18" t="s">
        <v>1070</v>
      </c>
      <c r="B8" s="18" t="s">
        <v>1071</v>
      </c>
    </row>
    <row r="9" spans="1:2">
      <c r="A9" s="18" t="s">
        <v>1072</v>
      </c>
      <c r="B9" s="18" t="s">
        <v>1073</v>
      </c>
    </row>
    <row r="10" spans="1:2">
      <c r="A10" s="18" t="s">
        <v>1074</v>
      </c>
      <c r="B10" s="18" t="s">
        <v>1075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9"/>
  <sheetViews>
    <sheetView workbookViewId="0"/>
  </sheetViews>
  <sheetFormatPr baseColWidth="10" defaultColWidth="8.6640625" defaultRowHeight="14"/>
  <cols>
    <col min="1" max="5" width="18" customWidth="1"/>
  </cols>
  <sheetData>
    <row r="1" spans="1:5">
      <c r="A1" s="66" t="s">
        <v>37</v>
      </c>
      <c r="B1" s="66" t="s">
        <v>1076</v>
      </c>
      <c r="C1" s="66" t="s">
        <v>1077</v>
      </c>
      <c r="D1" s="66" t="s">
        <v>1078</v>
      </c>
      <c r="E1" s="66" t="s">
        <v>1079</v>
      </c>
    </row>
    <row r="2" spans="1:5">
      <c r="A2" s="18" t="s">
        <v>105</v>
      </c>
      <c r="B2" s="18">
        <v>2030</v>
      </c>
      <c r="C2" s="18">
        <v>2034</v>
      </c>
      <c r="D2" s="18" t="s">
        <v>1080</v>
      </c>
      <c r="E2" s="49" t="s">
        <v>798</v>
      </c>
    </row>
    <row r="3" spans="1:5">
      <c r="A3" s="18" t="s">
        <v>105</v>
      </c>
      <c r="B3" s="18">
        <v>2035</v>
      </c>
      <c r="C3" s="18">
        <v>2040</v>
      </c>
      <c r="D3" s="18" t="s">
        <v>1081</v>
      </c>
      <c r="E3" s="49" t="s">
        <v>798</v>
      </c>
    </row>
    <row r="4" spans="1:5">
      <c r="A4" s="18" t="s">
        <v>105</v>
      </c>
      <c r="B4" s="18">
        <v>2041</v>
      </c>
      <c r="C4" s="18">
        <v>2043</v>
      </c>
      <c r="D4" s="18" t="s">
        <v>1082</v>
      </c>
      <c r="E4" s="49" t="s">
        <v>798</v>
      </c>
    </row>
    <row r="5" spans="1:5">
      <c r="A5" s="18" t="s">
        <v>105</v>
      </c>
      <c r="B5" s="18">
        <v>2044</v>
      </c>
      <c r="C5" s="18">
        <v>2045</v>
      </c>
      <c r="D5" s="18" t="s">
        <v>1083</v>
      </c>
      <c r="E5" s="49" t="s">
        <v>798</v>
      </c>
    </row>
    <row r="6" spans="1:5">
      <c r="A6" s="18" t="s">
        <v>106</v>
      </c>
      <c r="B6" s="18">
        <v>2030</v>
      </c>
      <c r="C6" s="18">
        <v>2034</v>
      </c>
      <c r="D6" s="18" t="s">
        <v>1080</v>
      </c>
      <c r="E6" s="49" t="s">
        <v>798</v>
      </c>
    </row>
    <row r="7" spans="1:5">
      <c r="A7" s="18" t="s">
        <v>106</v>
      </c>
      <c r="B7" s="18">
        <v>2035</v>
      </c>
      <c r="C7" s="18">
        <v>2040</v>
      </c>
      <c r="D7" s="18" t="s">
        <v>1081</v>
      </c>
      <c r="E7" s="49" t="s">
        <v>798</v>
      </c>
    </row>
    <row r="8" spans="1:5">
      <c r="A8" s="18" t="s">
        <v>106</v>
      </c>
      <c r="B8" s="18">
        <v>2041</v>
      </c>
      <c r="C8" s="18">
        <v>2043</v>
      </c>
      <c r="D8" s="18" t="s">
        <v>1082</v>
      </c>
      <c r="E8" s="49" t="s">
        <v>798</v>
      </c>
    </row>
    <row r="9" spans="1:5">
      <c r="A9" s="18" t="s">
        <v>106</v>
      </c>
      <c r="B9" s="18">
        <v>2044</v>
      </c>
      <c r="C9" s="18">
        <v>2045</v>
      </c>
      <c r="D9" s="18" t="s">
        <v>1083</v>
      </c>
      <c r="E9" s="49" t="s">
        <v>798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"/>
  <sheetViews>
    <sheetView workbookViewId="0"/>
  </sheetViews>
  <sheetFormatPr baseColWidth="10" defaultColWidth="8.6640625" defaultRowHeight="14"/>
  <cols>
    <col min="1" max="4" width="24" customWidth="1"/>
    <col min="5" max="5" width="70" customWidth="1"/>
  </cols>
  <sheetData>
    <row r="1" spans="1:5">
      <c r="A1" s="66" t="s">
        <v>37</v>
      </c>
      <c r="B1" s="67" t="s">
        <v>1084</v>
      </c>
      <c r="C1" s="67" t="s">
        <v>1085</v>
      </c>
      <c r="D1" s="66" t="s">
        <v>1086</v>
      </c>
      <c r="E1" s="66" t="s">
        <v>738</v>
      </c>
    </row>
    <row r="2" spans="1:5">
      <c r="A2" s="18" t="s">
        <v>105</v>
      </c>
      <c r="B2" s="18">
        <v>9800</v>
      </c>
      <c r="C2" s="18">
        <v>5000</v>
      </c>
      <c r="D2" s="18" t="s">
        <v>1087</v>
      </c>
      <c r="E2" s="18" t="s">
        <v>1088</v>
      </c>
    </row>
    <row r="3" spans="1:5">
      <c r="A3" s="18" t="s">
        <v>106</v>
      </c>
      <c r="B3" s="18">
        <v>6100</v>
      </c>
      <c r="C3" s="18">
        <v>1200</v>
      </c>
      <c r="D3" s="18" t="s">
        <v>1087</v>
      </c>
      <c r="E3" s="18" t="s">
        <v>1088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11"/>
  <sheetViews>
    <sheetView workbookViewId="0"/>
  </sheetViews>
  <sheetFormatPr baseColWidth="10" defaultColWidth="8.6640625" defaultRowHeight="14"/>
  <cols>
    <col min="1" max="1" width="32" customWidth="1"/>
    <col min="2" max="2" width="100" customWidth="1"/>
  </cols>
  <sheetData>
    <row r="1" spans="1:2">
      <c r="A1" s="66" t="s">
        <v>951</v>
      </c>
      <c r="B1" s="66" t="s">
        <v>940</v>
      </c>
    </row>
    <row r="2" spans="1:2">
      <c r="A2" s="18" t="s">
        <v>1089</v>
      </c>
      <c r="B2" s="18" t="s">
        <v>1090</v>
      </c>
    </row>
    <row r="3" spans="1:2">
      <c r="A3" s="18" t="s">
        <v>1091</v>
      </c>
      <c r="B3" s="18" t="s">
        <v>1092</v>
      </c>
    </row>
    <row r="4" spans="1:2">
      <c r="A4" s="18" t="s">
        <v>1070</v>
      </c>
      <c r="B4" s="18" t="s">
        <v>1093</v>
      </c>
    </row>
    <row r="5" spans="1:2">
      <c r="A5" s="18" t="s">
        <v>1094</v>
      </c>
      <c r="B5" s="18" t="s">
        <v>1095</v>
      </c>
    </row>
    <row r="6" spans="1:2">
      <c r="A6" s="18" t="s">
        <v>1096</v>
      </c>
      <c r="B6" s="18" t="s">
        <v>1097</v>
      </c>
    </row>
    <row r="7" spans="1:2">
      <c r="A7" s="18" t="s">
        <v>1098</v>
      </c>
      <c r="B7" s="18" t="s">
        <v>1099</v>
      </c>
    </row>
    <row r="8" spans="1:2">
      <c r="A8" s="18" t="s">
        <v>1072</v>
      </c>
      <c r="B8" s="18" t="s">
        <v>1100</v>
      </c>
    </row>
    <row r="9" spans="1:2">
      <c r="A9" s="18" t="s">
        <v>1101</v>
      </c>
      <c r="B9" s="18" t="s">
        <v>1102</v>
      </c>
    </row>
    <row r="10" spans="1:2">
      <c r="A10" s="18" t="s">
        <v>1074</v>
      </c>
      <c r="B10" s="18" t="s">
        <v>1103</v>
      </c>
    </row>
    <row r="11" spans="1:2">
      <c r="A11" s="18" t="s">
        <v>1057</v>
      </c>
      <c r="B11" s="18" t="s">
        <v>1104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3"/>
  <sheetViews>
    <sheetView workbookViewId="0"/>
  </sheetViews>
  <sheetFormatPr baseColWidth="10" defaultColWidth="8.6640625" defaultRowHeight="14"/>
  <cols>
    <col min="1" max="1" width="32" customWidth="1"/>
    <col min="2" max="2" width="95" customWidth="1"/>
  </cols>
  <sheetData>
    <row r="1" spans="1:2">
      <c r="A1" s="68" t="s">
        <v>951</v>
      </c>
      <c r="B1" s="68" t="s">
        <v>940</v>
      </c>
    </row>
    <row r="2" spans="1:2">
      <c r="A2" s="18" t="s">
        <v>1105</v>
      </c>
      <c r="B2" s="18" t="s">
        <v>1106</v>
      </c>
    </row>
    <row r="3" spans="1:2">
      <c r="A3" s="18" t="s">
        <v>1107</v>
      </c>
      <c r="B3" s="18" t="s">
        <v>1108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44"/>
  <sheetViews>
    <sheetView workbookViewId="0">
      <selection activeCell="E10" sqref="E10"/>
    </sheetView>
  </sheetViews>
  <sheetFormatPr baseColWidth="10" defaultColWidth="8.6640625" defaultRowHeight="14"/>
  <cols>
    <col min="1" max="4" width="16" customWidth="1"/>
    <col min="5" max="5" width="14" customWidth="1"/>
    <col min="6" max="6" width="85" customWidth="1"/>
    <col min="8" max="12" width="18" customWidth="1"/>
  </cols>
  <sheetData>
    <row r="1" spans="1:12">
      <c r="A1" s="74" t="s">
        <v>841</v>
      </c>
      <c r="B1" s="74" t="s">
        <v>39</v>
      </c>
      <c r="C1" s="74" t="s">
        <v>37</v>
      </c>
      <c r="D1" s="74" t="s">
        <v>38</v>
      </c>
      <c r="E1" s="74" t="s">
        <v>1109</v>
      </c>
      <c r="F1" s="74" t="s">
        <v>738</v>
      </c>
      <c r="H1" s="72" t="s">
        <v>841</v>
      </c>
      <c r="I1" s="72" t="s">
        <v>39</v>
      </c>
      <c r="J1" s="72" t="s">
        <v>37</v>
      </c>
      <c r="K1" s="72" t="s">
        <v>38</v>
      </c>
      <c r="L1" s="72" t="s">
        <v>1109</v>
      </c>
    </row>
    <row r="2" spans="1:12">
      <c r="A2" s="18">
        <v>2026</v>
      </c>
      <c r="B2" s="18" t="s">
        <v>843</v>
      </c>
      <c r="C2" s="18" t="s">
        <v>105</v>
      </c>
      <c r="D2" s="18" t="s">
        <v>1110</v>
      </c>
      <c r="E2" s="70">
        <v>14561</v>
      </c>
      <c r="F2" s="18" t="s">
        <v>1111</v>
      </c>
      <c r="H2" s="18">
        <v>2027</v>
      </c>
      <c r="I2" s="18" t="s">
        <v>843</v>
      </c>
      <c r="J2" s="18" t="s">
        <v>1110</v>
      </c>
      <c r="K2" s="18" t="s">
        <v>1110</v>
      </c>
      <c r="L2" s="70"/>
    </row>
    <row r="3" spans="1:12">
      <c r="A3" s="18">
        <v>2026</v>
      </c>
      <c r="B3" s="18" t="s">
        <v>843</v>
      </c>
      <c r="C3" s="18" t="s">
        <v>106</v>
      </c>
      <c r="D3" s="18" t="s">
        <v>1110</v>
      </c>
      <c r="E3" s="70">
        <v>10207</v>
      </c>
      <c r="F3" s="18" t="s">
        <v>1112</v>
      </c>
      <c r="H3" s="18">
        <v>2028</v>
      </c>
      <c r="I3" s="18" t="s">
        <v>843</v>
      </c>
      <c r="J3" s="18" t="s">
        <v>1110</v>
      </c>
      <c r="K3" s="18" t="s">
        <v>1110</v>
      </c>
      <c r="L3" s="70"/>
    </row>
    <row r="4" spans="1:12">
      <c r="A4" s="18">
        <v>2027</v>
      </c>
      <c r="B4" s="18" t="s">
        <v>843</v>
      </c>
      <c r="C4" s="18" t="s">
        <v>105</v>
      </c>
      <c r="D4" s="18" t="s">
        <v>1110</v>
      </c>
      <c r="E4" s="70">
        <v>15271</v>
      </c>
      <c r="F4" s="18" t="s">
        <v>1113</v>
      </c>
      <c r="H4" s="18">
        <v>2029</v>
      </c>
      <c r="I4" s="18" t="s">
        <v>843</v>
      </c>
      <c r="J4" s="18" t="s">
        <v>1110</v>
      </c>
      <c r="K4" s="18" t="s">
        <v>1110</v>
      </c>
      <c r="L4" s="70">
        <v>30000</v>
      </c>
    </row>
    <row r="5" spans="1:12" ht="56">
      <c r="A5" s="18">
        <v>2027</v>
      </c>
      <c r="B5" s="18" t="s">
        <v>843</v>
      </c>
      <c r="C5" s="18" t="s">
        <v>106</v>
      </c>
      <c r="D5" s="18" t="s">
        <v>1110</v>
      </c>
      <c r="E5" s="70">
        <v>10729</v>
      </c>
      <c r="F5" s="18" t="s">
        <v>1114</v>
      </c>
      <c r="H5" s="18" t="s">
        <v>1115</v>
      </c>
      <c r="I5" s="18" t="s">
        <v>1116</v>
      </c>
      <c r="J5" s="18"/>
      <c r="K5" s="18"/>
      <c r="L5" s="18"/>
    </row>
    <row r="6" spans="1:12">
      <c r="A6" s="18">
        <v>2028</v>
      </c>
      <c r="B6" s="18" t="s">
        <v>843</v>
      </c>
      <c r="C6" s="18" t="s">
        <v>105</v>
      </c>
      <c r="D6" s="18" t="s">
        <v>1110</v>
      </c>
      <c r="E6" s="70">
        <v>16108</v>
      </c>
      <c r="F6" s="18" t="s">
        <v>1117</v>
      </c>
    </row>
    <row r="7" spans="1:12">
      <c r="A7" s="18">
        <v>2028</v>
      </c>
      <c r="B7" s="18" t="s">
        <v>843</v>
      </c>
      <c r="C7" s="18" t="s">
        <v>106</v>
      </c>
      <c r="D7" s="18" t="s">
        <v>1110</v>
      </c>
      <c r="E7" s="70">
        <v>12095</v>
      </c>
      <c r="F7" s="18" t="s">
        <v>1118</v>
      </c>
    </row>
    <row r="8" spans="1:12">
      <c r="A8" s="18">
        <v>2029</v>
      </c>
      <c r="B8" s="18" t="s">
        <v>843</v>
      </c>
      <c r="C8" s="18" t="s">
        <v>105</v>
      </c>
      <c r="D8" s="18" t="s">
        <v>1110</v>
      </c>
      <c r="E8" s="70">
        <v>17341</v>
      </c>
      <c r="F8" s="18" t="s">
        <v>1119</v>
      </c>
    </row>
    <row r="9" spans="1:12">
      <c r="A9" s="18">
        <v>2029</v>
      </c>
      <c r="B9" s="18" t="s">
        <v>843</v>
      </c>
      <c r="C9" s="18" t="s">
        <v>106</v>
      </c>
      <c r="D9" s="18" t="s">
        <v>1110</v>
      </c>
      <c r="E9" s="70">
        <v>12757</v>
      </c>
      <c r="F9" s="18" t="s">
        <v>1120</v>
      </c>
    </row>
    <row r="10" spans="1:12">
      <c r="A10" s="18">
        <v>2029</v>
      </c>
      <c r="B10" s="18" t="s">
        <v>843</v>
      </c>
      <c r="C10" s="18" t="s">
        <v>1110</v>
      </c>
      <c r="D10" s="18" t="s">
        <v>1110</v>
      </c>
      <c r="E10" s="70">
        <v>30098</v>
      </c>
      <c r="F10" s="18" t="s">
        <v>1121</v>
      </c>
    </row>
    <row r="11" spans="1:12">
      <c r="A11" s="18"/>
      <c r="B11" s="18"/>
      <c r="C11" s="18"/>
      <c r="D11" s="18"/>
      <c r="E11" s="70"/>
      <c r="F11" s="18"/>
    </row>
    <row r="12" spans="1:12">
      <c r="A12" s="18"/>
      <c r="B12" s="18"/>
      <c r="C12" s="18"/>
      <c r="D12" s="18"/>
      <c r="E12" s="70"/>
      <c r="F12" s="18"/>
    </row>
    <row r="13" spans="1:12">
      <c r="A13" s="18"/>
      <c r="B13" s="18"/>
      <c r="C13" s="18"/>
      <c r="D13" s="18"/>
      <c r="E13" s="70"/>
      <c r="F13" s="18"/>
    </row>
    <row r="14" spans="1:12">
      <c r="A14" s="18"/>
      <c r="B14" s="18"/>
      <c r="C14" s="18"/>
      <c r="D14" s="18"/>
      <c r="E14" s="70"/>
      <c r="F14" s="18"/>
    </row>
    <row r="15" spans="1:12">
      <c r="A15" s="18"/>
      <c r="B15" s="18"/>
      <c r="C15" s="18"/>
      <c r="D15" s="18"/>
      <c r="E15" s="70"/>
      <c r="F15" s="18"/>
    </row>
    <row r="16" spans="1:12">
      <c r="A16" s="18"/>
      <c r="B16" s="18"/>
      <c r="C16" s="18"/>
      <c r="D16" s="18"/>
      <c r="E16" s="70"/>
      <c r="F16" s="18"/>
    </row>
    <row r="17" spans="1:6">
      <c r="A17" s="18"/>
      <c r="B17" s="18"/>
      <c r="C17" s="18"/>
      <c r="D17" s="18"/>
      <c r="E17" s="70"/>
      <c r="F17" s="18"/>
    </row>
    <row r="18" spans="1:6">
      <c r="A18" s="18"/>
      <c r="B18" s="18"/>
      <c r="C18" s="18"/>
      <c r="D18" s="18"/>
      <c r="E18" s="70"/>
      <c r="F18" s="18"/>
    </row>
    <row r="19" spans="1:6">
      <c r="A19" s="18"/>
      <c r="B19" s="18"/>
      <c r="C19" s="18"/>
      <c r="D19" s="18"/>
      <c r="E19" s="70"/>
      <c r="F19" s="18"/>
    </row>
    <row r="20" spans="1:6">
      <c r="A20" s="18"/>
      <c r="B20" s="18"/>
      <c r="C20" s="18"/>
      <c r="D20" s="18"/>
      <c r="E20" s="70"/>
      <c r="F20" s="18"/>
    </row>
    <row r="21" spans="1:6">
      <c r="A21" s="18"/>
      <c r="B21" s="18"/>
      <c r="C21" s="18"/>
      <c r="D21" s="18"/>
      <c r="E21" s="70"/>
      <c r="F21" s="18"/>
    </row>
    <row r="22" spans="1:6">
      <c r="A22" s="18"/>
      <c r="B22" s="18"/>
      <c r="C22" s="18"/>
      <c r="D22" s="18"/>
      <c r="E22" s="70"/>
      <c r="F22" s="18"/>
    </row>
    <row r="23" spans="1:6">
      <c r="A23" s="18"/>
      <c r="B23" s="18"/>
      <c r="C23" s="18"/>
      <c r="D23" s="18"/>
      <c r="E23" s="70"/>
      <c r="F23" s="18"/>
    </row>
    <row r="24" spans="1:6">
      <c r="A24" s="18"/>
      <c r="B24" s="18"/>
      <c r="C24" s="18"/>
      <c r="D24" s="18"/>
      <c r="E24" s="70"/>
      <c r="F24" s="18"/>
    </row>
    <row r="25" spans="1:6">
      <c r="A25" s="18"/>
      <c r="B25" s="18"/>
      <c r="C25" s="18"/>
      <c r="D25" s="18"/>
      <c r="E25" s="70"/>
      <c r="F25" s="18"/>
    </row>
    <row r="26" spans="1:6">
      <c r="A26" s="18"/>
      <c r="B26" s="18"/>
      <c r="C26" s="18"/>
      <c r="D26" s="18"/>
      <c r="E26" s="70"/>
      <c r="F26" s="18"/>
    </row>
    <row r="27" spans="1:6">
      <c r="A27" s="18"/>
      <c r="B27" s="18"/>
      <c r="C27" s="18"/>
      <c r="D27" s="18"/>
      <c r="E27" s="70"/>
      <c r="F27" s="18"/>
    </row>
    <row r="28" spans="1:6">
      <c r="A28" s="18"/>
      <c r="B28" s="18"/>
      <c r="C28" s="18"/>
      <c r="D28" s="18"/>
      <c r="E28" s="70"/>
      <c r="F28" s="18"/>
    </row>
    <row r="29" spans="1:6">
      <c r="A29" s="18"/>
      <c r="B29" s="18"/>
      <c r="C29" s="18"/>
      <c r="D29" s="18"/>
      <c r="E29" s="70"/>
      <c r="F29" s="18"/>
    </row>
    <row r="30" spans="1:6">
      <c r="A30" s="18"/>
      <c r="B30" s="18"/>
      <c r="C30" s="18"/>
      <c r="D30" s="18"/>
      <c r="E30" s="70"/>
      <c r="F30" s="18"/>
    </row>
    <row r="31" spans="1:6">
      <c r="A31" s="18"/>
      <c r="B31" s="18"/>
      <c r="C31" s="18"/>
      <c r="D31" s="18"/>
      <c r="E31" s="70"/>
      <c r="F31" s="18"/>
    </row>
    <row r="32" spans="1:6">
      <c r="A32" s="18"/>
      <c r="B32" s="18"/>
      <c r="C32" s="18"/>
      <c r="D32" s="18"/>
      <c r="E32" s="70"/>
      <c r="F32" s="18"/>
    </row>
    <row r="33" spans="1:6">
      <c r="A33" s="18"/>
      <c r="B33" s="18"/>
      <c r="C33" s="18"/>
      <c r="D33" s="18"/>
      <c r="E33" s="70"/>
      <c r="F33" s="18"/>
    </row>
    <row r="34" spans="1:6">
      <c r="A34" s="18"/>
      <c r="B34" s="18"/>
      <c r="C34" s="18"/>
      <c r="D34" s="18"/>
      <c r="E34" s="70"/>
      <c r="F34" s="18"/>
    </row>
    <row r="35" spans="1:6">
      <c r="A35" s="18"/>
      <c r="B35" s="18"/>
      <c r="C35" s="18"/>
      <c r="D35" s="18"/>
      <c r="E35" s="70"/>
      <c r="F35" s="18"/>
    </row>
    <row r="36" spans="1:6">
      <c r="A36" s="18"/>
      <c r="B36" s="18"/>
      <c r="C36" s="18"/>
      <c r="D36" s="18"/>
      <c r="E36" s="70"/>
      <c r="F36" s="18"/>
    </row>
    <row r="37" spans="1:6">
      <c r="A37" s="18"/>
      <c r="B37" s="18"/>
      <c r="C37" s="18"/>
      <c r="D37" s="18"/>
      <c r="E37" s="70"/>
      <c r="F37" s="18"/>
    </row>
    <row r="38" spans="1:6">
      <c r="A38" s="18"/>
      <c r="B38" s="18"/>
      <c r="C38" s="18"/>
      <c r="D38" s="18"/>
      <c r="E38" s="70"/>
      <c r="F38" s="18"/>
    </row>
    <row r="39" spans="1:6">
      <c r="A39" s="18"/>
      <c r="B39" s="18"/>
      <c r="C39" s="18"/>
      <c r="D39" s="18"/>
      <c r="E39" s="70"/>
      <c r="F39" s="18"/>
    </row>
    <row r="40" spans="1:6">
      <c r="A40" s="18"/>
      <c r="B40" s="18"/>
      <c r="C40" s="18"/>
      <c r="D40" s="18"/>
      <c r="E40" s="70"/>
      <c r="F40" s="18"/>
    </row>
    <row r="41" spans="1:6">
      <c r="A41" s="18">
        <v>2029</v>
      </c>
      <c r="B41" s="18" t="s">
        <v>845</v>
      </c>
      <c r="C41" s="18" t="s">
        <v>106</v>
      </c>
      <c r="D41" s="18" t="s">
        <v>1110</v>
      </c>
      <c r="E41" s="70"/>
      <c r="F41" s="18" t="s">
        <v>1122</v>
      </c>
    </row>
    <row r="42" spans="1:6">
      <c r="A42" s="18">
        <v>2027</v>
      </c>
      <c r="B42" s="18" t="s">
        <v>843</v>
      </c>
      <c r="C42" s="18" t="s">
        <v>1110</v>
      </c>
      <c r="D42" s="18" t="s">
        <v>1110</v>
      </c>
      <c r="E42" s="70"/>
      <c r="F42" s="18" t="s">
        <v>1123</v>
      </c>
    </row>
    <row r="43" spans="1:6">
      <c r="A43" s="18">
        <v>2028</v>
      </c>
      <c r="B43" s="18" t="s">
        <v>843</v>
      </c>
      <c r="C43" s="18" t="s">
        <v>1110</v>
      </c>
      <c r="D43" s="18" t="s">
        <v>1110</v>
      </c>
      <c r="E43" s="70"/>
      <c r="F43" s="18" t="s">
        <v>1124</v>
      </c>
    </row>
    <row r="44" spans="1:6">
      <c r="A44" s="18">
        <v>2029</v>
      </c>
      <c r="B44" s="18" t="s">
        <v>843</v>
      </c>
      <c r="C44" s="18" t="s">
        <v>1110</v>
      </c>
      <c r="D44" s="18" t="s">
        <v>1110</v>
      </c>
      <c r="E44" s="70">
        <v>30000</v>
      </c>
      <c r="F44" s="18" t="s">
        <v>1125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100" customWidth="1"/>
  </cols>
  <sheetData>
    <row r="1" spans="1:2">
      <c r="A1" s="69" t="s">
        <v>951</v>
      </c>
      <c r="B1" s="69" t="s">
        <v>940</v>
      </c>
    </row>
    <row r="2" spans="1:2">
      <c r="A2" s="18" t="s">
        <v>1126</v>
      </c>
      <c r="B2" s="18" t="s">
        <v>1127</v>
      </c>
    </row>
    <row r="3" spans="1:2">
      <c r="A3" s="18" t="s">
        <v>1128</v>
      </c>
      <c r="B3" s="18" t="s">
        <v>1129</v>
      </c>
    </row>
    <row r="4" spans="1:2">
      <c r="A4" s="18" t="s">
        <v>1130</v>
      </c>
      <c r="B4" s="18" t="s">
        <v>1131</v>
      </c>
    </row>
    <row r="5" spans="1:2">
      <c r="A5" s="18" t="s">
        <v>1132</v>
      </c>
      <c r="B5" s="18" t="s">
        <v>1133</v>
      </c>
    </row>
    <row r="6" spans="1:2">
      <c r="A6" s="18" t="s">
        <v>1134</v>
      </c>
      <c r="B6" s="18" t="s">
        <v>1135</v>
      </c>
    </row>
    <row r="7" spans="1:2">
      <c r="A7" s="18" t="s">
        <v>1136</v>
      </c>
      <c r="B7" s="18" t="s">
        <v>1137</v>
      </c>
    </row>
    <row r="8" spans="1:2">
      <c r="A8" s="18" t="s">
        <v>1138</v>
      </c>
      <c r="B8" s="18" t="s">
        <v>1139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9"/>
  <sheetViews>
    <sheetView workbookViewId="0"/>
  </sheetViews>
  <sheetFormatPr baseColWidth="10" defaultColWidth="8.6640625" defaultRowHeight="14"/>
  <cols>
    <col min="1" max="1" width="28" customWidth="1"/>
    <col min="2" max="2" width="34" customWidth="1"/>
    <col min="3" max="3" width="90" customWidth="1"/>
  </cols>
  <sheetData>
    <row r="1" spans="1:3">
      <c r="A1" s="71" t="s">
        <v>1140</v>
      </c>
      <c r="B1" s="71" t="s">
        <v>1141</v>
      </c>
      <c r="C1" s="71" t="s">
        <v>709</v>
      </c>
    </row>
    <row r="2" spans="1:3">
      <c r="A2" s="18" t="s">
        <v>1142</v>
      </c>
      <c r="B2" s="18" t="s">
        <v>1143</v>
      </c>
      <c r="C2" s="18" t="s">
        <v>1144</v>
      </c>
    </row>
    <row r="3" spans="1:3">
      <c r="A3" s="18" t="s">
        <v>691</v>
      </c>
      <c r="B3" s="18" t="s">
        <v>1145</v>
      </c>
      <c r="C3" s="18" t="s">
        <v>1146</v>
      </c>
    </row>
    <row r="4" spans="1:3">
      <c r="A4" s="18" t="s">
        <v>1147</v>
      </c>
      <c r="B4" s="18" t="s">
        <v>798</v>
      </c>
      <c r="C4" s="18" t="s">
        <v>1148</v>
      </c>
    </row>
    <row r="5" spans="1:3">
      <c r="A5" s="18" t="s">
        <v>1149</v>
      </c>
      <c r="B5" s="18" t="s">
        <v>798</v>
      </c>
      <c r="C5" s="18" t="s">
        <v>1148</v>
      </c>
    </row>
    <row r="6" spans="1:3">
      <c r="A6" s="18" t="s">
        <v>1150</v>
      </c>
      <c r="B6" s="18" t="s">
        <v>1151</v>
      </c>
      <c r="C6" s="18" t="s">
        <v>1152</v>
      </c>
    </row>
    <row r="7" spans="1:3">
      <c r="A7" s="18" t="s">
        <v>1070</v>
      </c>
      <c r="B7" s="18" t="s">
        <v>826</v>
      </c>
      <c r="C7" s="18" t="s">
        <v>1153</v>
      </c>
    </row>
    <row r="8" spans="1:3">
      <c r="A8" s="18" t="s">
        <v>1154</v>
      </c>
      <c r="B8" s="18" t="s">
        <v>1155</v>
      </c>
      <c r="C8" s="18" t="s">
        <v>1156</v>
      </c>
    </row>
    <row r="9" spans="1:3">
      <c r="A9" s="18" t="s">
        <v>1157</v>
      </c>
      <c r="B9" s="18" t="s">
        <v>911</v>
      </c>
      <c r="C9" s="18" t="s">
        <v>1158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7"/>
  <sheetViews>
    <sheetView workbookViewId="0"/>
  </sheetViews>
  <sheetFormatPr baseColWidth="10" defaultColWidth="8.6640625" defaultRowHeight="14"/>
  <cols>
    <col min="1" max="3" width="28" customWidth="1"/>
    <col min="4" max="4" width="90" customWidth="1"/>
  </cols>
  <sheetData>
    <row r="1" spans="1:4">
      <c r="A1" s="71" t="s">
        <v>1159</v>
      </c>
      <c r="B1" s="71" t="s">
        <v>2</v>
      </c>
      <c r="C1" s="71" t="s">
        <v>1160</v>
      </c>
      <c r="D1" s="71" t="s">
        <v>709</v>
      </c>
    </row>
    <row r="2" spans="1:4">
      <c r="A2" s="18" t="s">
        <v>1157</v>
      </c>
      <c r="B2" s="18" t="s">
        <v>911</v>
      </c>
      <c r="C2" s="18" t="s">
        <v>1161</v>
      </c>
      <c r="D2" s="18" t="s">
        <v>1162</v>
      </c>
    </row>
    <row r="3" spans="1:4">
      <c r="A3" s="18" t="s">
        <v>415</v>
      </c>
      <c r="B3" s="18" t="s">
        <v>911</v>
      </c>
      <c r="C3" s="18" t="s">
        <v>1163</v>
      </c>
      <c r="D3" s="18" t="s">
        <v>1164</v>
      </c>
    </row>
    <row r="4" spans="1:4">
      <c r="A4" s="18" t="s">
        <v>416</v>
      </c>
      <c r="B4" s="18" t="s">
        <v>911</v>
      </c>
      <c r="C4" s="18" t="s">
        <v>1165</v>
      </c>
      <c r="D4" s="18" t="s">
        <v>1166</v>
      </c>
    </row>
    <row r="5" spans="1:4">
      <c r="A5" s="18" t="s">
        <v>1167</v>
      </c>
      <c r="B5" s="18" t="s">
        <v>911</v>
      </c>
      <c r="C5" s="18" t="s">
        <v>1168</v>
      </c>
      <c r="D5" s="18" t="s">
        <v>1169</v>
      </c>
    </row>
    <row r="6" spans="1:4">
      <c r="A6" s="18" t="s">
        <v>1170</v>
      </c>
      <c r="B6" s="18" t="s">
        <v>911</v>
      </c>
      <c r="C6" s="18" t="s">
        <v>1171</v>
      </c>
      <c r="D6" s="18" t="s">
        <v>1172</v>
      </c>
    </row>
    <row r="7" spans="1:4">
      <c r="A7" s="18" t="s">
        <v>1173</v>
      </c>
      <c r="B7" s="18" t="s">
        <v>1174</v>
      </c>
      <c r="C7" s="18" t="s">
        <v>1175</v>
      </c>
      <c r="D7" s="18" t="s">
        <v>1176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100" customWidth="1"/>
  </cols>
  <sheetData>
    <row r="1" spans="1:2">
      <c r="A1" s="71" t="s">
        <v>951</v>
      </c>
      <c r="B1" s="71" t="s">
        <v>940</v>
      </c>
    </row>
    <row r="2" spans="1:2">
      <c r="A2" s="18" t="s">
        <v>1177</v>
      </c>
      <c r="B2" s="18" t="s">
        <v>1178</v>
      </c>
    </row>
    <row r="3" spans="1:2">
      <c r="A3" s="18" t="s">
        <v>1179</v>
      </c>
      <c r="B3" s="18" t="s">
        <v>1180</v>
      </c>
    </row>
    <row r="4" spans="1:2">
      <c r="A4" s="18" t="s">
        <v>1181</v>
      </c>
      <c r="B4" s="18" t="s">
        <v>1182</v>
      </c>
    </row>
    <row r="5" spans="1:2">
      <c r="A5" s="18" t="s">
        <v>1157</v>
      </c>
      <c r="B5" s="18" t="s">
        <v>1183</v>
      </c>
    </row>
    <row r="6" spans="1:2">
      <c r="A6" s="18" t="s">
        <v>1184</v>
      </c>
      <c r="B6" s="18" t="s">
        <v>1185</v>
      </c>
    </row>
    <row r="7" spans="1:2">
      <c r="A7" s="18" t="s">
        <v>1186</v>
      </c>
      <c r="B7" s="18" t="s">
        <v>1187</v>
      </c>
    </row>
    <row r="8" spans="1:2">
      <c r="A8" s="18" t="s">
        <v>1188</v>
      </c>
      <c r="B8" s="18" t="s">
        <v>1189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8"/>
  <sheetViews>
    <sheetView workbookViewId="0"/>
  </sheetViews>
  <sheetFormatPr baseColWidth="10" defaultColWidth="8.6640625" defaultRowHeight="14"/>
  <cols>
    <col min="1" max="1" width="30" customWidth="1"/>
    <col min="2" max="2" width="100" customWidth="1"/>
  </cols>
  <sheetData>
    <row r="1" spans="1:2">
      <c r="A1" s="72" t="s">
        <v>951</v>
      </c>
      <c r="B1" s="72" t="s">
        <v>940</v>
      </c>
    </row>
    <row r="2" spans="1:2">
      <c r="A2" s="18" t="s">
        <v>1190</v>
      </c>
      <c r="B2" s="18" t="s">
        <v>1191</v>
      </c>
    </row>
    <row r="3" spans="1:2">
      <c r="A3" s="18" t="s">
        <v>1192</v>
      </c>
      <c r="B3" s="18" t="s">
        <v>1193</v>
      </c>
    </row>
    <row r="4" spans="1:2">
      <c r="A4" s="18" t="s">
        <v>1186</v>
      </c>
      <c r="B4" s="18" t="s">
        <v>1194</v>
      </c>
    </row>
    <row r="5" spans="1:2">
      <c r="A5" s="18" t="s">
        <v>1195</v>
      </c>
      <c r="B5" s="18" t="s">
        <v>1196</v>
      </c>
    </row>
    <row r="6" spans="1:2">
      <c r="A6" s="18" t="s">
        <v>1197</v>
      </c>
      <c r="B6" s="18" t="s">
        <v>1198</v>
      </c>
    </row>
    <row r="7" spans="1:2">
      <c r="A7" s="18" t="s">
        <v>1199</v>
      </c>
      <c r="B7" s="18" t="s">
        <v>1200</v>
      </c>
    </row>
    <row r="8" spans="1:2">
      <c r="A8" s="18" t="s">
        <v>1201</v>
      </c>
      <c r="B8" s="18" t="s">
        <v>1202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5"/>
  <sheetViews>
    <sheetView workbookViewId="0"/>
  </sheetViews>
  <sheetFormatPr baseColWidth="10" defaultColWidth="8.6640625" defaultRowHeight="14"/>
  <cols>
    <col min="1" max="4" width="16" customWidth="1"/>
    <col min="5" max="5" width="14" customWidth="1"/>
    <col min="6" max="6" width="75" customWidth="1"/>
  </cols>
  <sheetData>
    <row r="1" spans="1:6">
      <c r="A1" s="73" t="s">
        <v>841</v>
      </c>
      <c r="B1" s="73" t="s">
        <v>39</v>
      </c>
      <c r="C1" s="73" t="s">
        <v>37</v>
      </c>
      <c r="D1" s="73" t="s">
        <v>38</v>
      </c>
      <c r="E1" s="73" t="s">
        <v>30</v>
      </c>
      <c r="F1" s="73" t="s">
        <v>738</v>
      </c>
    </row>
    <row r="2" spans="1:6">
      <c r="A2" s="18">
        <v>2026</v>
      </c>
      <c r="B2" s="18" t="s">
        <v>843</v>
      </c>
      <c r="C2" s="18" t="s">
        <v>1110</v>
      </c>
      <c r="D2" s="18" t="s">
        <v>1110</v>
      </c>
      <c r="E2" s="70"/>
      <c r="F2" s="18" t="s">
        <v>1203</v>
      </c>
    </row>
    <row r="3" spans="1:6">
      <c r="A3" s="18">
        <v>2027</v>
      </c>
      <c r="B3" s="18" t="s">
        <v>843</v>
      </c>
      <c r="C3" s="18" t="s">
        <v>1110</v>
      </c>
      <c r="D3" s="18" t="s">
        <v>1110</v>
      </c>
      <c r="E3" s="70"/>
      <c r="F3" s="18" t="s">
        <v>1204</v>
      </c>
    </row>
    <row r="4" spans="1:6">
      <c r="A4" s="18">
        <v>2028</v>
      </c>
      <c r="B4" s="18" t="s">
        <v>843</v>
      </c>
      <c r="C4" s="18" t="s">
        <v>1110</v>
      </c>
      <c r="D4" s="18" t="s">
        <v>1110</v>
      </c>
      <c r="E4" s="70"/>
      <c r="F4" s="18" t="s">
        <v>1205</v>
      </c>
    </row>
    <row r="5" spans="1:6">
      <c r="A5" s="18">
        <v>2029</v>
      </c>
      <c r="B5" s="18" t="s">
        <v>843</v>
      </c>
      <c r="C5" s="18" t="s">
        <v>1110</v>
      </c>
      <c r="D5" s="18" t="s">
        <v>1110</v>
      </c>
      <c r="E5" s="70">
        <v>30000</v>
      </c>
      <c r="F5" s="18" t="s">
        <v>1125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7"/>
  <sheetViews>
    <sheetView workbookViewId="0"/>
  </sheetViews>
  <sheetFormatPr baseColWidth="10" defaultColWidth="8.6640625" defaultRowHeight="14"/>
  <cols>
    <col min="1" max="1" width="30" customWidth="1"/>
    <col min="2" max="2" width="100" customWidth="1"/>
  </cols>
  <sheetData>
    <row r="1" spans="1:2">
      <c r="A1" s="73" t="s">
        <v>951</v>
      </c>
      <c r="B1" s="73" t="s">
        <v>940</v>
      </c>
    </row>
    <row r="2" spans="1:2">
      <c r="A2" s="18" t="s">
        <v>1206</v>
      </c>
      <c r="B2" s="18" t="s">
        <v>1207</v>
      </c>
    </row>
    <row r="3" spans="1:2">
      <c r="A3" s="18" t="s">
        <v>1208</v>
      </c>
      <c r="B3" s="18" t="s">
        <v>1209</v>
      </c>
    </row>
    <row r="4" spans="1:2">
      <c r="A4" s="18" t="s">
        <v>1195</v>
      </c>
      <c r="B4" s="18" t="s">
        <v>1210</v>
      </c>
    </row>
    <row r="5" spans="1:2">
      <c r="A5" s="18" t="s">
        <v>1211</v>
      </c>
      <c r="B5" s="18" t="s">
        <v>1212</v>
      </c>
    </row>
    <row r="6" spans="1:2">
      <c r="A6" s="18" t="s">
        <v>1213</v>
      </c>
      <c r="B6" s="18" t="s">
        <v>1214</v>
      </c>
    </row>
    <row r="7" spans="1:2">
      <c r="A7" s="18" t="s">
        <v>1201</v>
      </c>
      <c r="B7" s="18" t="s">
        <v>1202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2"/>
  <sheetViews>
    <sheetView workbookViewId="0"/>
  </sheetViews>
  <sheetFormatPr baseColWidth="10" defaultColWidth="8.6640625" defaultRowHeight="14"/>
  <cols>
    <col min="1" max="4" width="20" customWidth="1"/>
    <col min="5" max="5" width="82" customWidth="1"/>
  </cols>
  <sheetData>
    <row r="1" spans="1:5">
      <c r="A1" s="77" t="s">
        <v>98</v>
      </c>
      <c r="B1" s="77" t="s">
        <v>842</v>
      </c>
      <c r="C1" s="77" t="s">
        <v>1258</v>
      </c>
      <c r="D1" s="77" t="s">
        <v>30</v>
      </c>
      <c r="E1" s="77" t="s">
        <v>738</v>
      </c>
    </row>
    <row r="2" spans="1:5">
      <c r="A2" s="18">
        <v>2026</v>
      </c>
      <c r="B2" s="70">
        <v>0</v>
      </c>
      <c r="C2" s="70">
        <f t="shared" ref="C2:C12" si="0">MAX(0,D2-(B2/5))</f>
        <v>0</v>
      </c>
      <c r="D2" s="70">
        <v>0</v>
      </c>
      <c r="E2" s="18" t="s">
        <v>1215</v>
      </c>
    </row>
    <row r="3" spans="1:5">
      <c r="A3" s="18">
        <v>2027</v>
      </c>
      <c r="B3" s="70">
        <v>307</v>
      </c>
      <c r="C3" s="70">
        <f t="shared" si="0"/>
        <v>193.57600000000002</v>
      </c>
      <c r="D3" s="70">
        <v>254.97600000000003</v>
      </c>
      <c r="E3" s="18" t="s">
        <v>1216</v>
      </c>
    </row>
    <row r="4" spans="1:5">
      <c r="A4" s="18">
        <v>2028</v>
      </c>
      <c r="B4" s="70">
        <v>1162</v>
      </c>
      <c r="C4" s="70">
        <f t="shared" si="0"/>
        <v>949.58655999999985</v>
      </c>
      <c r="D4" s="70">
        <v>1181.9865599999998</v>
      </c>
      <c r="E4" s="18" t="s">
        <v>1217</v>
      </c>
    </row>
    <row r="5" spans="1:5">
      <c r="A5" s="18">
        <v>2029</v>
      </c>
      <c r="B5" s="70">
        <v>1854</v>
      </c>
      <c r="C5" s="70">
        <f t="shared" si="0"/>
        <v>2159.1126144999998</v>
      </c>
      <c r="D5" s="70">
        <v>2529.9126145</v>
      </c>
      <c r="E5" s="18" t="s">
        <v>1218</v>
      </c>
    </row>
    <row r="6" spans="1:5">
      <c r="A6" s="18">
        <v>2030</v>
      </c>
      <c r="B6" s="70">
        <v>1989</v>
      </c>
      <c r="C6" s="70">
        <f t="shared" si="0"/>
        <v>3424.6650744999997</v>
      </c>
      <c r="D6" s="70">
        <v>3822.4650744999999</v>
      </c>
      <c r="E6" s="18" t="s">
        <v>1219</v>
      </c>
    </row>
    <row r="7" spans="1:5">
      <c r="A7" s="18">
        <v>2031</v>
      </c>
      <c r="B7" s="70">
        <v>2349</v>
      </c>
      <c r="C7" s="70">
        <f t="shared" si="0"/>
        <v>4864.9430769999999</v>
      </c>
      <c r="D7" s="70">
        <v>5334.7430770000001</v>
      </c>
      <c r="E7" s="18" t="s">
        <v>1220</v>
      </c>
    </row>
    <row r="8" spans="1:5">
      <c r="A8" s="18">
        <v>2032</v>
      </c>
      <c r="B8" s="70">
        <v>3667</v>
      </c>
      <c r="C8" s="70">
        <f t="shared" si="0"/>
        <v>6969.5933890000015</v>
      </c>
      <c r="D8" s="70">
        <v>7702.9933890000011</v>
      </c>
      <c r="E8" s="18" t="s">
        <v>1221</v>
      </c>
    </row>
    <row r="9" spans="1:5">
      <c r="A9" s="18">
        <v>2033</v>
      </c>
      <c r="B9" s="70">
        <v>3845</v>
      </c>
      <c r="C9" s="70">
        <f t="shared" si="0"/>
        <v>8847.848215</v>
      </c>
      <c r="D9" s="70">
        <v>9616.848215</v>
      </c>
      <c r="E9" s="18" t="s">
        <v>1222</v>
      </c>
    </row>
    <row r="10" spans="1:5">
      <c r="A10" s="18">
        <v>2034</v>
      </c>
      <c r="B10" s="70">
        <v>4543</v>
      </c>
      <c r="C10" s="70">
        <f t="shared" si="0"/>
        <v>10903.391531499999</v>
      </c>
      <c r="D10" s="70">
        <v>11811.9915315</v>
      </c>
      <c r="E10" s="18" t="s">
        <v>1223</v>
      </c>
    </row>
    <row r="11" spans="1:5">
      <c r="A11" s="18">
        <v>2035</v>
      </c>
      <c r="B11" s="70">
        <v>4543</v>
      </c>
      <c r="C11" s="70">
        <f t="shared" si="0"/>
        <v>12902.501949</v>
      </c>
      <c r="D11" s="70">
        <v>13811.101949</v>
      </c>
      <c r="E11" s="18" t="s">
        <v>1224</v>
      </c>
    </row>
    <row r="12" spans="1:5">
      <c r="A12" s="18">
        <v>2036</v>
      </c>
      <c r="B12" s="70">
        <v>4543</v>
      </c>
      <c r="C12" s="70">
        <f t="shared" si="0"/>
        <v>15562.886228000001</v>
      </c>
      <c r="D12" s="70">
        <v>16471.486228000002</v>
      </c>
      <c r="E12" s="18" t="s">
        <v>1225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0"/>
  <sheetViews>
    <sheetView workbookViewId="0"/>
  </sheetViews>
  <sheetFormatPr baseColWidth="10" defaultColWidth="8.6640625" defaultRowHeight="14"/>
  <cols>
    <col min="1" max="1" width="12" customWidth="1"/>
    <col min="2" max="4" width="18" customWidth="1"/>
    <col min="5" max="5" width="75" customWidth="1"/>
  </cols>
  <sheetData>
    <row r="1" spans="1:5">
      <c r="A1" s="74" t="s">
        <v>98</v>
      </c>
      <c r="B1" s="74" t="s">
        <v>1226</v>
      </c>
      <c r="C1" s="74" t="s">
        <v>1227</v>
      </c>
      <c r="D1" s="74" t="s">
        <v>1228</v>
      </c>
      <c r="E1" s="74" t="s">
        <v>738</v>
      </c>
    </row>
    <row r="2" spans="1:5">
      <c r="A2" s="18">
        <v>2037</v>
      </c>
      <c r="B2" s="75">
        <v>0.03</v>
      </c>
      <c r="C2" s="75">
        <v>0.03</v>
      </c>
      <c r="D2" s="75">
        <v>0.03</v>
      </c>
      <c r="E2" s="18" t="s">
        <v>1229</v>
      </c>
    </row>
    <row r="3" spans="1:5">
      <c r="A3" s="18">
        <v>2038</v>
      </c>
      <c r="B3" s="75">
        <v>0.03</v>
      </c>
      <c r="C3" s="75">
        <v>0.03</v>
      </c>
      <c r="D3" s="75">
        <v>0.03</v>
      </c>
      <c r="E3" s="18" t="s">
        <v>1229</v>
      </c>
    </row>
    <row r="4" spans="1:5">
      <c r="A4" s="18">
        <v>2039</v>
      </c>
      <c r="B4" s="75">
        <v>0.03</v>
      </c>
      <c r="C4" s="75">
        <v>0.03</v>
      </c>
      <c r="D4" s="75">
        <v>0.03</v>
      </c>
      <c r="E4" s="18" t="s">
        <v>1229</v>
      </c>
    </row>
    <row r="5" spans="1:5">
      <c r="A5" s="18">
        <v>2040</v>
      </c>
      <c r="B5" s="75">
        <v>0.03</v>
      </c>
      <c r="C5" s="75">
        <v>0.03</v>
      </c>
      <c r="D5" s="75">
        <v>0.03</v>
      </c>
      <c r="E5" s="18" t="s">
        <v>1229</v>
      </c>
    </row>
    <row r="6" spans="1:5">
      <c r="A6" s="18">
        <v>2041</v>
      </c>
      <c r="B6" s="75">
        <v>0.03</v>
      </c>
      <c r="C6" s="75">
        <v>0.03</v>
      </c>
      <c r="D6" s="75">
        <v>0.03</v>
      </c>
      <c r="E6" s="18" t="s">
        <v>1229</v>
      </c>
    </row>
    <row r="7" spans="1:5">
      <c r="A7" s="18">
        <v>2042</v>
      </c>
      <c r="B7" s="75">
        <v>0.03</v>
      </c>
      <c r="C7" s="75">
        <v>0.03</v>
      </c>
      <c r="D7" s="75">
        <v>0.03</v>
      </c>
      <c r="E7" s="18" t="s">
        <v>1229</v>
      </c>
    </row>
    <row r="8" spans="1:5">
      <c r="A8" s="18">
        <v>2043</v>
      </c>
      <c r="B8" s="75">
        <v>0.03</v>
      </c>
      <c r="C8" s="75">
        <v>0.03</v>
      </c>
      <c r="D8" s="75">
        <v>0.03</v>
      </c>
      <c r="E8" s="18" t="s">
        <v>1229</v>
      </c>
    </row>
    <row r="9" spans="1:5">
      <c r="A9" s="18">
        <v>2044</v>
      </c>
      <c r="B9" s="75">
        <v>0.03</v>
      </c>
      <c r="C9" s="75">
        <v>0.03</v>
      </c>
      <c r="D9" s="75">
        <v>0.03</v>
      </c>
      <c r="E9" s="18" t="s">
        <v>1229</v>
      </c>
    </row>
    <row r="10" spans="1:5">
      <c r="A10" s="18">
        <v>2045</v>
      </c>
      <c r="B10" s="75">
        <v>0.03</v>
      </c>
      <c r="C10" s="75">
        <v>0.03</v>
      </c>
      <c r="D10" s="75">
        <v>0.03</v>
      </c>
      <c r="E10" s="18" t="s">
        <v>1229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2"/>
  <sheetViews>
    <sheetView workbookViewId="0"/>
  </sheetViews>
  <sheetFormatPr baseColWidth="10" defaultColWidth="8.6640625" defaultRowHeight="14"/>
  <cols>
    <col min="1" max="1" width="30" customWidth="1"/>
    <col min="2" max="2" width="110" customWidth="1"/>
  </cols>
  <sheetData>
    <row r="1" spans="1:2">
      <c r="A1" s="74" t="s">
        <v>951</v>
      </c>
      <c r="B1" s="74" t="s">
        <v>940</v>
      </c>
    </row>
    <row r="2" spans="1:2">
      <c r="A2" s="18" t="s">
        <v>1230</v>
      </c>
      <c r="B2" s="18" t="s">
        <v>1231</v>
      </c>
    </row>
    <row r="3" spans="1:2">
      <c r="A3" s="18" t="s">
        <v>1232</v>
      </c>
      <c r="B3" s="18" t="s">
        <v>1233</v>
      </c>
    </row>
    <row r="4" spans="1:2">
      <c r="A4" s="18" t="s">
        <v>1234</v>
      </c>
      <c r="B4" s="18" t="s">
        <v>1235</v>
      </c>
    </row>
    <row r="5" spans="1:2">
      <c r="A5" s="18" t="s">
        <v>1236</v>
      </c>
      <c r="B5" s="18" t="s">
        <v>1237</v>
      </c>
    </row>
    <row r="6" spans="1:2">
      <c r="A6" s="18" t="s">
        <v>1238</v>
      </c>
      <c r="B6" s="18" t="s">
        <v>1239</v>
      </c>
    </row>
    <row r="7" spans="1:2">
      <c r="A7" s="18" t="s">
        <v>1240</v>
      </c>
      <c r="B7" s="18" t="s">
        <v>1241</v>
      </c>
    </row>
    <row r="8" spans="1:2">
      <c r="A8" s="18" t="s">
        <v>1242</v>
      </c>
      <c r="B8" s="18" t="s">
        <v>1243</v>
      </c>
    </row>
    <row r="9" spans="1:2">
      <c r="A9" s="18" t="s">
        <v>1244</v>
      </c>
      <c r="B9" s="18" t="s">
        <v>1245</v>
      </c>
    </row>
    <row r="10" spans="1:2">
      <c r="A10" s="18" t="s">
        <v>1246</v>
      </c>
      <c r="B10" s="18" t="s">
        <v>1247</v>
      </c>
    </row>
    <row r="11" spans="1:2">
      <c r="A11" s="18" t="s">
        <v>1248</v>
      </c>
      <c r="B11" s="18" t="s">
        <v>1249</v>
      </c>
    </row>
    <row r="12" spans="1:2">
      <c r="A12" s="18" t="s">
        <v>1250</v>
      </c>
      <c r="B12" s="18" t="s">
        <v>1251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01"/>
  <sheetViews>
    <sheetView workbookViewId="0"/>
  </sheetViews>
  <sheetFormatPr baseColWidth="10" defaultColWidth="8.6640625" defaultRowHeight="14"/>
  <cols>
    <col min="1" max="2" width="45" customWidth="1"/>
    <col min="3" max="4" width="16" customWidth="1"/>
    <col min="5" max="9" width="20" customWidth="1"/>
  </cols>
  <sheetData>
    <row r="1" spans="1:9">
      <c r="A1" s="77" t="s">
        <v>1259</v>
      </c>
      <c r="B1" s="77" t="s">
        <v>1260</v>
      </c>
      <c r="C1" s="76"/>
      <c r="D1" s="76"/>
      <c r="E1" s="76"/>
      <c r="F1" s="76"/>
      <c r="G1" s="76"/>
      <c r="H1" s="76"/>
      <c r="I1" s="76"/>
    </row>
    <row r="2" spans="1:9" ht="28">
      <c r="A2" s="18" t="s">
        <v>1261</v>
      </c>
      <c r="B2" s="18" t="s">
        <v>1262</v>
      </c>
      <c r="C2" s="18"/>
      <c r="D2" s="18"/>
      <c r="E2" s="70"/>
      <c r="F2" s="70"/>
      <c r="G2" s="70"/>
      <c r="H2" s="70"/>
      <c r="I2" s="70"/>
    </row>
    <row r="3" spans="1:9" ht="28">
      <c r="A3" s="18" t="s">
        <v>837</v>
      </c>
      <c r="B3" s="18" t="s">
        <v>1263</v>
      </c>
      <c r="C3" s="18"/>
      <c r="D3" s="18"/>
      <c r="E3" s="70"/>
      <c r="F3" s="70"/>
      <c r="G3" s="70"/>
      <c r="H3" s="70"/>
      <c r="I3" s="70"/>
    </row>
    <row r="4" spans="1:9">
      <c r="A4" s="18"/>
      <c r="B4" s="18"/>
      <c r="C4" s="18"/>
      <c r="D4" s="18"/>
      <c r="E4" s="70"/>
      <c r="F4" s="70"/>
      <c r="G4" s="70"/>
      <c r="H4" s="70"/>
      <c r="I4" s="70"/>
    </row>
    <row r="5" spans="1:9">
      <c r="A5" s="18"/>
      <c r="B5" s="18"/>
      <c r="C5" s="18"/>
      <c r="D5" s="18"/>
      <c r="E5" s="70"/>
      <c r="F5" s="70"/>
      <c r="G5" s="70"/>
      <c r="H5" s="70"/>
      <c r="I5" s="70"/>
    </row>
    <row r="6" spans="1:9">
      <c r="A6" s="18"/>
      <c r="B6" s="18"/>
      <c r="C6" s="18"/>
      <c r="D6" s="18"/>
      <c r="E6" s="70"/>
      <c r="F6" s="70"/>
      <c r="G6" s="70"/>
      <c r="H6" s="70"/>
      <c r="I6" s="70"/>
    </row>
    <row r="7" spans="1:9">
      <c r="A7" s="18"/>
      <c r="B7" s="18"/>
      <c r="C7" s="18"/>
      <c r="D7" s="18"/>
      <c r="E7" s="70"/>
      <c r="F7" s="70"/>
      <c r="G7" s="70"/>
      <c r="H7" s="70"/>
      <c r="I7" s="70"/>
    </row>
    <row r="8" spans="1:9">
      <c r="A8" s="18"/>
      <c r="B8" s="18"/>
      <c r="C8" s="18"/>
      <c r="D8" s="18"/>
      <c r="E8" s="70"/>
      <c r="F8" s="70"/>
      <c r="G8" s="70"/>
      <c r="H8" s="70"/>
      <c r="I8" s="70"/>
    </row>
    <row r="9" spans="1:9">
      <c r="A9" s="18"/>
      <c r="B9" s="18"/>
      <c r="C9" s="18"/>
      <c r="D9" s="18"/>
      <c r="E9" s="70"/>
      <c r="F9" s="70"/>
      <c r="G9" s="70"/>
      <c r="H9" s="70"/>
      <c r="I9" s="70"/>
    </row>
    <row r="10" spans="1:9">
      <c r="A10" s="18"/>
      <c r="B10" s="18"/>
      <c r="C10" s="18"/>
      <c r="D10" s="18"/>
      <c r="E10" s="70"/>
      <c r="F10" s="70"/>
      <c r="G10" s="70"/>
      <c r="H10" s="70"/>
      <c r="I10" s="70"/>
    </row>
    <row r="11" spans="1:9">
      <c r="A11" s="18"/>
      <c r="B11" s="18"/>
      <c r="C11" s="18"/>
      <c r="D11" s="18"/>
      <c r="E11" s="70"/>
      <c r="F11" s="70"/>
      <c r="G11" s="70"/>
      <c r="H11" s="70"/>
      <c r="I11" s="70"/>
    </row>
    <row r="12" spans="1:9">
      <c r="A12" s="18"/>
      <c r="B12" s="18"/>
      <c r="C12" s="18"/>
      <c r="D12" s="18"/>
      <c r="E12" s="70"/>
      <c r="F12" s="70"/>
      <c r="G12" s="70"/>
      <c r="H12" s="70"/>
      <c r="I12" s="70"/>
    </row>
    <row r="13" spans="1:9">
      <c r="A13" s="18"/>
      <c r="B13" s="18"/>
      <c r="C13" s="18"/>
      <c r="D13" s="18"/>
      <c r="E13" s="70"/>
      <c r="F13" s="70"/>
      <c r="G13" s="70"/>
      <c r="H13" s="70"/>
      <c r="I13" s="70"/>
    </row>
    <row r="14" spans="1:9">
      <c r="A14" s="18"/>
      <c r="B14" s="18"/>
      <c r="C14" s="18"/>
      <c r="D14" s="18"/>
      <c r="E14" s="70"/>
      <c r="F14" s="70"/>
      <c r="G14" s="70"/>
      <c r="H14" s="70"/>
      <c r="I14" s="70"/>
    </row>
    <row r="15" spans="1:9">
      <c r="A15" s="18"/>
      <c r="B15" s="18"/>
      <c r="C15" s="18"/>
      <c r="D15" s="18"/>
      <c r="E15" s="70"/>
      <c r="F15" s="70"/>
      <c r="G15" s="70"/>
      <c r="H15" s="70"/>
      <c r="I15" s="70"/>
    </row>
    <row r="16" spans="1:9">
      <c r="A16" s="18"/>
      <c r="B16" s="18"/>
      <c r="C16" s="18"/>
      <c r="D16" s="18"/>
      <c r="E16" s="70"/>
      <c r="F16" s="70"/>
      <c r="G16" s="70"/>
      <c r="H16" s="70"/>
      <c r="I16" s="70"/>
    </row>
    <row r="17" spans="1:9">
      <c r="A17" s="18"/>
      <c r="B17" s="18"/>
      <c r="C17" s="18"/>
      <c r="D17" s="18"/>
      <c r="E17" s="70"/>
      <c r="F17" s="70"/>
      <c r="G17" s="70"/>
      <c r="H17" s="70"/>
      <c r="I17" s="70"/>
    </row>
    <row r="18" spans="1:9">
      <c r="A18" s="18"/>
      <c r="B18" s="18"/>
      <c r="C18" s="18"/>
      <c r="D18" s="18"/>
      <c r="E18" s="70"/>
      <c r="F18" s="70"/>
      <c r="G18" s="70"/>
      <c r="H18" s="70"/>
      <c r="I18" s="70"/>
    </row>
    <row r="19" spans="1:9">
      <c r="A19" s="18"/>
      <c r="B19" s="18"/>
      <c r="C19" s="18"/>
      <c r="D19" s="18"/>
      <c r="E19" s="70"/>
      <c r="F19" s="70"/>
      <c r="G19" s="70"/>
      <c r="H19" s="70"/>
      <c r="I19" s="70"/>
    </row>
    <row r="20" spans="1:9">
      <c r="A20" s="18"/>
      <c r="B20" s="18"/>
      <c r="C20" s="18"/>
      <c r="D20" s="18"/>
      <c r="E20" s="70"/>
      <c r="F20" s="70"/>
      <c r="G20" s="70"/>
      <c r="H20" s="70"/>
      <c r="I20" s="70"/>
    </row>
    <row r="21" spans="1:9">
      <c r="A21" s="18"/>
      <c r="B21" s="18"/>
      <c r="C21" s="18"/>
      <c r="D21" s="18"/>
      <c r="E21" s="70"/>
      <c r="F21" s="70"/>
      <c r="G21" s="70"/>
      <c r="H21" s="70"/>
      <c r="I21" s="70"/>
    </row>
    <row r="22" spans="1:9">
      <c r="A22" s="18"/>
      <c r="B22" s="18"/>
      <c r="C22" s="18"/>
      <c r="D22" s="18"/>
      <c r="E22" s="70"/>
      <c r="F22" s="70"/>
      <c r="G22" s="70"/>
      <c r="H22" s="70"/>
      <c r="I22" s="70"/>
    </row>
    <row r="23" spans="1:9">
      <c r="A23" s="18"/>
      <c r="B23" s="18"/>
      <c r="C23" s="18"/>
      <c r="D23" s="18"/>
      <c r="E23" s="70"/>
      <c r="F23" s="70"/>
      <c r="G23" s="70"/>
      <c r="H23" s="70"/>
      <c r="I23" s="70"/>
    </row>
    <row r="24" spans="1:9">
      <c r="A24" s="18"/>
      <c r="B24" s="18"/>
      <c r="C24" s="18"/>
      <c r="D24" s="18"/>
      <c r="E24" s="70"/>
      <c r="F24" s="70"/>
      <c r="G24" s="70"/>
      <c r="H24" s="70"/>
      <c r="I24" s="70"/>
    </row>
    <row r="25" spans="1:9">
      <c r="A25" s="18"/>
      <c r="B25" s="18"/>
      <c r="C25" s="18"/>
      <c r="D25" s="18"/>
      <c r="E25" s="70"/>
      <c r="F25" s="70"/>
      <c r="G25" s="70"/>
      <c r="H25" s="70"/>
      <c r="I25" s="70"/>
    </row>
    <row r="26" spans="1:9">
      <c r="A26" s="18"/>
      <c r="B26" s="18"/>
      <c r="C26" s="18"/>
      <c r="D26" s="18"/>
      <c r="E26" s="70"/>
      <c r="F26" s="70"/>
      <c r="G26" s="70"/>
      <c r="H26" s="70"/>
      <c r="I26" s="70"/>
    </row>
    <row r="27" spans="1:9">
      <c r="A27" s="18"/>
      <c r="B27" s="18"/>
      <c r="C27" s="18"/>
      <c r="D27" s="18"/>
      <c r="E27" s="70"/>
      <c r="F27" s="70"/>
      <c r="G27" s="70"/>
      <c r="H27" s="70"/>
      <c r="I27" s="70"/>
    </row>
    <row r="28" spans="1:9">
      <c r="A28" s="18"/>
      <c r="B28" s="18"/>
      <c r="C28" s="18"/>
      <c r="D28" s="18"/>
      <c r="E28" s="70"/>
      <c r="F28" s="70"/>
      <c r="G28" s="70"/>
      <c r="H28" s="70"/>
      <c r="I28" s="70"/>
    </row>
    <row r="29" spans="1:9">
      <c r="A29" s="18"/>
      <c r="B29" s="18"/>
      <c r="C29" s="18"/>
      <c r="D29" s="18"/>
      <c r="E29" s="70"/>
      <c r="F29" s="70"/>
      <c r="G29" s="70"/>
      <c r="H29" s="70"/>
      <c r="I29" s="70"/>
    </row>
    <row r="30" spans="1:9">
      <c r="A30" s="18"/>
      <c r="B30" s="18"/>
      <c r="C30" s="18"/>
      <c r="D30" s="18"/>
      <c r="E30" s="70"/>
      <c r="F30" s="70"/>
      <c r="G30" s="70"/>
      <c r="H30" s="70"/>
      <c r="I30" s="70"/>
    </row>
    <row r="31" spans="1:9">
      <c r="A31" s="18"/>
      <c r="B31" s="18"/>
      <c r="C31" s="18"/>
      <c r="D31" s="18"/>
      <c r="E31" s="70"/>
      <c r="F31" s="70"/>
      <c r="G31" s="70"/>
      <c r="H31" s="70"/>
      <c r="I31" s="70"/>
    </row>
    <row r="32" spans="1:9">
      <c r="A32" s="18"/>
      <c r="B32" s="18"/>
      <c r="C32" s="18"/>
      <c r="D32" s="18"/>
      <c r="E32" s="70"/>
      <c r="F32" s="70"/>
      <c r="G32" s="70"/>
      <c r="H32" s="70"/>
      <c r="I32" s="70"/>
    </row>
    <row r="33" spans="1:9">
      <c r="A33" s="18"/>
      <c r="B33" s="18"/>
      <c r="C33" s="18"/>
      <c r="D33" s="18"/>
      <c r="E33" s="70"/>
      <c r="F33" s="70"/>
      <c r="G33" s="70"/>
      <c r="H33" s="70"/>
      <c r="I33" s="70"/>
    </row>
    <row r="34" spans="1:9">
      <c r="A34" s="18"/>
      <c r="B34" s="18"/>
      <c r="C34" s="18"/>
      <c r="D34" s="18"/>
      <c r="E34" s="70"/>
      <c r="F34" s="70"/>
      <c r="G34" s="70"/>
      <c r="H34" s="70"/>
      <c r="I34" s="70"/>
    </row>
    <row r="35" spans="1:9">
      <c r="A35" s="18"/>
      <c r="B35" s="18"/>
      <c r="C35" s="18"/>
      <c r="D35" s="18"/>
      <c r="E35" s="70"/>
      <c r="F35" s="70"/>
      <c r="G35" s="70"/>
      <c r="H35" s="70"/>
      <c r="I35" s="70"/>
    </row>
    <row r="36" spans="1:9">
      <c r="A36" s="18"/>
      <c r="B36" s="18"/>
      <c r="C36" s="18"/>
      <c r="D36" s="18"/>
      <c r="E36" s="70"/>
      <c r="F36" s="70"/>
      <c r="G36" s="70"/>
      <c r="H36" s="70"/>
      <c r="I36" s="70"/>
    </row>
    <row r="37" spans="1:9">
      <c r="A37" s="18"/>
      <c r="B37" s="18"/>
      <c r="C37" s="18"/>
      <c r="D37" s="18"/>
      <c r="E37" s="70"/>
      <c r="F37" s="70"/>
      <c r="G37" s="70"/>
      <c r="H37" s="70"/>
      <c r="I37" s="70"/>
    </row>
    <row r="38" spans="1:9">
      <c r="A38" s="18"/>
      <c r="B38" s="18"/>
      <c r="C38" s="18"/>
      <c r="D38" s="18"/>
      <c r="E38" s="70"/>
      <c r="F38" s="70"/>
      <c r="G38" s="70"/>
      <c r="H38" s="70"/>
      <c r="I38" s="70"/>
    </row>
    <row r="39" spans="1:9">
      <c r="A39" s="18"/>
      <c r="B39" s="18"/>
      <c r="C39" s="18"/>
      <c r="D39" s="18"/>
      <c r="E39" s="70"/>
      <c r="F39" s="70"/>
      <c r="G39" s="70"/>
      <c r="H39" s="70"/>
      <c r="I39" s="70"/>
    </row>
    <row r="40" spans="1:9">
      <c r="A40" s="18"/>
      <c r="B40" s="18"/>
      <c r="C40" s="18"/>
      <c r="D40" s="18"/>
      <c r="E40" s="70"/>
      <c r="F40" s="70"/>
      <c r="G40" s="70"/>
      <c r="H40" s="70"/>
      <c r="I40" s="70"/>
    </row>
    <row r="41" spans="1:9">
      <c r="A41" s="18"/>
      <c r="B41" s="18"/>
      <c r="C41" s="18"/>
      <c r="D41" s="18"/>
      <c r="E41" s="70"/>
      <c r="F41" s="70"/>
      <c r="G41" s="70"/>
      <c r="H41" s="70"/>
      <c r="I41" s="70"/>
    </row>
    <row r="42" spans="1:9">
      <c r="A42" s="18"/>
      <c r="B42" s="18"/>
      <c r="C42" s="18"/>
      <c r="D42" s="18"/>
      <c r="E42" s="70"/>
      <c r="F42" s="70"/>
      <c r="G42" s="70"/>
      <c r="H42" s="70"/>
      <c r="I42" s="70"/>
    </row>
    <row r="43" spans="1:9">
      <c r="A43" s="18"/>
      <c r="B43" s="18"/>
      <c r="C43" s="18"/>
      <c r="D43" s="18"/>
      <c r="E43" s="70"/>
      <c r="F43" s="70"/>
      <c r="G43" s="70"/>
      <c r="H43" s="70"/>
      <c r="I43" s="70"/>
    </row>
    <row r="44" spans="1:9">
      <c r="A44" s="18"/>
      <c r="B44" s="18"/>
      <c r="C44" s="18"/>
      <c r="D44" s="18"/>
      <c r="E44" s="70"/>
      <c r="F44" s="70"/>
      <c r="G44" s="70"/>
      <c r="H44" s="70"/>
      <c r="I44" s="70"/>
    </row>
    <row r="45" spans="1:9">
      <c r="A45" s="18"/>
      <c r="B45" s="18"/>
      <c r="C45" s="18"/>
      <c r="D45" s="18"/>
      <c r="E45" s="70"/>
      <c r="F45" s="70"/>
      <c r="G45" s="70"/>
      <c r="H45" s="70"/>
      <c r="I45" s="70"/>
    </row>
    <row r="46" spans="1:9">
      <c r="A46" s="18"/>
      <c r="B46" s="18"/>
      <c r="C46" s="18"/>
      <c r="D46" s="18"/>
      <c r="E46" s="70"/>
      <c r="F46" s="70"/>
      <c r="G46" s="70"/>
      <c r="H46" s="70"/>
      <c r="I46" s="70"/>
    </row>
    <row r="47" spans="1:9">
      <c r="A47" s="18"/>
      <c r="B47" s="18"/>
      <c r="C47" s="18"/>
      <c r="D47" s="18"/>
      <c r="E47" s="70"/>
      <c r="F47" s="70"/>
      <c r="G47" s="70"/>
      <c r="H47" s="70"/>
      <c r="I47" s="70"/>
    </row>
    <row r="48" spans="1:9">
      <c r="A48" s="18"/>
      <c r="B48" s="18"/>
      <c r="C48" s="18"/>
      <c r="D48" s="18"/>
      <c r="E48" s="70"/>
      <c r="F48" s="70"/>
      <c r="G48" s="70"/>
      <c r="H48" s="70"/>
      <c r="I48" s="70"/>
    </row>
    <row r="49" spans="1:9">
      <c r="A49" s="18"/>
      <c r="B49" s="18"/>
      <c r="C49" s="18"/>
      <c r="D49" s="18"/>
      <c r="E49" s="70"/>
      <c r="F49" s="70"/>
      <c r="G49" s="70"/>
      <c r="H49" s="70"/>
      <c r="I49" s="70"/>
    </row>
    <row r="50" spans="1:9">
      <c r="A50" s="18"/>
      <c r="B50" s="18"/>
      <c r="C50" s="18"/>
      <c r="D50" s="18"/>
      <c r="E50" s="70"/>
      <c r="F50" s="70"/>
      <c r="G50" s="70"/>
      <c r="H50" s="70"/>
      <c r="I50" s="70"/>
    </row>
    <row r="51" spans="1:9">
      <c r="A51" s="18"/>
      <c r="B51" s="18"/>
      <c r="C51" s="18"/>
      <c r="D51" s="18"/>
      <c r="E51" s="70"/>
      <c r="F51" s="70"/>
      <c r="G51" s="70"/>
      <c r="H51" s="70"/>
      <c r="I51" s="70"/>
    </row>
    <row r="52" spans="1:9">
      <c r="A52" s="18"/>
      <c r="B52" s="18"/>
      <c r="C52" s="18"/>
      <c r="D52" s="18"/>
      <c r="E52" s="70"/>
      <c r="F52" s="70"/>
      <c r="G52" s="70"/>
      <c r="H52" s="70"/>
      <c r="I52" s="70"/>
    </row>
    <row r="53" spans="1:9">
      <c r="A53" s="18"/>
      <c r="B53" s="18"/>
      <c r="C53" s="18"/>
      <c r="D53" s="18"/>
      <c r="E53" s="70"/>
      <c r="F53" s="70"/>
      <c r="G53" s="70"/>
      <c r="H53" s="70"/>
      <c r="I53" s="70"/>
    </row>
    <row r="54" spans="1:9">
      <c r="A54" s="18"/>
      <c r="B54" s="18"/>
      <c r="C54" s="18"/>
      <c r="D54" s="18"/>
      <c r="E54" s="70"/>
      <c r="F54" s="70"/>
      <c r="G54" s="70"/>
      <c r="H54" s="70"/>
      <c r="I54" s="70"/>
    </row>
    <row r="55" spans="1:9">
      <c r="A55" s="18"/>
      <c r="B55" s="18"/>
      <c r="C55" s="18"/>
      <c r="D55" s="18"/>
      <c r="E55" s="70"/>
      <c r="F55" s="70"/>
      <c r="G55" s="70"/>
      <c r="H55" s="70"/>
      <c r="I55" s="70"/>
    </row>
    <row r="56" spans="1:9">
      <c r="A56" s="18"/>
      <c r="B56" s="18"/>
      <c r="C56" s="18"/>
      <c r="D56" s="18"/>
      <c r="E56" s="70"/>
      <c r="F56" s="70"/>
      <c r="G56" s="70"/>
      <c r="H56" s="70"/>
      <c r="I56" s="70"/>
    </row>
    <row r="57" spans="1:9">
      <c r="A57" s="18"/>
      <c r="B57" s="18"/>
      <c r="C57" s="18"/>
      <c r="D57" s="18"/>
      <c r="E57" s="70"/>
      <c r="F57" s="70"/>
      <c r="G57" s="70"/>
      <c r="H57" s="70"/>
      <c r="I57" s="70"/>
    </row>
    <row r="58" spans="1:9">
      <c r="A58" s="18"/>
      <c r="B58" s="18"/>
      <c r="C58" s="18"/>
      <c r="D58" s="18"/>
      <c r="E58" s="70"/>
      <c r="F58" s="70"/>
      <c r="G58" s="70"/>
      <c r="H58" s="70"/>
      <c r="I58" s="70"/>
    </row>
    <row r="59" spans="1:9">
      <c r="A59" s="18"/>
      <c r="B59" s="18"/>
      <c r="C59" s="18"/>
      <c r="D59" s="18"/>
      <c r="E59" s="70"/>
      <c r="F59" s="70"/>
      <c r="G59" s="70"/>
      <c r="H59" s="70"/>
      <c r="I59" s="70"/>
    </row>
    <row r="60" spans="1:9">
      <c r="A60" s="18"/>
      <c r="B60" s="18"/>
      <c r="C60" s="18"/>
      <c r="D60" s="18"/>
      <c r="E60" s="70"/>
      <c r="F60" s="70"/>
      <c r="G60" s="70"/>
      <c r="H60" s="70"/>
      <c r="I60" s="70"/>
    </row>
    <row r="61" spans="1:9">
      <c r="A61" s="18"/>
      <c r="B61" s="18"/>
      <c r="C61" s="18"/>
      <c r="D61" s="18"/>
      <c r="E61" s="70"/>
      <c r="F61" s="70"/>
      <c r="G61" s="70"/>
      <c r="H61" s="70"/>
      <c r="I61" s="70"/>
    </row>
    <row r="62" spans="1:9">
      <c r="A62" s="18"/>
      <c r="B62" s="18"/>
      <c r="C62" s="18"/>
      <c r="D62" s="18"/>
      <c r="E62" s="70"/>
      <c r="F62" s="70"/>
      <c r="G62" s="70"/>
      <c r="H62" s="70"/>
      <c r="I62" s="70"/>
    </row>
    <row r="63" spans="1:9">
      <c r="A63" s="18"/>
      <c r="B63" s="18"/>
      <c r="C63" s="18"/>
      <c r="D63" s="18"/>
      <c r="E63" s="70"/>
      <c r="F63" s="70"/>
      <c r="G63" s="70"/>
      <c r="H63" s="70"/>
      <c r="I63" s="70"/>
    </row>
    <row r="64" spans="1:9">
      <c r="A64" s="18"/>
      <c r="B64" s="18"/>
      <c r="C64" s="18"/>
      <c r="D64" s="18"/>
      <c r="E64" s="70"/>
      <c r="F64" s="70"/>
      <c r="G64" s="70"/>
      <c r="H64" s="70"/>
      <c r="I64" s="70"/>
    </row>
    <row r="65" spans="1:9">
      <c r="A65" s="18"/>
      <c r="B65" s="18"/>
      <c r="C65" s="18"/>
      <c r="D65" s="18"/>
      <c r="E65" s="70"/>
      <c r="F65" s="70"/>
      <c r="G65" s="70"/>
      <c r="H65" s="70"/>
      <c r="I65" s="70"/>
    </row>
    <row r="66" spans="1:9">
      <c r="A66" s="18"/>
      <c r="B66" s="18"/>
      <c r="C66" s="18"/>
      <c r="D66" s="18"/>
      <c r="E66" s="70"/>
      <c r="F66" s="70"/>
      <c r="G66" s="70"/>
      <c r="H66" s="70"/>
      <c r="I66" s="70"/>
    </row>
    <row r="67" spans="1:9">
      <c r="A67" s="18"/>
      <c r="B67" s="18"/>
      <c r="C67" s="18"/>
      <c r="D67" s="18"/>
      <c r="E67" s="70"/>
      <c r="F67" s="70"/>
      <c r="G67" s="70"/>
      <c r="H67" s="70"/>
      <c r="I67" s="70"/>
    </row>
    <row r="68" spans="1:9">
      <c r="A68" s="18"/>
      <c r="B68" s="18"/>
      <c r="C68" s="18"/>
      <c r="D68" s="18"/>
      <c r="E68" s="70"/>
      <c r="F68" s="70"/>
      <c r="G68" s="70"/>
      <c r="H68" s="70"/>
      <c r="I68" s="70"/>
    </row>
    <row r="69" spans="1:9">
      <c r="A69" s="18"/>
      <c r="B69" s="18"/>
      <c r="C69" s="18"/>
      <c r="D69" s="18"/>
      <c r="E69" s="70"/>
      <c r="F69" s="70"/>
      <c r="G69" s="70"/>
      <c r="H69" s="70"/>
      <c r="I69" s="70"/>
    </row>
    <row r="70" spans="1:9">
      <c r="A70" s="18"/>
      <c r="B70" s="18"/>
      <c r="C70" s="18"/>
      <c r="D70" s="18"/>
      <c r="E70" s="70"/>
      <c r="F70" s="70"/>
      <c r="G70" s="70"/>
      <c r="H70" s="70"/>
      <c r="I70" s="70"/>
    </row>
    <row r="71" spans="1:9">
      <c r="A71" s="18"/>
      <c r="B71" s="18"/>
      <c r="C71" s="18"/>
      <c r="D71" s="18"/>
      <c r="E71" s="70"/>
      <c r="F71" s="70"/>
      <c r="G71" s="70"/>
      <c r="H71" s="70"/>
      <c r="I71" s="70"/>
    </row>
    <row r="72" spans="1:9">
      <c r="A72" s="18"/>
      <c r="B72" s="18"/>
      <c r="C72" s="18"/>
      <c r="D72" s="18"/>
      <c r="E72" s="70"/>
      <c r="F72" s="70"/>
      <c r="G72" s="70"/>
      <c r="H72" s="70"/>
      <c r="I72" s="70"/>
    </row>
    <row r="73" spans="1:9">
      <c r="A73" s="18"/>
      <c r="B73" s="18"/>
      <c r="C73" s="18"/>
      <c r="D73" s="18"/>
      <c r="E73" s="70"/>
      <c r="F73" s="70"/>
      <c r="G73" s="70"/>
      <c r="H73" s="70"/>
      <c r="I73" s="70"/>
    </row>
    <row r="74" spans="1:9">
      <c r="A74" s="18"/>
      <c r="B74" s="18"/>
      <c r="C74" s="18"/>
      <c r="D74" s="18"/>
      <c r="E74" s="70"/>
      <c r="F74" s="70"/>
      <c r="G74" s="70"/>
      <c r="H74" s="70"/>
      <c r="I74" s="70"/>
    </row>
    <row r="75" spans="1:9">
      <c r="A75" s="18"/>
      <c r="B75" s="18"/>
      <c r="C75" s="18"/>
      <c r="D75" s="18"/>
      <c r="E75" s="70"/>
      <c r="F75" s="70"/>
      <c r="G75" s="70"/>
      <c r="H75" s="70"/>
      <c r="I75" s="70"/>
    </row>
    <row r="76" spans="1:9">
      <c r="A76" s="18"/>
      <c r="B76" s="18"/>
      <c r="C76" s="18"/>
      <c r="D76" s="18"/>
      <c r="E76" s="70"/>
      <c r="F76" s="70"/>
      <c r="G76" s="70"/>
      <c r="H76" s="70"/>
      <c r="I76" s="70"/>
    </row>
    <row r="77" spans="1:9">
      <c r="A77" s="18"/>
      <c r="B77" s="18"/>
      <c r="C77" s="18"/>
      <c r="D77" s="18"/>
      <c r="E77" s="70"/>
      <c r="F77" s="70"/>
      <c r="G77" s="70"/>
      <c r="H77" s="70"/>
      <c r="I77" s="70"/>
    </row>
    <row r="78" spans="1:9">
      <c r="A78" s="18"/>
      <c r="B78" s="18"/>
      <c r="C78" s="18"/>
      <c r="D78" s="18"/>
      <c r="E78" s="70"/>
      <c r="F78" s="70"/>
      <c r="G78" s="70"/>
      <c r="H78" s="70"/>
      <c r="I78" s="70"/>
    </row>
    <row r="79" spans="1:9">
      <c r="A79" s="18"/>
      <c r="B79" s="18"/>
      <c r="C79" s="18"/>
      <c r="D79" s="18"/>
      <c r="E79" s="70"/>
      <c r="F79" s="70"/>
      <c r="G79" s="70"/>
      <c r="H79" s="70"/>
      <c r="I79" s="70"/>
    </row>
    <row r="80" spans="1:9">
      <c r="A80" s="18"/>
      <c r="B80" s="18"/>
      <c r="C80" s="18"/>
      <c r="D80" s="18"/>
      <c r="E80" s="70"/>
      <c r="F80" s="70"/>
      <c r="G80" s="70"/>
      <c r="H80" s="70"/>
      <c r="I80" s="70"/>
    </row>
    <row r="81" spans="1:9">
      <c r="A81" s="18"/>
      <c r="B81" s="18"/>
      <c r="C81" s="18"/>
      <c r="D81" s="18"/>
      <c r="E81" s="70"/>
      <c r="F81" s="70"/>
      <c r="G81" s="70"/>
      <c r="H81" s="70"/>
      <c r="I81" s="70"/>
    </row>
    <row r="82" spans="1:9">
      <c r="A82" s="18"/>
      <c r="B82" s="18"/>
      <c r="C82" s="18"/>
      <c r="D82" s="18"/>
      <c r="E82" s="70"/>
      <c r="F82" s="70"/>
      <c r="G82" s="70"/>
      <c r="H82" s="70"/>
      <c r="I82" s="70"/>
    </row>
    <row r="83" spans="1:9">
      <c r="A83" s="18"/>
      <c r="B83" s="18"/>
      <c r="C83" s="18"/>
      <c r="D83" s="18"/>
      <c r="E83" s="70"/>
      <c r="F83" s="70"/>
      <c r="G83" s="70"/>
      <c r="H83" s="70"/>
      <c r="I83" s="70"/>
    </row>
    <row r="84" spans="1:9">
      <c r="A84" s="18"/>
      <c r="B84" s="18"/>
      <c r="C84" s="18"/>
      <c r="D84" s="18"/>
      <c r="E84" s="70"/>
      <c r="F84" s="70"/>
      <c r="G84" s="70"/>
      <c r="H84" s="70"/>
      <c r="I84" s="70"/>
    </row>
    <row r="85" spans="1:9">
      <c r="A85" s="18"/>
      <c r="B85" s="18"/>
      <c r="C85" s="18"/>
      <c r="D85" s="18"/>
      <c r="E85" s="70"/>
      <c r="F85" s="70"/>
      <c r="G85" s="70"/>
      <c r="H85" s="70"/>
      <c r="I85" s="70"/>
    </row>
    <row r="86" spans="1:9">
      <c r="A86" s="18"/>
      <c r="B86" s="18"/>
      <c r="C86" s="18"/>
      <c r="D86" s="18"/>
      <c r="E86" s="70"/>
      <c r="F86" s="70"/>
      <c r="G86" s="70"/>
      <c r="H86" s="70"/>
      <c r="I86" s="70"/>
    </row>
    <row r="87" spans="1:9">
      <c r="A87" s="18"/>
      <c r="B87" s="18"/>
      <c r="C87" s="18"/>
      <c r="D87" s="18"/>
      <c r="E87" s="70"/>
      <c r="F87" s="70"/>
      <c r="G87" s="70"/>
      <c r="H87" s="70"/>
      <c r="I87" s="70"/>
    </row>
    <row r="88" spans="1:9">
      <c r="A88" s="18"/>
      <c r="B88" s="18"/>
      <c r="C88" s="18"/>
      <c r="D88" s="18"/>
      <c r="E88" s="70"/>
      <c r="F88" s="70"/>
      <c r="G88" s="70"/>
      <c r="H88" s="70"/>
      <c r="I88" s="70"/>
    </row>
    <row r="89" spans="1:9">
      <c r="A89" s="18"/>
      <c r="B89" s="18"/>
      <c r="C89" s="18"/>
      <c r="D89" s="18"/>
      <c r="E89" s="70"/>
      <c r="F89" s="70"/>
      <c r="G89" s="70"/>
      <c r="H89" s="70"/>
      <c r="I89" s="70"/>
    </row>
    <row r="90" spans="1:9">
      <c r="A90" s="18"/>
      <c r="B90" s="18"/>
      <c r="C90" s="18"/>
      <c r="D90" s="18"/>
      <c r="E90" s="70"/>
      <c r="F90" s="70"/>
      <c r="G90" s="70"/>
      <c r="H90" s="70"/>
      <c r="I90" s="70"/>
    </row>
    <row r="91" spans="1:9">
      <c r="A91" s="18"/>
      <c r="B91" s="18"/>
      <c r="C91" s="18"/>
      <c r="D91" s="18"/>
      <c r="E91" s="70"/>
      <c r="F91" s="70"/>
      <c r="G91" s="70"/>
      <c r="H91" s="70"/>
      <c r="I91" s="70"/>
    </row>
    <row r="92" spans="1:9">
      <c r="A92" s="18"/>
      <c r="B92" s="18"/>
      <c r="C92" s="18"/>
      <c r="D92" s="18"/>
      <c r="E92" s="70"/>
      <c r="F92" s="70"/>
      <c r="G92" s="70"/>
      <c r="H92" s="70"/>
      <c r="I92" s="70"/>
    </row>
    <row r="93" spans="1:9">
      <c r="A93" s="18"/>
      <c r="B93" s="18"/>
      <c r="C93" s="18"/>
      <c r="D93" s="18"/>
      <c r="E93" s="70"/>
      <c r="F93" s="70"/>
      <c r="G93" s="70"/>
      <c r="H93" s="70"/>
      <c r="I93" s="70"/>
    </row>
    <row r="94" spans="1:9">
      <c r="A94" s="18"/>
      <c r="B94" s="18"/>
      <c r="C94" s="18"/>
      <c r="D94" s="18"/>
      <c r="E94" s="70"/>
      <c r="F94" s="70"/>
      <c r="G94" s="70"/>
      <c r="H94" s="70"/>
      <c r="I94" s="70"/>
    </row>
    <row r="95" spans="1:9">
      <c r="A95" s="18"/>
      <c r="B95" s="18"/>
      <c r="C95" s="18"/>
      <c r="D95" s="18"/>
      <c r="E95" s="70"/>
      <c r="F95" s="70"/>
      <c r="G95" s="70"/>
      <c r="H95" s="70"/>
      <c r="I95" s="70"/>
    </row>
    <row r="96" spans="1:9">
      <c r="A96" s="18"/>
      <c r="B96" s="18"/>
      <c r="C96" s="18"/>
      <c r="D96" s="18"/>
      <c r="E96" s="70"/>
      <c r="F96" s="70"/>
      <c r="G96" s="70"/>
      <c r="H96" s="70"/>
      <c r="I96" s="70"/>
    </row>
    <row r="97" spans="1:9">
      <c r="A97" s="18"/>
      <c r="B97" s="18"/>
      <c r="C97" s="18"/>
      <c r="D97" s="18"/>
      <c r="E97" s="70"/>
      <c r="F97" s="70"/>
      <c r="G97" s="70"/>
      <c r="H97" s="70"/>
      <c r="I97" s="70"/>
    </row>
    <row r="98" spans="1:9">
      <c r="A98" s="18"/>
      <c r="B98" s="18"/>
      <c r="C98" s="18"/>
      <c r="D98" s="18"/>
      <c r="E98" s="70"/>
      <c r="F98" s="70"/>
      <c r="G98" s="70"/>
      <c r="H98" s="70"/>
      <c r="I98" s="70"/>
    </row>
    <row r="99" spans="1:9">
      <c r="A99" s="18"/>
      <c r="B99" s="18"/>
      <c r="C99" s="18"/>
      <c r="D99" s="18"/>
      <c r="E99" s="70"/>
      <c r="F99" s="70"/>
      <c r="G99" s="70"/>
      <c r="H99" s="70"/>
      <c r="I99" s="70"/>
    </row>
    <row r="100" spans="1:9">
      <c r="A100" s="18"/>
      <c r="B100" s="18"/>
      <c r="C100" s="18"/>
      <c r="D100" s="18"/>
      <c r="E100" s="70"/>
      <c r="F100" s="70"/>
      <c r="G100" s="70"/>
      <c r="H100" s="70"/>
      <c r="I100" s="70"/>
    </row>
    <row r="101" spans="1:9">
      <c r="A101" s="18"/>
      <c r="B101" s="18"/>
      <c r="C101" s="18"/>
      <c r="D101" s="18"/>
      <c r="E101" s="70"/>
      <c r="F101" s="70"/>
      <c r="G101" s="70"/>
      <c r="H101" s="70"/>
      <c r="I101" s="70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7"/>
  <sheetViews>
    <sheetView workbookViewId="0"/>
  </sheetViews>
  <sheetFormatPr baseColWidth="10" defaultColWidth="8.6640625" defaultRowHeight="14"/>
  <cols>
    <col min="1" max="1" width="28" customWidth="1"/>
    <col min="2" max="2" width="100" customWidth="1"/>
  </cols>
  <sheetData>
    <row r="1" spans="1:2">
      <c r="A1" s="76" t="s">
        <v>951</v>
      </c>
      <c r="B1" s="76" t="s">
        <v>940</v>
      </c>
    </row>
    <row r="2" spans="1:2">
      <c r="A2" s="18" t="s">
        <v>1230</v>
      </c>
      <c r="B2" s="18" t="s">
        <v>1264</v>
      </c>
    </row>
    <row r="3" spans="1:2">
      <c r="A3" s="18" t="s">
        <v>1265</v>
      </c>
      <c r="B3" s="18" t="s">
        <v>1266</v>
      </c>
    </row>
    <row r="4" spans="1:2">
      <c r="A4" s="18" t="s">
        <v>1267</v>
      </c>
      <c r="B4" s="18" t="s">
        <v>1268</v>
      </c>
    </row>
    <row r="5" spans="1:2">
      <c r="A5" s="18" t="s">
        <v>1269</v>
      </c>
      <c r="B5" s="18" t="s">
        <v>1270</v>
      </c>
    </row>
    <row r="6" spans="1:2">
      <c r="A6" s="18" t="s">
        <v>1271</v>
      </c>
      <c r="B6" s="18" t="s">
        <v>1272</v>
      </c>
    </row>
    <row r="7" spans="1:2">
      <c r="A7" s="18" t="s">
        <v>1273</v>
      </c>
      <c r="B7" s="18" t="s">
        <v>1274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1"/>
  <sheetViews>
    <sheetView workbookViewId="0"/>
  </sheetViews>
  <sheetFormatPr baseColWidth="10" defaultColWidth="8.6640625" defaultRowHeight="14"/>
  <cols>
    <col min="1" max="3" width="16" customWidth="1"/>
    <col min="4" max="8" width="22" customWidth="1"/>
  </cols>
  <sheetData>
    <row r="1" spans="1:8">
      <c r="A1" s="77" t="s">
        <v>98</v>
      </c>
      <c r="B1" s="77" t="s">
        <v>39</v>
      </c>
      <c r="C1" s="77" t="s">
        <v>786</v>
      </c>
      <c r="D1" s="77" t="s">
        <v>1275</v>
      </c>
      <c r="E1" s="77" t="s">
        <v>1276</v>
      </c>
      <c r="F1" s="77" t="s">
        <v>1277</v>
      </c>
      <c r="G1" s="77" t="s">
        <v>1258</v>
      </c>
      <c r="H1" s="77" t="s">
        <v>1278</v>
      </c>
    </row>
    <row r="2" spans="1:8">
      <c r="A2" s="18">
        <v>2026</v>
      </c>
      <c r="B2" s="18" t="s">
        <v>843</v>
      </c>
      <c r="C2" s="18" t="str">
        <f t="shared" ref="C2:C12" si="0">"Base Excel"</f>
        <v>Base Excel</v>
      </c>
      <c r="D2" s="70">
        <f>IFERROR(INDEX(internacional_base!$B:$B,MATCH(A2,internacional_base!$A:$A,0)),0)</f>
        <v>0</v>
      </c>
      <c r="E2" s="70">
        <f>IFERROR(INDEX(internacional_base!$D:$D,MATCH(A2,internacional_base!$A:$A,0)),0)</f>
        <v>0</v>
      </c>
      <c r="F2" s="70">
        <f t="shared" ref="F2:F21" si="1">D2/5</f>
        <v>0</v>
      </c>
      <c r="G2" s="70">
        <f t="shared" ref="G2:G21" si="2">MAX(0,E2-F2)</f>
        <v>0</v>
      </c>
      <c r="H2" s="70">
        <f t="shared" ref="H2:H21" si="3">F2+G2</f>
        <v>0</v>
      </c>
    </row>
    <row r="3" spans="1:8">
      <c r="A3" s="18">
        <v>2027</v>
      </c>
      <c r="B3" s="18" t="s">
        <v>843</v>
      </c>
      <c r="C3" s="18" t="str">
        <f t="shared" si="0"/>
        <v>Base Excel</v>
      </c>
      <c r="D3" s="70">
        <f>IFERROR(INDEX(internacional_base!$B:$B,MATCH(A3,internacional_base!$A:$A,0)),0)</f>
        <v>307</v>
      </c>
      <c r="E3" s="70">
        <f>IFERROR(INDEX(internacional_base!$D:$D,MATCH(A3,internacional_base!$A:$A,0)),0)</f>
        <v>254.97600000000003</v>
      </c>
      <c r="F3" s="70">
        <f t="shared" si="1"/>
        <v>61.4</v>
      </c>
      <c r="G3" s="70">
        <f t="shared" si="2"/>
        <v>193.57600000000002</v>
      </c>
      <c r="H3" s="70">
        <f t="shared" si="3"/>
        <v>254.97600000000003</v>
      </c>
    </row>
    <row r="4" spans="1:8">
      <c r="A4" s="18">
        <v>2028</v>
      </c>
      <c r="B4" s="18" t="s">
        <v>843</v>
      </c>
      <c r="C4" s="18" t="str">
        <f t="shared" si="0"/>
        <v>Base Excel</v>
      </c>
      <c r="D4" s="70">
        <f>IFERROR(INDEX(internacional_base!$B:$B,MATCH(A4,internacional_base!$A:$A,0)),0)</f>
        <v>1162</v>
      </c>
      <c r="E4" s="70">
        <f>IFERROR(INDEX(internacional_base!$D:$D,MATCH(A4,internacional_base!$A:$A,0)),0)</f>
        <v>1181.9865599999998</v>
      </c>
      <c r="F4" s="70">
        <f t="shared" si="1"/>
        <v>232.4</v>
      </c>
      <c r="G4" s="70">
        <f t="shared" si="2"/>
        <v>949.58655999999985</v>
      </c>
      <c r="H4" s="70">
        <f t="shared" si="3"/>
        <v>1181.9865599999998</v>
      </c>
    </row>
    <row r="5" spans="1:8">
      <c r="A5" s="18">
        <v>2029</v>
      </c>
      <c r="B5" s="18" t="s">
        <v>843</v>
      </c>
      <c r="C5" s="18" t="str">
        <f t="shared" si="0"/>
        <v>Base Excel</v>
      </c>
      <c r="D5" s="70">
        <f>IFERROR(INDEX(internacional_base!$B:$B,MATCH(A5,internacional_base!$A:$A,0)),0)</f>
        <v>1854</v>
      </c>
      <c r="E5" s="70">
        <f>IFERROR(INDEX(internacional_base!$D:$D,MATCH(A5,internacional_base!$A:$A,0)),0)</f>
        <v>2529.9126145</v>
      </c>
      <c r="F5" s="70">
        <f t="shared" si="1"/>
        <v>370.8</v>
      </c>
      <c r="G5" s="70">
        <f t="shared" si="2"/>
        <v>2159.1126144999998</v>
      </c>
      <c r="H5" s="70">
        <f t="shared" si="3"/>
        <v>2529.9126145</v>
      </c>
    </row>
    <row r="6" spans="1:8">
      <c r="A6" s="18">
        <v>2030</v>
      </c>
      <c r="B6" s="18" t="s">
        <v>843</v>
      </c>
      <c r="C6" s="18" t="str">
        <f t="shared" si="0"/>
        <v>Base Excel</v>
      </c>
      <c r="D6" s="70">
        <f>IFERROR(INDEX(internacional_base!$B:$B,MATCH(A6,internacional_base!$A:$A,0)),0)</f>
        <v>1989</v>
      </c>
      <c r="E6" s="70">
        <f>IFERROR(INDEX(internacional_base!$D:$D,MATCH(A6,internacional_base!$A:$A,0)),0)</f>
        <v>3822.4650744999999</v>
      </c>
      <c r="F6" s="70">
        <f t="shared" si="1"/>
        <v>397.8</v>
      </c>
      <c r="G6" s="70">
        <f t="shared" si="2"/>
        <v>3424.6650744999997</v>
      </c>
      <c r="H6" s="70">
        <f t="shared" si="3"/>
        <v>3822.4650744999999</v>
      </c>
    </row>
    <row r="7" spans="1:8">
      <c r="A7" s="18">
        <v>2031</v>
      </c>
      <c r="B7" s="18" t="s">
        <v>843</v>
      </c>
      <c r="C7" s="18" t="str">
        <f t="shared" si="0"/>
        <v>Base Excel</v>
      </c>
      <c r="D7" s="70">
        <f>IFERROR(INDEX(internacional_base!$B:$B,MATCH(A7,internacional_base!$A:$A,0)),0)</f>
        <v>2349</v>
      </c>
      <c r="E7" s="70">
        <f>IFERROR(INDEX(internacional_base!$D:$D,MATCH(A7,internacional_base!$A:$A,0)),0)</f>
        <v>5334.7430770000001</v>
      </c>
      <c r="F7" s="70">
        <f t="shared" si="1"/>
        <v>469.8</v>
      </c>
      <c r="G7" s="70">
        <f t="shared" si="2"/>
        <v>4864.9430769999999</v>
      </c>
      <c r="H7" s="70">
        <f t="shared" si="3"/>
        <v>5334.7430770000001</v>
      </c>
    </row>
    <row r="8" spans="1:8">
      <c r="A8" s="18">
        <v>2032</v>
      </c>
      <c r="B8" s="18" t="s">
        <v>843</v>
      </c>
      <c r="C8" s="18" t="str">
        <f t="shared" si="0"/>
        <v>Base Excel</v>
      </c>
      <c r="D8" s="70">
        <f>IFERROR(INDEX(internacional_base!$B:$B,MATCH(A8,internacional_base!$A:$A,0)),0)</f>
        <v>3667</v>
      </c>
      <c r="E8" s="70">
        <f>IFERROR(INDEX(internacional_base!$D:$D,MATCH(A8,internacional_base!$A:$A,0)),0)</f>
        <v>7702.9933890000011</v>
      </c>
      <c r="F8" s="70">
        <f t="shared" si="1"/>
        <v>733.4</v>
      </c>
      <c r="G8" s="70">
        <f t="shared" si="2"/>
        <v>6969.5933890000015</v>
      </c>
      <c r="H8" s="70">
        <f t="shared" si="3"/>
        <v>7702.9933890000011</v>
      </c>
    </row>
    <row r="9" spans="1:8">
      <c r="A9" s="18">
        <v>2033</v>
      </c>
      <c r="B9" s="18" t="s">
        <v>843</v>
      </c>
      <c r="C9" s="18" t="str">
        <f t="shared" si="0"/>
        <v>Base Excel</v>
      </c>
      <c r="D9" s="70">
        <f>IFERROR(INDEX(internacional_base!$B:$B,MATCH(A9,internacional_base!$A:$A,0)),0)</f>
        <v>3845</v>
      </c>
      <c r="E9" s="70">
        <f>IFERROR(INDEX(internacional_base!$D:$D,MATCH(A9,internacional_base!$A:$A,0)),0)</f>
        <v>9616.848215</v>
      </c>
      <c r="F9" s="70">
        <f t="shared" si="1"/>
        <v>769</v>
      </c>
      <c r="G9" s="70">
        <f t="shared" si="2"/>
        <v>8847.848215</v>
      </c>
      <c r="H9" s="70">
        <f t="shared" si="3"/>
        <v>9616.848215</v>
      </c>
    </row>
    <row r="10" spans="1:8">
      <c r="A10" s="18">
        <v>2034</v>
      </c>
      <c r="B10" s="18" t="s">
        <v>843</v>
      </c>
      <c r="C10" s="18" t="str">
        <f t="shared" si="0"/>
        <v>Base Excel</v>
      </c>
      <c r="D10" s="70">
        <f>IFERROR(INDEX(internacional_base!$B:$B,MATCH(A10,internacional_base!$A:$A,0)),0)</f>
        <v>4543</v>
      </c>
      <c r="E10" s="70">
        <f>IFERROR(INDEX(internacional_base!$D:$D,MATCH(A10,internacional_base!$A:$A,0)),0)</f>
        <v>11811.9915315</v>
      </c>
      <c r="F10" s="70">
        <f t="shared" si="1"/>
        <v>908.6</v>
      </c>
      <c r="G10" s="70">
        <f t="shared" si="2"/>
        <v>10903.391531499999</v>
      </c>
      <c r="H10" s="70">
        <f t="shared" si="3"/>
        <v>11811.9915315</v>
      </c>
    </row>
    <row r="11" spans="1:8">
      <c r="A11" s="18">
        <v>2035</v>
      </c>
      <c r="B11" s="18" t="s">
        <v>843</v>
      </c>
      <c r="C11" s="18" t="str">
        <f t="shared" si="0"/>
        <v>Base Excel</v>
      </c>
      <c r="D11" s="70">
        <f>IFERROR(INDEX(internacional_base!$B:$B,MATCH(A11,internacional_base!$A:$A,0)),0)</f>
        <v>4543</v>
      </c>
      <c r="E11" s="70">
        <f>IFERROR(INDEX(internacional_base!$D:$D,MATCH(A11,internacional_base!$A:$A,0)),0)</f>
        <v>13811.101949</v>
      </c>
      <c r="F11" s="70">
        <f t="shared" si="1"/>
        <v>908.6</v>
      </c>
      <c r="G11" s="70">
        <f t="shared" si="2"/>
        <v>12902.501949</v>
      </c>
      <c r="H11" s="70">
        <f t="shared" si="3"/>
        <v>13811.101949</v>
      </c>
    </row>
    <row r="12" spans="1:8">
      <c r="A12" s="18">
        <v>2036</v>
      </c>
      <c r="B12" s="18" t="s">
        <v>843</v>
      </c>
      <c r="C12" s="18" t="str">
        <f t="shared" si="0"/>
        <v>Base Excel</v>
      </c>
      <c r="D12" s="70">
        <f>IFERROR(INDEX(internacional_base!$B:$B,MATCH(A12,internacional_base!$A:$A,0)),0)</f>
        <v>4543</v>
      </c>
      <c r="E12" s="70">
        <f>IFERROR(INDEX(internacional_base!$D:$D,MATCH(A12,internacional_base!$A:$A,0)),0)</f>
        <v>16471.486228000002</v>
      </c>
      <c r="F12" s="70">
        <f t="shared" si="1"/>
        <v>908.6</v>
      </c>
      <c r="G12" s="70">
        <f t="shared" si="2"/>
        <v>15562.886228000001</v>
      </c>
      <c r="H12" s="70">
        <f t="shared" si="3"/>
        <v>16471.486228000002</v>
      </c>
    </row>
    <row r="13" spans="1:8">
      <c r="A13" s="18">
        <v>2037</v>
      </c>
      <c r="B13" s="18" t="s">
        <v>843</v>
      </c>
      <c r="C13" s="18" t="str">
        <f t="shared" ref="C13:C21" si="4">"Proyección"</f>
        <v>Proyección</v>
      </c>
      <c r="D13" s="70">
        <f>D12*(1+IFERROR(INDEX(internacional_crecimiento!$B:$B,MATCH(A13,internacional_crecimiento!$A:$A,0)),3%))</f>
        <v>4679.29</v>
      </c>
      <c r="E13" s="70">
        <f>E12*(1+IFERROR(INDEX(internacional_crecimiento!$D:$D,MATCH(A13,internacional_crecimiento!$A:$A,0)),3%))</f>
        <v>16965.630814840002</v>
      </c>
      <c r="F13" s="70">
        <f t="shared" si="1"/>
        <v>935.85799999999995</v>
      </c>
      <c r="G13" s="70">
        <f t="shared" si="2"/>
        <v>16029.772814840002</v>
      </c>
      <c r="H13" s="70">
        <f t="shared" si="3"/>
        <v>16965.630814840002</v>
      </c>
    </row>
    <row r="14" spans="1:8">
      <c r="A14" s="18">
        <v>2038</v>
      </c>
      <c r="B14" s="18" t="s">
        <v>843</v>
      </c>
      <c r="C14" s="18" t="str">
        <f t="shared" si="4"/>
        <v>Proyección</v>
      </c>
      <c r="D14" s="70">
        <f>D13*(1+IFERROR(INDEX(internacional_crecimiento!$B:$B,MATCH(A14,internacional_crecimiento!$A:$A,0)),3%))</f>
        <v>4819.6687000000002</v>
      </c>
      <c r="E14" s="70">
        <f>E13*(1+IFERROR(INDEX(internacional_crecimiento!$D:$D,MATCH(A14,internacional_crecimiento!$A:$A,0)),3%))</f>
        <v>17474.599739285204</v>
      </c>
      <c r="F14" s="70">
        <f t="shared" si="1"/>
        <v>963.93374000000006</v>
      </c>
      <c r="G14" s="70">
        <f t="shared" si="2"/>
        <v>16510.665999285204</v>
      </c>
      <c r="H14" s="70">
        <f t="shared" si="3"/>
        <v>17474.599739285204</v>
      </c>
    </row>
    <row r="15" spans="1:8">
      <c r="A15" s="18">
        <v>2039</v>
      </c>
      <c r="B15" s="18" t="s">
        <v>843</v>
      </c>
      <c r="C15" s="18" t="str">
        <f t="shared" si="4"/>
        <v>Proyección</v>
      </c>
      <c r="D15" s="70">
        <f>D14*(1+IFERROR(INDEX(internacional_crecimiento!$B:$B,MATCH(A15,internacional_crecimiento!$A:$A,0)),3%))</f>
        <v>4964.258761</v>
      </c>
      <c r="E15" s="70">
        <f>E14*(1+IFERROR(INDEX(internacional_crecimiento!$D:$D,MATCH(A15,internacional_crecimiento!$A:$A,0)),3%))</f>
        <v>17998.837731463762</v>
      </c>
      <c r="F15" s="70">
        <f t="shared" si="1"/>
        <v>992.85175219999996</v>
      </c>
      <c r="G15" s="70">
        <f t="shared" si="2"/>
        <v>17005.985979263762</v>
      </c>
      <c r="H15" s="70">
        <f t="shared" si="3"/>
        <v>17998.837731463762</v>
      </c>
    </row>
    <row r="16" spans="1:8">
      <c r="A16" s="18">
        <v>2040</v>
      </c>
      <c r="B16" s="18" t="s">
        <v>843</v>
      </c>
      <c r="C16" s="18" t="str">
        <f t="shared" si="4"/>
        <v>Proyección</v>
      </c>
      <c r="D16" s="70">
        <f>D15*(1+IFERROR(INDEX(internacional_crecimiento!$B:$B,MATCH(A16,internacional_crecimiento!$A:$A,0)),3%))</f>
        <v>5113.1865238300006</v>
      </c>
      <c r="E16" s="70">
        <f>E15*(1+IFERROR(INDEX(internacional_crecimiento!$D:$D,MATCH(A16,internacional_crecimiento!$A:$A,0)),3%))</f>
        <v>18538.802863407676</v>
      </c>
      <c r="F16" s="70">
        <f t="shared" si="1"/>
        <v>1022.6373047660002</v>
      </c>
      <c r="G16" s="70">
        <f t="shared" si="2"/>
        <v>17516.165558641675</v>
      </c>
      <c r="H16" s="70">
        <f t="shared" si="3"/>
        <v>18538.802863407676</v>
      </c>
    </row>
    <row r="17" spans="1:8">
      <c r="A17" s="18">
        <v>2041</v>
      </c>
      <c r="B17" s="18" t="s">
        <v>843</v>
      </c>
      <c r="C17" s="18" t="str">
        <f t="shared" si="4"/>
        <v>Proyección</v>
      </c>
      <c r="D17" s="70">
        <f>D16*(1+IFERROR(INDEX(internacional_crecimiento!$B:$B,MATCH(A17,internacional_crecimiento!$A:$A,0)),3%))</f>
        <v>5266.5821195449007</v>
      </c>
      <c r="E17" s="70">
        <f>E16*(1+IFERROR(INDEX(internacional_crecimiento!$D:$D,MATCH(A17,internacional_crecimiento!$A:$A,0)),3%))</f>
        <v>19094.966949309906</v>
      </c>
      <c r="F17" s="70">
        <f t="shared" si="1"/>
        <v>1053.3164239089801</v>
      </c>
      <c r="G17" s="70">
        <f t="shared" si="2"/>
        <v>18041.650525400924</v>
      </c>
      <c r="H17" s="70">
        <f t="shared" si="3"/>
        <v>19094.966949309906</v>
      </c>
    </row>
    <row r="18" spans="1:8">
      <c r="A18" s="18">
        <v>2042</v>
      </c>
      <c r="B18" s="18" t="s">
        <v>843</v>
      </c>
      <c r="C18" s="18" t="str">
        <f t="shared" si="4"/>
        <v>Proyección</v>
      </c>
      <c r="D18" s="70">
        <f>D17*(1+IFERROR(INDEX(internacional_crecimiento!$B:$B,MATCH(A18,internacional_crecimiento!$A:$A,0)),3%))</f>
        <v>5424.579583131248</v>
      </c>
      <c r="E18" s="70">
        <f>E17*(1+IFERROR(INDEX(internacional_crecimiento!$D:$D,MATCH(A18,internacional_crecimiento!$A:$A,0)),3%))</f>
        <v>19667.815957789204</v>
      </c>
      <c r="F18" s="70">
        <f t="shared" si="1"/>
        <v>1084.9159166262496</v>
      </c>
      <c r="G18" s="70">
        <f t="shared" si="2"/>
        <v>18582.900041162953</v>
      </c>
      <c r="H18" s="70">
        <f t="shared" si="3"/>
        <v>19667.815957789204</v>
      </c>
    </row>
    <row r="19" spans="1:8">
      <c r="A19" s="18">
        <v>2043</v>
      </c>
      <c r="B19" s="18" t="s">
        <v>843</v>
      </c>
      <c r="C19" s="18" t="str">
        <f t="shared" si="4"/>
        <v>Proyección</v>
      </c>
      <c r="D19" s="70">
        <f>D18*(1+IFERROR(INDEX(internacional_crecimiento!$B:$B,MATCH(A19,internacional_crecimiento!$A:$A,0)),3%))</f>
        <v>5587.3169706251856</v>
      </c>
      <c r="E19" s="70">
        <f>E18*(1+IFERROR(INDEX(internacional_crecimiento!$D:$D,MATCH(A19,internacional_crecimiento!$A:$A,0)),3%))</f>
        <v>20257.85043652288</v>
      </c>
      <c r="F19" s="70">
        <f t="shared" si="1"/>
        <v>1117.4633941250372</v>
      </c>
      <c r="G19" s="70">
        <f t="shared" si="2"/>
        <v>19140.387042397844</v>
      </c>
      <c r="H19" s="70">
        <f t="shared" si="3"/>
        <v>20257.85043652288</v>
      </c>
    </row>
    <row r="20" spans="1:8">
      <c r="A20" s="18">
        <v>2044</v>
      </c>
      <c r="B20" s="18" t="s">
        <v>843</v>
      </c>
      <c r="C20" s="18" t="str">
        <f t="shared" si="4"/>
        <v>Proyección</v>
      </c>
      <c r="D20" s="70">
        <f>D19*(1+IFERROR(INDEX(internacional_crecimiento!$B:$B,MATCH(A20,internacional_crecimiento!$A:$A,0)),3%))</f>
        <v>5754.9364797439412</v>
      </c>
      <c r="E20" s="70">
        <f>E19*(1+IFERROR(INDEX(internacional_crecimiento!$D:$D,MATCH(A20,internacional_crecimiento!$A:$A,0)),3%))</f>
        <v>20865.585949618566</v>
      </c>
      <c r="F20" s="70">
        <f t="shared" si="1"/>
        <v>1150.9872959487882</v>
      </c>
      <c r="G20" s="70">
        <f t="shared" si="2"/>
        <v>19714.598653669778</v>
      </c>
      <c r="H20" s="70">
        <f t="shared" si="3"/>
        <v>20865.585949618566</v>
      </c>
    </row>
    <row r="21" spans="1:8">
      <c r="A21" s="18">
        <v>2045</v>
      </c>
      <c r="B21" s="18" t="s">
        <v>843</v>
      </c>
      <c r="C21" s="18" t="str">
        <f t="shared" si="4"/>
        <v>Proyección</v>
      </c>
      <c r="D21" s="70">
        <f>D20*(1+IFERROR(INDEX(internacional_crecimiento!$B:$B,MATCH(A21,internacional_crecimiento!$A:$A,0)),3%))</f>
        <v>5927.5845741362591</v>
      </c>
      <c r="E21" s="70">
        <f>E20*(1+IFERROR(INDEX(internacional_crecimiento!$D:$D,MATCH(A21,internacional_crecimiento!$A:$A,0)),3%))</f>
        <v>21491.553528107124</v>
      </c>
      <c r="F21" s="70">
        <f t="shared" si="1"/>
        <v>1185.5169148272519</v>
      </c>
      <c r="G21" s="70">
        <f t="shared" si="2"/>
        <v>20306.036613279874</v>
      </c>
      <c r="H21" s="70">
        <f t="shared" si="3"/>
        <v>21491.553528107124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5"/>
  <sheetViews>
    <sheetView workbookViewId="0"/>
  </sheetViews>
  <sheetFormatPr baseColWidth="10" defaultColWidth="8.6640625" defaultRowHeight="14"/>
  <cols>
    <col min="1" max="2" width="28" customWidth="1"/>
    <col min="3" max="4" width="48" customWidth="1"/>
    <col min="5" max="5" width="28" customWidth="1"/>
  </cols>
  <sheetData>
    <row r="1" spans="1:5">
      <c r="A1" s="79" t="s">
        <v>98</v>
      </c>
      <c r="B1" s="79" t="s">
        <v>1279</v>
      </c>
      <c r="C1" s="79" t="s">
        <v>151</v>
      </c>
      <c r="D1" s="79" t="s">
        <v>1280</v>
      </c>
      <c r="E1" s="79" t="s">
        <v>1281</v>
      </c>
    </row>
    <row r="2" spans="1:5">
      <c r="A2" s="78">
        <v>2036</v>
      </c>
      <c r="B2" s="78" t="s">
        <v>1068</v>
      </c>
      <c r="C2" s="78" t="s">
        <v>1282</v>
      </c>
      <c r="D2" s="78" t="s">
        <v>1283</v>
      </c>
      <c r="E2" s="78" t="s">
        <v>1284</v>
      </c>
    </row>
    <row r="3" spans="1:5">
      <c r="A3" s="78">
        <v>2036</v>
      </c>
      <c r="B3" s="78" t="s">
        <v>1285</v>
      </c>
      <c r="C3" s="78" t="s">
        <v>1286</v>
      </c>
      <c r="D3" s="78" t="s">
        <v>1287</v>
      </c>
      <c r="E3" s="78" t="s">
        <v>1284</v>
      </c>
    </row>
    <row r="4" spans="1:5">
      <c r="A4" s="78">
        <v>2036</v>
      </c>
      <c r="B4" s="78" t="s">
        <v>1288</v>
      </c>
      <c r="C4" s="78" t="s">
        <v>1289</v>
      </c>
      <c r="D4" s="78" t="s">
        <v>1290</v>
      </c>
      <c r="E4" s="78" t="s">
        <v>1284</v>
      </c>
    </row>
    <row r="5" spans="1:5">
      <c r="A5" s="18">
        <v>2037</v>
      </c>
      <c r="B5" s="18" t="s">
        <v>1291</v>
      </c>
      <c r="C5" s="18" t="s">
        <v>1292</v>
      </c>
      <c r="D5" s="18" t="s">
        <v>1293</v>
      </c>
      <c r="E5" s="18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5"/>
  <sheetViews>
    <sheetView workbookViewId="0"/>
  </sheetViews>
  <sheetFormatPr baseColWidth="10" defaultColWidth="8.6640625" defaultRowHeight="14"/>
  <cols>
    <col min="1" max="2" width="24" customWidth="1"/>
    <col min="3" max="5" width="48" customWidth="1"/>
    <col min="6" max="6" width="24" customWidth="1"/>
  </cols>
  <sheetData>
    <row r="1" spans="1:6">
      <c r="A1" s="77" t="s">
        <v>1294</v>
      </c>
      <c r="B1" s="77" t="s">
        <v>1295</v>
      </c>
      <c r="C1" s="77" t="s">
        <v>152</v>
      </c>
      <c r="D1" s="77" t="s">
        <v>1296</v>
      </c>
      <c r="E1" s="77" t="s">
        <v>738</v>
      </c>
      <c r="F1" s="77"/>
    </row>
    <row r="2" spans="1:6">
      <c r="A2" s="18" t="s">
        <v>1297</v>
      </c>
      <c r="B2" s="18" t="s">
        <v>1298</v>
      </c>
      <c r="C2" s="18" t="s">
        <v>1299</v>
      </c>
      <c r="D2" s="18" t="s">
        <v>1300</v>
      </c>
      <c r="E2" s="18" t="s">
        <v>1301</v>
      </c>
      <c r="F2" s="18"/>
    </row>
    <row r="3" spans="1:6">
      <c r="A3" s="18" t="s">
        <v>36</v>
      </c>
      <c r="B3" s="18" t="s">
        <v>1302</v>
      </c>
      <c r="C3" s="18" t="s">
        <v>1303</v>
      </c>
      <c r="D3" s="18" t="s">
        <v>1300</v>
      </c>
      <c r="E3" s="18" t="s">
        <v>1304</v>
      </c>
      <c r="F3" s="18"/>
    </row>
    <row r="4" spans="1:6">
      <c r="A4" s="18" t="s">
        <v>37</v>
      </c>
      <c r="B4" s="18" t="s">
        <v>1305</v>
      </c>
      <c r="C4" s="18" t="s">
        <v>1306</v>
      </c>
      <c r="D4" s="18" t="s">
        <v>1300</v>
      </c>
      <c r="E4" s="18" t="s">
        <v>1307</v>
      </c>
      <c r="F4" s="18"/>
    </row>
    <row r="5" spans="1:6">
      <c r="A5" s="18" t="s">
        <v>842</v>
      </c>
      <c r="B5" s="18" t="s">
        <v>1308</v>
      </c>
      <c r="C5" s="18" t="s">
        <v>1309</v>
      </c>
      <c r="D5" s="18" t="s">
        <v>1310</v>
      </c>
      <c r="E5" s="18" t="s">
        <v>1311</v>
      </c>
      <c r="F5" s="18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10"/>
  <sheetViews>
    <sheetView workbookViewId="0"/>
  </sheetViews>
  <sheetFormatPr baseColWidth="10" defaultColWidth="8.6640625" defaultRowHeight="14"/>
  <cols>
    <col min="1" max="1" width="26" customWidth="1"/>
    <col min="2" max="2" width="105" customWidth="1"/>
  </cols>
  <sheetData>
    <row r="1" spans="1:2">
      <c r="A1" s="77" t="s">
        <v>951</v>
      </c>
      <c r="B1" s="77" t="s">
        <v>940</v>
      </c>
    </row>
    <row r="2" spans="1:2">
      <c r="A2" s="18" t="s">
        <v>1312</v>
      </c>
      <c r="B2" s="18" t="s">
        <v>1313</v>
      </c>
    </row>
    <row r="3" spans="1:2">
      <c r="A3" s="18" t="s">
        <v>1314</v>
      </c>
      <c r="B3" s="18" t="s">
        <v>1315</v>
      </c>
    </row>
    <row r="4" spans="1:2">
      <c r="A4" s="18" t="s">
        <v>1316</v>
      </c>
      <c r="B4" s="18" t="s">
        <v>1317</v>
      </c>
    </row>
    <row r="5" spans="1:2">
      <c r="A5" s="18" t="s">
        <v>1232</v>
      </c>
      <c r="B5" s="18" t="s">
        <v>1318</v>
      </c>
    </row>
    <row r="6" spans="1:2">
      <c r="A6" s="18" t="s">
        <v>1319</v>
      </c>
      <c r="B6" s="18" t="s">
        <v>1320</v>
      </c>
    </row>
    <row r="7" spans="1:2">
      <c r="A7" s="18" t="s">
        <v>1298</v>
      </c>
      <c r="B7" s="18" t="s">
        <v>1321</v>
      </c>
    </row>
    <row r="8" spans="1:2">
      <c r="A8" s="18" t="s">
        <v>1322</v>
      </c>
      <c r="B8" s="18" t="s">
        <v>1323</v>
      </c>
    </row>
    <row r="9" spans="1:2">
      <c r="A9" s="18" t="s">
        <v>1197</v>
      </c>
      <c r="B9" s="18" t="s">
        <v>1324</v>
      </c>
    </row>
    <row r="10" spans="1:2">
      <c r="A10" s="18" t="s">
        <v>130</v>
      </c>
      <c r="B10" s="18" t="s">
        <v>1325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5"/>
  <sheetViews>
    <sheetView workbookViewId="0"/>
  </sheetViews>
  <sheetFormatPr baseColWidth="10" defaultColWidth="8.6640625" defaultRowHeight="14"/>
  <cols>
    <col min="1" max="1" width="26" customWidth="1"/>
    <col min="2" max="2" width="100" customWidth="1"/>
  </cols>
  <sheetData>
    <row r="1" spans="1:2">
      <c r="A1" s="79" t="s">
        <v>951</v>
      </c>
      <c r="B1" s="79" t="s">
        <v>940</v>
      </c>
    </row>
    <row r="2" spans="1:2">
      <c r="A2" s="18" t="s">
        <v>1326</v>
      </c>
      <c r="B2" s="18" t="s">
        <v>1327</v>
      </c>
    </row>
    <row r="3" spans="1:2">
      <c r="A3" s="18" t="s">
        <v>1328</v>
      </c>
      <c r="B3" s="18" t="s">
        <v>1329</v>
      </c>
    </row>
    <row r="4" spans="1:2">
      <c r="A4" s="18" t="s">
        <v>130</v>
      </c>
      <c r="B4" s="18" t="s">
        <v>1330</v>
      </c>
    </row>
    <row r="5" spans="1:2">
      <c r="A5" s="18" t="s">
        <v>1331</v>
      </c>
      <c r="B5" s="18" t="s">
        <v>1332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7"/>
  <sheetViews>
    <sheetView workbookViewId="0"/>
  </sheetViews>
  <sheetFormatPr baseColWidth="10" defaultColWidth="8.6640625" defaultRowHeight="14"/>
  <cols>
    <col min="1" max="9" width="22" customWidth="1"/>
  </cols>
  <sheetData>
    <row r="1" spans="1:9" ht="28">
      <c r="A1" s="80" t="s">
        <v>98</v>
      </c>
      <c r="B1" s="80" t="s">
        <v>37</v>
      </c>
      <c r="C1" s="80" t="s">
        <v>1277</v>
      </c>
      <c r="D1" s="80" t="s">
        <v>1333</v>
      </c>
      <c r="E1" s="80" t="s">
        <v>1334</v>
      </c>
      <c r="F1" s="80" t="s">
        <v>1278</v>
      </c>
      <c r="G1" s="80" t="s">
        <v>1335</v>
      </c>
      <c r="H1" s="80" t="s">
        <v>1336</v>
      </c>
      <c r="I1" s="80" t="s">
        <v>1337</v>
      </c>
    </row>
    <row r="2" spans="1:9">
      <c r="A2" s="81">
        <v>2036</v>
      </c>
      <c r="B2" s="81" t="s">
        <v>105</v>
      </c>
      <c r="C2" s="81"/>
      <c r="D2" s="81"/>
      <c r="E2" s="81"/>
      <c r="F2" s="81"/>
      <c r="G2" s="81"/>
      <c r="H2" s="81"/>
      <c r="I2" s="81" t="s">
        <v>1338</v>
      </c>
    </row>
    <row r="3" spans="1:9">
      <c r="A3" s="81">
        <v>2036</v>
      </c>
      <c r="B3" s="81" t="s">
        <v>106</v>
      </c>
      <c r="C3" s="81"/>
      <c r="D3" s="81"/>
      <c r="E3" s="81"/>
      <c r="F3" s="81"/>
      <c r="G3" s="81"/>
      <c r="H3" s="81"/>
      <c r="I3" s="81" t="s">
        <v>1338</v>
      </c>
    </row>
    <row r="4" spans="1:9">
      <c r="A4" s="81">
        <v>2036</v>
      </c>
      <c r="B4" s="81" t="s">
        <v>1110</v>
      </c>
      <c r="C4" s="81"/>
      <c r="D4" s="81"/>
      <c r="E4" s="81"/>
      <c r="F4" s="81"/>
      <c r="G4" s="81" t="s">
        <v>1339</v>
      </c>
      <c r="H4" s="81" t="s">
        <v>1340</v>
      </c>
      <c r="I4" s="81" t="s">
        <v>1338</v>
      </c>
    </row>
    <row r="5" spans="1:9">
      <c r="A5" s="18">
        <v>2037</v>
      </c>
      <c r="B5" s="18" t="s">
        <v>105</v>
      </c>
      <c r="C5" s="18"/>
      <c r="D5" s="18"/>
      <c r="E5" s="18"/>
      <c r="F5" s="18"/>
      <c r="G5" s="18"/>
      <c r="H5" s="18"/>
      <c r="I5" s="18"/>
    </row>
    <row r="6" spans="1:9">
      <c r="A6" s="18">
        <v>2037</v>
      </c>
      <c r="B6" s="18" t="s">
        <v>106</v>
      </c>
      <c r="C6" s="18"/>
      <c r="D6" s="18"/>
      <c r="E6" s="18"/>
      <c r="F6" s="18"/>
      <c r="G6" s="18"/>
      <c r="H6" s="18"/>
      <c r="I6" s="18"/>
    </row>
    <row r="7" spans="1:9" ht="28">
      <c r="A7" s="18">
        <v>2037</v>
      </c>
      <c r="B7" s="18" t="s">
        <v>1110</v>
      </c>
      <c r="C7" s="18"/>
      <c r="D7" s="18"/>
      <c r="E7" s="18"/>
      <c r="F7" s="18"/>
      <c r="G7" s="18"/>
      <c r="H7" s="18"/>
      <c r="I7" s="18" t="s">
        <v>1341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105" customWidth="1"/>
  </cols>
  <sheetData>
    <row r="1" spans="1:2">
      <c r="A1" s="80" t="s">
        <v>951</v>
      </c>
      <c r="B1" s="80" t="s">
        <v>940</v>
      </c>
    </row>
    <row r="2" spans="1:2">
      <c r="A2" s="18" t="s">
        <v>1232</v>
      </c>
      <c r="B2" s="18" t="s">
        <v>1342</v>
      </c>
    </row>
    <row r="3" spans="1:2">
      <c r="A3" s="18" t="s">
        <v>1343</v>
      </c>
      <c r="B3" s="18" t="s">
        <v>1344</v>
      </c>
    </row>
    <row r="4" spans="1:2">
      <c r="A4" s="18" t="s">
        <v>744</v>
      </c>
      <c r="B4" s="18" t="s">
        <v>1345</v>
      </c>
    </row>
    <row r="5" spans="1:2">
      <c r="A5" s="18" t="s">
        <v>1346</v>
      </c>
      <c r="B5" s="18" t="s">
        <v>1347</v>
      </c>
    </row>
    <row r="6" spans="1:2">
      <c r="A6" s="18" t="s">
        <v>1072</v>
      </c>
      <c r="B6" s="18" t="s">
        <v>1348</v>
      </c>
    </row>
    <row r="7" spans="1:2">
      <c r="A7" s="18" t="s">
        <v>1349</v>
      </c>
      <c r="B7" s="18" t="s">
        <v>1350</v>
      </c>
    </row>
    <row r="8" spans="1:2">
      <c r="A8" s="18" t="s">
        <v>1248</v>
      </c>
      <c r="B8" s="18" t="s">
        <v>1351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81"/>
  <sheetViews>
    <sheetView workbookViewId="0">
      <selection activeCell="E8" sqref="E8"/>
    </sheetView>
  </sheetViews>
  <sheetFormatPr baseColWidth="10" defaultColWidth="8.6640625" defaultRowHeight="14"/>
  <cols>
    <col min="1" max="6" width="16" customWidth="1"/>
    <col min="7" max="7" width="78" customWidth="1"/>
  </cols>
  <sheetData>
    <row r="1" spans="1:7">
      <c r="A1" s="82" t="s">
        <v>840</v>
      </c>
      <c r="B1" s="82" t="s">
        <v>39</v>
      </c>
      <c r="C1" s="82" t="s">
        <v>841</v>
      </c>
      <c r="D1" s="82" t="s">
        <v>37</v>
      </c>
      <c r="E1" s="82" t="s">
        <v>38</v>
      </c>
      <c r="F1" s="82" t="s">
        <v>1352</v>
      </c>
      <c r="G1" s="82" t="s">
        <v>738</v>
      </c>
    </row>
    <row r="2" spans="1:7">
      <c r="A2" s="18">
        <v>2026</v>
      </c>
      <c r="B2" s="18" t="s">
        <v>843</v>
      </c>
      <c r="C2" s="18">
        <v>2026</v>
      </c>
      <c r="D2" s="18" t="s">
        <v>105</v>
      </c>
      <c r="E2" s="18" t="s">
        <v>844</v>
      </c>
      <c r="F2" s="70">
        <v>0</v>
      </c>
      <c r="G2" s="18" t="s">
        <v>1353</v>
      </c>
    </row>
    <row r="3" spans="1:7">
      <c r="A3" s="18">
        <v>2026</v>
      </c>
      <c r="B3" s="18" t="s">
        <v>843</v>
      </c>
      <c r="C3" s="18">
        <v>2026</v>
      </c>
      <c r="D3" s="18" t="s">
        <v>105</v>
      </c>
      <c r="E3" s="18" t="s">
        <v>849</v>
      </c>
      <c r="F3" s="70">
        <v>0</v>
      </c>
      <c r="G3" s="18" t="s">
        <v>1353</v>
      </c>
    </row>
    <row r="4" spans="1:7">
      <c r="A4" s="18">
        <v>2026</v>
      </c>
      <c r="B4" s="18" t="s">
        <v>843</v>
      </c>
      <c r="C4" s="18">
        <v>2026</v>
      </c>
      <c r="D4" s="18" t="s">
        <v>106</v>
      </c>
      <c r="E4" s="18" t="s">
        <v>844</v>
      </c>
      <c r="F4" s="70">
        <v>2023</v>
      </c>
      <c r="G4" s="18" t="s">
        <v>1353</v>
      </c>
    </row>
    <row r="5" spans="1:7">
      <c r="A5" s="18">
        <v>2026</v>
      </c>
      <c r="B5" s="18" t="s">
        <v>843</v>
      </c>
      <c r="C5" s="18">
        <v>2026</v>
      </c>
      <c r="D5" s="18" t="s">
        <v>106</v>
      </c>
      <c r="E5" s="18" t="s">
        <v>849</v>
      </c>
      <c r="F5" s="70"/>
      <c r="G5" s="18" t="s">
        <v>1353</v>
      </c>
    </row>
    <row r="6" spans="1:7">
      <c r="A6" s="18">
        <v>2026</v>
      </c>
      <c r="B6" s="18" t="s">
        <v>845</v>
      </c>
      <c r="C6" s="18">
        <v>2026</v>
      </c>
      <c r="D6" s="18" t="s">
        <v>105</v>
      </c>
      <c r="E6" s="18" t="s">
        <v>844</v>
      </c>
      <c r="F6" s="70">
        <v>1697</v>
      </c>
      <c r="G6" s="18" t="s">
        <v>1353</v>
      </c>
    </row>
    <row r="7" spans="1:7">
      <c r="A7" s="18">
        <v>2026</v>
      </c>
      <c r="B7" s="18" t="s">
        <v>845</v>
      </c>
      <c r="C7" s="18">
        <v>2026</v>
      </c>
      <c r="D7" s="18" t="s">
        <v>105</v>
      </c>
      <c r="E7" s="18" t="s">
        <v>849</v>
      </c>
      <c r="F7" s="70"/>
      <c r="G7" s="18" t="s">
        <v>1353</v>
      </c>
    </row>
    <row r="8" spans="1:7">
      <c r="A8" s="18">
        <v>2026</v>
      </c>
      <c r="B8" s="18" t="s">
        <v>845</v>
      </c>
      <c r="C8" s="18">
        <v>2026</v>
      </c>
      <c r="D8" s="18" t="s">
        <v>106</v>
      </c>
      <c r="E8" s="18" t="s">
        <v>844</v>
      </c>
      <c r="F8" s="70">
        <v>2702</v>
      </c>
      <c r="G8" s="18" t="s">
        <v>1353</v>
      </c>
    </row>
    <row r="9" spans="1:7">
      <c r="A9" s="18">
        <v>2026</v>
      </c>
      <c r="B9" s="18" t="s">
        <v>845</v>
      </c>
      <c r="C9" s="18">
        <v>2026</v>
      </c>
      <c r="D9" s="18" t="s">
        <v>106</v>
      </c>
      <c r="E9" s="18" t="s">
        <v>849</v>
      </c>
      <c r="F9" s="70"/>
      <c r="G9" s="18" t="s">
        <v>1353</v>
      </c>
    </row>
    <row r="10" spans="1:7">
      <c r="A10" s="18">
        <v>2026</v>
      </c>
      <c r="B10" s="18" t="s">
        <v>846</v>
      </c>
      <c r="C10" s="18">
        <v>2027</v>
      </c>
      <c r="D10" s="18" t="s">
        <v>105</v>
      </c>
      <c r="E10" s="18" t="s">
        <v>844</v>
      </c>
      <c r="F10" s="70">
        <v>3107</v>
      </c>
      <c r="G10" s="18" t="s">
        <v>1353</v>
      </c>
    </row>
    <row r="11" spans="1:7">
      <c r="A11" s="18">
        <v>2026</v>
      </c>
      <c r="B11" s="18" t="s">
        <v>846</v>
      </c>
      <c r="C11" s="18">
        <v>2027</v>
      </c>
      <c r="D11" s="18" t="s">
        <v>105</v>
      </c>
      <c r="E11" s="18" t="s">
        <v>849</v>
      </c>
      <c r="F11" s="70"/>
      <c r="G11" s="18" t="s">
        <v>1353</v>
      </c>
    </row>
    <row r="12" spans="1:7">
      <c r="A12" s="18">
        <v>2027</v>
      </c>
      <c r="B12" s="18" t="s">
        <v>846</v>
      </c>
      <c r="C12" s="18">
        <v>2027</v>
      </c>
      <c r="D12" s="18" t="s">
        <v>106</v>
      </c>
      <c r="E12" s="18" t="s">
        <v>844</v>
      </c>
      <c r="F12" s="70">
        <v>3104</v>
      </c>
      <c r="G12" s="18" t="s">
        <v>1353</v>
      </c>
    </row>
    <row r="13" spans="1:7">
      <c r="A13" s="18">
        <v>2027</v>
      </c>
      <c r="B13" s="18" t="s">
        <v>846</v>
      </c>
      <c r="C13" s="18">
        <v>2027</v>
      </c>
      <c r="D13" s="18" t="s">
        <v>106</v>
      </c>
      <c r="E13" s="18" t="s">
        <v>849</v>
      </c>
      <c r="F13" s="70"/>
      <c r="G13" s="18" t="s">
        <v>1353</v>
      </c>
    </row>
    <row r="14" spans="1:7">
      <c r="A14" s="18">
        <v>2026</v>
      </c>
      <c r="B14" s="18" t="s">
        <v>847</v>
      </c>
      <c r="C14" s="18">
        <v>2027</v>
      </c>
      <c r="D14" s="18" t="s">
        <v>105</v>
      </c>
      <c r="E14" s="18" t="s">
        <v>844</v>
      </c>
      <c r="F14" s="70">
        <v>4809</v>
      </c>
      <c r="G14" s="18" t="s">
        <v>1353</v>
      </c>
    </row>
    <row r="15" spans="1:7">
      <c r="A15" s="18">
        <v>2026</v>
      </c>
      <c r="B15" s="18" t="s">
        <v>847</v>
      </c>
      <c r="C15" s="18">
        <v>2027</v>
      </c>
      <c r="D15" s="18" t="s">
        <v>105</v>
      </c>
      <c r="E15" s="18" t="s">
        <v>849</v>
      </c>
      <c r="F15" s="70"/>
      <c r="G15" s="18" t="s">
        <v>1353</v>
      </c>
    </row>
    <row r="16" spans="1:7">
      <c r="A16" s="18">
        <v>2027</v>
      </c>
      <c r="B16" s="18" t="s">
        <v>847</v>
      </c>
      <c r="C16" s="18">
        <v>2027</v>
      </c>
      <c r="D16" s="18" t="s">
        <v>106</v>
      </c>
      <c r="E16" s="18" t="s">
        <v>844</v>
      </c>
      <c r="F16" s="70">
        <v>3528</v>
      </c>
      <c r="G16" s="18" t="s">
        <v>1353</v>
      </c>
    </row>
    <row r="17" spans="1:7">
      <c r="A17" s="18">
        <v>2027</v>
      </c>
      <c r="B17" s="18" t="s">
        <v>847</v>
      </c>
      <c r="C17" s="18">
        <v>2027</v>
      </c>
      <c r="D17" s="18" t="s">
        <v>106</v>
      </c>
      <c r="E17" s="18" t="s">
        <v>849</v>
      </c>
      <c r="F17" s="70"/>
      <c r="G17" s="18" t="s">
        <v>1353</v>
      </c>
    </row>
    <row r="18" spans="1:7">
      <c r="A18" s="18">
        <v>2026</v>
      </c>
      <c r="B18" s="18" t="s">
        <v>848</v>
      </c>
      <c r="C18" s="18">
        <v>2027</v>
      </c>
      <c r="D18" s="18" t="s">
        <v>105</v>
      </c>
      <c r="E18" s="18" t="s">
        <v>844</v>
      </c>
      <c r="F18" s="70">
        <v>5886</v>
      </c>
      <c r="G18" s="18" t="s">
        <v>1353</v>
      </c>
    </row>
    <row r="19" spans="1:7">
      <c r="A19" s="18">
        <v>2026</v>
      </c>
      <c r="B19" s="18" t="s">
        <v>848</v>
      </c>
      <c r="C19" s="18">
        <v>2027</v>
      </c>
      <c r="D19" s="18" t="s">
        <v>105</v>
      </c>
      <c r="E19" s="18" t="s">
        <v>849</v>
      </c>
      <c r="F19" s="70"/>
      <c r="G19" s="18" t="s">
        <v>1353</v>
      </c>
    </row>
    <row r="20" spans="1:7">
      <c r="A20" s="18">
        <v>2027</v>
      </c>
      <c r="B20" s="18" t="s">
        <v>848</v>
      </c>
      <c r="C20" s="18">
        <v>2027</v>
      </c>
      <c r="D20" s="18" t="s">
        <v>106</v>
      </c>
      <c r="E20" s="18" t="s">
        <v>844</v>
      </c>
      <c r="F20" s="70">
        <v>3798</v>
      </c>
      <c r="G20" s="18" t="s">
        <v>1353</v>
      </c>
    </row>
    <row r="21" spans="1:7">
      <c r="A21" s="18">
        <v>2027</v>
      </c>
      <c r="B21" s="18" t="s">
        <v>848</v>
      </c>
      <c r="C21" s="18">
        <v>2027</v>
      </c>
      <c r="D21" s="18" t="s">
        <v>106</v>
      </c>
      <c r="E21" s="18" t="s">
        <v>849</v>
      </c>
      <c r="F21" s="70"/>
      <c r="G21" s="18" t="s">
        <v>1353</v>
      </c>
    </row>
    <row r="22" spans="1:7">
      <c r="A22" s="18">
        <v>2027</v>
      </c>
      <c r="B22" s="18" t="s">
        <v>843</v>
      </c>
      <c r="C22" s="18">
        <v>2027</v>
      </c>
      <c r="D22" s="18" t="s">
        <v>105</v>
      </c>
      <c r="E22" s="18" t="s">
        <v>844</v>
      </c>
      <c r="F22" s="70">
        <v>7563</v>
      </c>
      <c r="G22" s="18" t="s">
        <v>1353</v>
      </c>
    </row>
    <row r="23" spans="1:7">
      <c r="A23" s="18">
        <v>2027</v>
      </c>
      <c r="B23" s="18" t="s">
        <v>843</v>
      </c>
      <c r="C23" s="18">
        <v>2027</v>
      </c>
      <c r="D23" s="18" t="s">
        <v>105</v>
      </c>
      <c r="E23" s="18" t="s">
        <v>849</v>
      </c>
      <c r="F23" s="70"/>
      <c r="G23" s="18" t="s">
        <v>1353</v>
      </c>
    </row>
    <row r="24" spans="1:7">
      <c r="A24" s="18">
        <v>2027</v>
      </c>
      <c r="B24" s="18" t="s">
        <v>843</v>
      </c>
      <c r="C24" s="18">
        <v>2027</v>
      </c>
      <c r="D24" s="18" t="s">
        <v>106</v>
      </c>
      <c r="E24" s="18" t="s">
        <v>844</v>
      </c>
      <c r="F24" s="70">
        <v>4070</v>
      </c>
      <c r="G24" s="18" t="s">
        <v>1353</v>
      </c>
    </row>
    <row r="25" spans="1:7">
      <c r="A25" s="18">
        <v>2027</v>
      </c>
      <c r="B25" s="18" t="s">
        <v>843</v>
      </c>
      <c r="C25" s="18">
        <v>2027</v>
      </c>
      <c r="D25" s="18" t="s">
        <v>106</v>
      </c>
      <c r="E25" s="18" t="s">
        <v>849</v>
      </c>
      <c r="F25" s="70"/>
      <c r="G25" s="18" t="s">
        <v>1353</v>
      </c>
    </row>
    <row r="26" spans="1:7">
      <c r="A26" s="18">
        <v>2027</v>
      </c>
      <c r="B26" s="18" t="s">
        <v>845</v>
      </c>
      <c r="C26" s="18">
        <v>2027</v>
      </c>
      <c r="D26" s="18" t="s">
        <v>105</v>
      </c>
      <c r="E26" s="18" t="s">
        <v>844</v>
      </c>
      <c r="F26" s="70">
        <v>8762</v>
      </c>
      <c r="G26" s="18" t="s">
        <v>1353</v>
      </c>
    </row>
    <row r="27" spans="1:7">
      <c r="A27" s="18">
        <v>2027</v>
      </c>
      <c r="B27" s="18" t="s">
        <v>845</v>
      </c>
      <c r="C27" s="18">
        <v>2027</v>
      </c>
      <c r="D27" s="18" t="s">
        <v>105</v>
      </c>
      <c r="E27" s="18" t="s">
        <v>849</v>
      </c>
      <c r="F27" s="70"/>
      <c r="G27" s="18" t="s">
        <v>1353</v>
      </c>
    </row>
    <row r="28" spans="1:7">
      <c r="A28" s="18">
        <v>2027</v>
      </c>
      <c r="B28" s="18" t="s">
        <v>845</v>
      </c>
      <c r="C28" s="18">
        <v>2027</v>
      </c>
      <c r="D28" s="18" t="s">
        <v>106</v>
      </c>
      <c r="E28" s="18" t="s">
        <v>844</v>
      </c>
      <c r="F28" s="70">
        <v>4672</v>
      </c>
      <c r="G28" s="18" t="s">
        <v>1353</v>
      </c>
    </row>
    <row r="29" spans="1:7">
      <c r="A29" s="18">
        <v>2027</v>
      </c>
      <c r="B29" s="18" t="s">
        <v>845</v>
      </c>
      <c r="C29" s="18">
        <v>2027</v>
      </c>
      <c r="D29" s="18" t="s">
        <v>106</v>
      </c>
      <c r="E29" s="18" t="s">
        <v>849</v>
      </c>
      <c r="F29" s="70"/>
      <c r="G29" s="18" t="s">
        <v>1353</v>
      </c>
    </row>
    <row r="30" spans="1:7">
      <c r="A30" s="18">
        <v>2027</v>
      </c>
      <c r="B30" s="18" t="s">
        <v>846</v>
      </c>
      <c r="C30" s="18">
        <v>2028</v>
      </c>
      <c r="D30" s="18" t="s">
        <v>105</v>
      </c>
      <c r="E30" s="18" t="s">
        <v>844</v>
      </c>
      <c r="F30" s="70">
        <v>9833</v>
      </c>
      <c r="G30" s="18" t="s">
        <v>1353</v>
      </c>
    </row>
    <row r="31" spans="1:7">
      <c r="A31" s="18">
        <v>2027</v>
      </c>
      <c r="B31" s="18" t="s">
        <v>846</v>
      </c>
      <c r="C31" s="18">
        <v>2028</v>
      </c>
      <c r="D31" s="18" t="s">
        <v>105</v>
      </c>
      <c r="E31" s="18" t="s">
        <v>849</v>
      </c>
      <c r="F31" s="70"/>
      <c r="G31" s="18" t="s">
        <v>1353</v>
      </c>
    </row>
    <row r="32" spans="1:7">
      <c r="A32" s="18">
        <v>2028</v>
      </c>
      <c r="B32" s="18" t="s">
        <v>846</v>
      </c>
      <c r="C32" s="18">
        <v>2028</v>
      </c>
      <c r="D32" s="18" t="s">
        <v>106</v>
      </c>
      <c r="E32" s="18" t="s">
        <v>844</v>
      </c>
      <c r="F32" s="70">
        <v>4949</v>
      </c>
      <c r="G32" s="18" t="s">
        <v>1353</v>
      </c>
    </row>
    <row r="33" spans="1:7">
      <c r="A33" s="18">
        <v>2028</v>
      </c>
      <c r="B33" s="18" t="s">
        <v>846</v>
      </c>
      <c r="C33" s="18">
        <v>2028</v>
      </c>
      <c r="D33" s="18" t="s">
        <v>106</v>
      </c>
      <c r="E33" s="18" t="s">
        <v>849</v>
      </c>
      <c r="F33" s="70"/>
      <c r="G33" s="18" t="s">
        <v>1353</v>
      </c>
    </row>
    <row r="34" spans="1:7">
      <c r="A34" s="18">
        <v>2027</v>
      </c>
      <c r="B34" s="18" t="s">
        <v>847</v>
      </c>
      <c r="C34" s="18">
        <v>2028</v>
      </c>
      <c r="D34" s="18" t="s">
        <v>105</v>
      </c>
      <c r="E34" s="18" t="s">
        <v>844</v>
      </c>
      <c r="F34" s="70">
        <v>11303</v>
      </c>
      <c r="G34" s="18" t="s">
        <v>1353</v>
      </c>
    </row>
    <row r="35" spans="1:7">
      <c r="A35" s="18">
        <v>2027</v>
      </c>
      <c r="B35" s="18" t="s">
        <v>847</v>
      </c>
      <c r="C35" s="18">
        <v>2028</v>
      </c>
      <c r="D35" s="18" t="s">
        <v>105</v>
      </c>
      <c r="E35" s="18" t="s">
        <v>849</v>
      </c>
      <c r="F35" s="70"/>
      <c r="G35" s="18" t="s">
        <v>1353</v>
      </c>
    </row>
    <row r="36" spans="1:7">
      <c r="A36" s="18">
        <v>2028</v>
      </c>
      <c r="B36" s="18" t="s">
        <v>847</v>
      </c>
      <c r="C36" s="18">
        <v>2028</v>
      </c>
      <c r="D36" s="18" t="s">
        <v>106</v>
      </c>
      <c r="E36" s="18" t="s">
        <v>844</v>
      </c>
      <c r="F36" s="70">
        <v>5352</v>
      </c>
      <c r="G36" s="18" t="s">
        <v>1353</v>
      </c>
    </row>
    <row r="37" spans="1:7">
      <c r="A37" s="18">
        <v>2028</v>
      </c>
      <c r="B37" s="18" t="s">
        <v>847</v>
      </c>
      <c r="C37" s="18">
        <v>2028</v>
      </c>
      <c r="D37" s="18" t="s">
        <v>106</v>
      </c>
      <c r="E37" s="18" t="s">
        <v>849</v>
      </c>
      <c r="F37" s="70"/>
      <c r="G37" s="18" t="s">
        <v>1353</v>
      </c>
    </row>
    <row r="38" spans="1:7">
      <c r="A38" s="18">
        <v>2027</v>
      </c>
      <c r="B38" s="18" t="s">
        <v>848</v>
      </c>
      <c r="C38" s="18">
        <v>2028</v>
      </c>
      <c r="D38" s="18" t="s">
        <v>105</v>
      </c>
      <c r="E38" s="18" t="s">
        <v>844</v>
      </c>
      <c r="F38" s="70">
        <v>12071</v>
      </c>
      <c r="G38" s="18" t="s">
        <v>1353</v>
      </c>
    </row>
    <row r="39" spans="1:7">
      <c r="A39" s="18">
        <v>2027</v>
      </c>
      <c r="B39" s="18" t="s">
        <v>848</v>
      </c>
      <c r="C39" s="18">
        <v>2028</v>
      </c>
      <c r="D39" s="18" t="s">
        <v>105</v>
      </c>
      <c r="E39" s="18" t="s">
        <v>849</v>
      </c>
      <c r="F39" s="70"/>
      <c r="G39" s="18" t="s">
        <v>1353</v>
      </c>
    </row>
    <row r="40" spans="1:7">
      <c r="A40" s="18">
        <v>2028</v>
      </c>
      <c r="B40" s="18" t="s">
        <v>848</v>
      </c>
      <c r="C40" s="18">
        <v>2028</v>
      </c>
      <c r="D40" s="18" t="s">
        <v>106</v>
      </c>
      <c r="E40" s="18" t="s">
        <v>844</v>
      </c>
      <c r="F40" s="70">
        <v>5847</v>
      </c>
      <c r="G40" s="18" t="s">
        <v>1353</v>
      </c>
    </row>
    <row r="41" spans="1:7">
      <c r="A41" s="18">
        <v>2028</v>
      </c>
      <c r="B41" s="18" t="s">
        <v>848</v>
      </c>
      <c r="C41" s="18">
        <v>2028</v>
      </c>
      <c r="D41" s="18" t="s">
        <v>106</v>
      </c>
      <c r="E41" s="18" t="s">
        <v>849</v>
      </c>
      <c r="F41" s="70"/>
      <c r="G41" s="18" t="s">
        <v>1353</v>
      </c>
    </row>
    <row r="42" spans="1:7">
      <c r="A42" s="18">
        <v>2028</v>
      </c>
      <c r="B42" s="18" t="s">
        <v>843</v>
      </c>
      <c r="C42" s="18">
        <v>2028</v>
      </c>
      <c r="D42" s="18" t="s">
        <v>105</v>
      </c>
      <c r="E42" s="18" t="s">
        <v>844</v>
      </c>
      <c r="F42" s="70">
        <v>13052</v>
      </c>
      <c r="G42" s="18" t="s">
        <v>1353</v>
      </c>
    </row>
    <row r="43" spans="1:7">
      <c r="A43" s="18">
        <v>2028</v>
      </c>
      <c r="B43" s="18" t="s">
        <v>843</v>
      </c>
      <c r="C43" s="18">
        <v>2028</v>
      </c>
      <c r="D43" s="18" t="s">
        <v>105</v>
      </c>
      <c r="E43" s="18" t="s">
        <v>849</v>
      </c>
      <c r="F43" s="70"/>
      <c r="G43" s="18" t="s">
        <v>1353</v>
      </c>
    </row>
    <row r="44" spans="1:7">
      <c r="A44" s="18">
        <v>2028</v>
      </c>
      <c r="B44" s="18" t="s">
        <v>843</v>
      </c>
      <c r="C44" s="18">
        <v>2028</v>
      </c>
      <c r="D44" s="18" t="s">
        <v>106</v>
      </c>
      <c r="E44" s="18" t="s">
        <v>844</v>
      </c>
      <c r="F44" s="70">
        <v>6377</v>
      </c>
      <c r="G44" s="18" t="s">
        <v>1353</v>
      </c>
    </row>
    <row r="45" spans="1:7">
      <c r="A45" s="18">
        <v>2028</v>
      </c>
      <c r="B45" s="18" t="s">
        <v>843</v>
      </c>
      <c r="C45" s="18">
        <v>2028</v>
      </c>
      <c r="D45" s="18" t="s">
        <v>106</v>
      </c>
      <c r="E45" s="18" t="s">
        <v>849</v>
      </c>
      <c r="F45" s="70"/>
      <c r="G45" s="18" t="s">
        <v>1353</v>
      </c>
    </row>
    <row r="46" spans="1:7">
      <c r="A46" s="18">
        <v>2028</v>
      </c>
      <c r="B46" s="18" t="s">
        <v>845</v>
      </c>
      <c r="C46" s="18">
        <v>2028</v>
      </c>
      <c r="D46" s="18" t="s">
        <v>105</v>
      </c>
      <c r="E46" s="18" t="s">
        <v>844</v>
      </c>
      <c r="F46" s="70">
        <v>13294</v>
      </c>
      <c r="G46" s="18" t="s">
        <v>1353</v>
      </c>
    </row>
    <row r="47" spans="1:7">
      <c r="A47" s="18">
        <v>2028</v>
      </c>
      <c r="B47" s="18" t="s">
        <v>845</v>
      </c>
      <c r="C47" s="18">
        <v>2028</v>
      </c>
      <c r="D47" s="18" t="s">
        <v>105</v>
      </c>
      <c r="E47" s="18" t="s">
        <v>849</v>
      </c>
      <c r="F47" s="70"/>
      <c r="G47" s="18" t="s">
        <v>1353</v>
      </c>
    </row>
    <row r="48" spans="1:7">
      <c r="A48" s="18">
        <v>2028</v>
      </c>
      <c r="B48" s="18" t="s">
        <v>845</v>
      </c>
      <c r="C48" s="18">
        <v>2028</v>
      </c>
      <c r="D48" s="18" t="s">
        <v>106</v>
      </c>
      <c r="E48" s="18" t="s">
        <v>844</v>
      </c>
      <c r="F48" s="70">
        <v>6525</v>
      </c>
      <c r="G48" s="18" t="s">
        <v>1353</v>
      </c>
    </row>
    <row r="49" spans="1:7">
      <c r="A49" s="18">
        <v>2028</v>
      </c>
      <c r="B49" s="18" t="s">
        <v>845</v>
      </c>
      <c r="C49" s="18">
        <v>2028</v>
      </c>
      <c r="D49" s="18" t="s">
        <v>106</v>
      </c>
      <c r="E49" s="18" t="s">
        <v>849</v>
      </c>
      <c r="F49" s="70"/>
      <c r="G49" s="18" t="s">
        <v>1353</v>
      </c>
    </row>
    <row r="50" spans="1:7">
      <c r="A50" s="18">
        <v>2028</v>
      </c>
      <c r="B50" s="18" t="s">
        <v>846</v>
      </c>
      <c r="C50" s="18">
        <v>2029</v>
      </c>
      <c r="D50" s="18" t="s">
        <v>105</v>
      </c>
      <c r="E50" s="18" t="s">
        <v>844</v>
      </c>
      <c r="F50" s="70">
        <v>13470</v>
      </c>
      <c r="G50" s="18" t="s">
        <v>1353</v>
      </c>
    </row>
    <row r="51" spans="1:7">
      <c r="A51" s="18">
        <v>2028</v>
      </c>
      <c r="B51" s="18" t="s">
        <v>846</v>
      </c>
      <c r="C51" s="18">
        <v>2029</v>
      </c>
      <c r="D51" s="18" t="s">
        <v>105</v>
      </c>
      <c r="E51" s="18" t="s">
        <v>849</v>
      </c>
      <c r="F51" s="70"/>
      <c r="G51" s="18" t="s">
        <v>1353</v>
      </c>
    </row>
    <row r="52" spans="1:7">
      <c r="A52" s="18">
        <v>2029</v>
      </c>
      <c r="B52" s="18" t="s">
        <v>846</v>
      </c>
      <c r="C52" s="18">
        <v>2029</v>
      </c>
      <c r="D52" s="18" t="s">
        <v>106</v>
      </c>
      <c r="E52" s="18" t="s">
        <v>844</v>
      </c>
      <c r="F52" s="70">
        <v>6633</v>
      </c>
      <c r="G52" s="18" t="s">
        <v>1353</v>
      </c>
    </row>
    <row r="53" spans="1:7">
      <c r="A53" s="18">
        <v>2029</v>
      </c>
      <c r="B53" s="18" t="s">
        <v>846</v>
      </c>
      <c r="C53" s="18">
        <v>2029</v>
      </c>
      <c r="D53" s="18" t="s">
        <v>106</v>
      </c>
      <c r="E53" s="18" t="s">
        <v>849</v>
      </c>
      <c r="F53" s="70"/>
      <c r="G53" s="18" t="s">
        <v>1353</v>
      </c>
    </row>
    <row r="54" spans="1:7">
      <c r="A54" s="18">
        <v>2028</v>
      </c>
      <c r="B54" s="18" t="s">
        <v>847</v>
      </c>
      <c r="C54" s="18">
        <v>2029</v>
      </c>
      <c r="D54" s="18" t="s">
        <v>105</v>
      </c>
      <c r="E54" s="18" t="s">
        <v>844</v>
      </c>
      <c r="F54" s="70">
        <v>13844</v>
      </c>
      <c r="G54" s="18" t="s">
        <v>1353</v>
      </c>
    </row>
    <row r="55" spans="1:7">
      <c r="A55" s="18">
        <v>2028</v>
      </c>
      <c r="B55" s="18" t="s">
        <v>847</v>
      </c>
      <c r="C55" s="18">
        <v>2029</v>
      </c>
      <c r="D55" s="18" t="s">
        <v>105</v>
      </c>
      <c r="E55" s="18" t="s">
        <v>849</v>
      </c>
      <c r="F55" s="70"/>
      <c r="G55" s="18" t="s">
        <v>1353</v>
      </c>
    </row>
    <row r="56" spans="1:7">
      <c r="A56" s="18">
        <v>2029</v>
      </c>
      <c r="B56" s="18" t="s">
        <v>847</v>
      </c>
      <c r="C56" s="18">
        <v>2029</v>
      </c>
      <c r="D56" s="18" t="s">
        <v>106</v>
      </c>
      <c r="E56" s="18" t="s">
        <v>844</v>
      </c>
      <c r="F56" s="70">
        <v>7373</v>
      </c>
      <c r="G56" s="18" t="s">
        <v>1353</v>
      </c>
    </row>
    <row r="57" spans="1:7">
      <c r="A57" s="18">
        <v>2029</v>
      </c>
      <c r="B57" s="18" t="s">
        <v>847</v>
      </c>
      <c r="C57" s="18">
        <v>2029</v>
      </c>
      <c r="D57" s="18" t="s">
        <v>106</v>
      </c>
      <c r="E57" s="18" t="s">
        <v>849</v>
      </c>
      <c r="F57" s="70"/>
      <c r="G57" s="18" t="s">
        <v>1353</v>
      </c>
    </row>
    <row r="58" spans="1:7">
      <c r="A58" s="18">
        <v>2028</v>
      </c>
      <c r="B58" s="18" t="s">
        <v>848</v>
      </c>
      <c r="C58" s="18">
        <v>2029</v>
      </c>
      <c r="D58" s="18" t="s">
        <v>105</v>
      </c>
      <c r="E58" s="18" t="s">
        <v>844</v>
      </c>
      <c r="F58" s="70">
        <v>14119</v>
      </c>
      <c r="G58" s="18" t="s">
        <v>1353</v>
      </c>
    </row>
    <row r="59" spans="1:7">
      <c r="A59" s="18">
        <v>2028</v>
      </c>
      <c r="B59" s="18" t="s">
        <v>848</v>
      </c>
      <c r="C59" s="18">
        <v>2029</v>
      </c>
      <c r="D59" s="18" t="s">
        <v>105</v>
      </c>
      <c r="E59" s="18" t="s">
        <v>849</v>
      </c>
      <c r="F59" s="70"/>
      <c r="G59" s="18" t="s">
        <v>1353</v>
      </c>
    </row>
    <row r="60" spans="1:7">
      <c r="A60" s="18">
        <v>2029</v>
      </c>
      <c r="B60" s="18" t="s">
        <v>848</v>
      </c>
      <c r="C60" s="18">
        <v>2029</v>
      </c>
      <c r="D60" s="18" t="s">
        <v>106</v>
      </c>
      <c r="E60" s="18" t="s">
        <v>844</v>
      </c>
      <c r="F60" s="70">
        <v>7521</v>
      </c>
      <c r="G60" s="18" t="s">
        <v>1353</v>
      </c>
    </row>
    <row r="61" spans="1:7">
      <c r="A61" s="18">
        <v>2029</v>
      </c>
      <c r="B61" s="18" t="s">
        <v>848</v>
      </c>
      <c r="C61" s="18">
        <v>2029</v>
      </c>
      <c r="D61" s="18" t="s">
        <v>106</v>
      </c>
      <c r="E61" s="18" t="s">
        <v>849</v>
      </c>
      <c r="F61" s="70"/>
      <c r="G61" s="18" t="s">
        <v>1353</v>
      </c>
    </row>
    <row r="62" spans="1:7">
      <c r="A62" s="18">
        <v>2029</v>
      </c>
      <c r="B62" s="18" t="s">
        <v>843</v>
      </c>
      <c r="C62" s="18">
        <v>2029</v>
      </c>
      <c r="D62" s="18" t="s">
        <v>105</v>
      </c>
      <c r="E62" s="18" t="s">
        <v>844</v>
      </c>
      <c r="F62" s="70">
        <v>14902</v>
      </c>
      <c r="G62" s="18" t="s">
        <v>1353</v>
      </c>
    </row>
    <row r="63" spans="1:7">
      <c r="A63" s="18">
        <v>2029</v>
      </c>
      <c r="B63" s="18" t="s">
        <v>843</v>
      </c>
      <c r="C63" s="18">
        <v>2029</v>
      </c>
      <c r="D63" s="18" t="s">
        <v>105</v>
      </c>
      <c r="E63" s="18" t="s">
        <v>849</v>
      </c>
      <c r="F63" s="70"/>
      <c r="G63" s="18" t="s">
        <v>1353</v>
      </c>
    </row>
    <row r="64" spans="1:7">
      <c r="A64" s="18">
        <v>2029</v>
      </c>
      <c r="B64" s="18" t="s">
        <v>843</v>
      </c>
      <c r="C64" s="18">
        <v>2029</v>
      </c>
      <c r="D64" s="18" t="s">
        <v>106</v>
      </c>
      <c r="E64" s="18" t="s">
        <v>844</v>
      </c>
      <c r="F64" s="70">
        <v>7764</v>
      </c>
      <c r="G64" s="18" t="s">
        <v>1353</v>
      </c>
    </row>
    <row r="65" spans="1:7">
      <c r="A65" s="18">
        <v>2029</v>
      </c>
      <c r="B65" s="18" t="s">
        <v>843</v>
      </c>
      <c r="C65" s="18">
        <v>2029</v>
      </c>
      <c r="D65" s="18" t="s">
        <v>106</v>
      </c>
      <c r="E65" s="18" t="s">
        <v>849</v>
      </c>
      <c r="F65" s="70"/>
      <c r="G65" s="18" t="s">
        <v>1353</v>
      </c>
    </row>
    <row r="66" spans="1:7">
      <c r="A66" s="18">
        <v>2029</v>
      </c>
      <c r="B66" s="18" t="s">
        <v>845</v>
      </c>
      <c r="C66" s="18">
        <v>2029</v>
      </c>
      <c r="D66" s="18" t="s">
        <v>105</v>
      </c>
      <c r="E66" s="18" t="s">
        <v>844</v>
      </c>
      <c r="F66" s="70">
        <v>15196</v>
      </c>
      <c r="G66" s="18" t="s">
        <v>1353</v>
      </c>
    </row>
    <row r="67" spans="1:7">
      <c r="A67" s="18">
        <v>2029</v>
      </c>
      <c r="B67" s="18" t="s">
        <v>845</v>
      </c>
      <c r="C67" s="18">
        <v>2029</v>
      </c>
      <c r="D67" s="18" t="s">
        <v>105</v>
      </c>
      <c r="E67" s="18" t="s">
        <v>849</v>
      </c>
      <c r="F67" s="70"/>
      <c r="G67" s="18" t="s">
        <v>1353</v>
      </c>
    </row>
    <row r="68" spans="1:7">
      <c r="A68" s="18">
        <v>2029</v>
      </c>
      <c r="B68" s="18" t="s">
        <v>845</v>
      </c>
      <c r="C68" s="18">
        <v>2029</v>
      </c>
      <c r="D68" s="18" t="s">
        <v>106</v>
      </c>
      <c r="E68" s="18" t="s">
        <v>844</v>
      </c>
      <c r="F68" s="70">
        <v>8479</v>
      </c>
      <c r="G68" s="18" t="s">
        <v>1353</v>
      </c>
    </row>
    <row r="69" spans="1:7">
      <c r="A69" s="18">
        <v>2029</v>
      </c>
      <c r="B69" s="18" t="s">
        <v>845</v>
      </c>
      <c r="C69" s="18">
        <v>2029</v>
      </c>
      <c r="D69" s="18" t="s">
        <v>106</v>
      </c>
      <c r="E69" s="18" t="s">
        <v>849</v>
      </c>
      <c r="F69" s="70"/>
      <c r="G69" s="18" t="s">
        <v>1353</v>
      </c>
    </row>
    <row r="70" spans="1:7">
      <c r="A70" s="18">
        <v>2030</v>
      </c>
      <c r="B70" s="18" t="s">
        <v>846</v>
      </c>
      <c r="C70" s="18">
        <v>2030</v>
      </c>
      <c r="D70" s="18" t="s">
        <v>105</v>
      </c>
      <c r="E70" s="18" t="s">
        <v>844</v>
      </c>
      <c r="F70" s="70">
        <v>14986</v>
      </c>
      <c r="G70" s="18" t="s">
        <v>1353</v>
      </c>
    </row>
    <row r="71" spans="1:7">
      <c r="A71" s="18">
        <v>2030</v>
      </c>
      <c r="B71" s="18" t="s">
        <v>846</v>
      </c>
      <c r="C71" s="18">
        <v>2030</v>
      </c>
      <c r="D71" s="18" t="s">
        <v>105</v>
      </c>
      <c r="E71" s="18" t="s">
        <v>849</v>
      </c>
      <c r="F71" s="70"/>
      <c r="G71" s="18" t="s">
        <v>1353</v>
      </c>
    </row>
    <row r="72" spans="1:7">
      <c r="A72" s="18">
        <v>2030</v>
      </c>
      <c r="B72" s="18" t="s">
        <v>846</v>
      </c>
      <c r="C72" s="18">
        <v>2030</v>
      </c>
      <c r="D72" s="18" t="s">
        <v>106</v>
      </c>
      <c r="E72" s="18" t="s">
        <v>844</v>
      </c>
      <c r="F72" s="70">
        <v>8122</v>
      </c>
      <c r="G72" s="18" t="s">
        <v>1353</v>
      </c>
    </row>
    <row r="73" spans="1:7">
      <c r="A73" s="18">
        <v>2030</v>
      </c>
      <c r="B73" s="18" t="s">
        <v>846</v>
      </c>
      <c r="C73" s="18">
        <v>2030</v>
      </c>
      <c r="D73" s="18" t="s">
        <v>106</v>
      </c>
      <c r="E73" s="18" t="s">
        <v>849</v>
      </c>
      <c r="F73" s="70"/>
      <c r="G73" s="18" t="s">
        <v>1353</v>
      </c>
    </row>
    <row r="74" spans="1:7">
      <c r="A74" s="18">
        <v>2030</v>
      </c>
      <c r="B74" s="18" t="s">
        <v>847</v>
      </c>
      <c r="C74" s="18">
        <v>2030</v>
      </c>
      <c r="D74" s="18" t="s">
        <v>105</v>
      </c>
      <c r="E74" s="18" t="s">
        <v>844</v>
      </c>
      <c r="F74" s="70">
        <v>15496</v>
      </c>
      <c r="G74" s="18" t="s">
        <v>1353</v>
      </c>
    </row>
    <row r="75" spans="1:7">
      <c r="A75" s="18">
        <v>2030</v>
      </c>
      <c r="B75" s="18" t="s">
        <v>847</v>
      </c>
      <c r="C75" s="18">
        <v>2030</v>
      </c>
      <c r="D75" s="18" t="s">
        <v>105</v>
      </c>
      <c r="E75" s="18" t="s">
        <v>849</v>
      </c>
      <c r="F75" s="70"/>
      <c r="G75" s="18" t="s">
        <v>1353</v>
      </c>
    </row>
    <row r="76" spans="1:7">
      <c r="A76" s="18">
        <v>2030</v>
      </c>
      <c r="B76" s="18" t="s">
        <v>847</v>
      </c>
      <c r="C76" s="18">
        <v>2030</v>
      </c>
      <c r="D76" s="18" t="s">
        <v>106</v>
      </c>
      <c r="E76" s="18" t="s">
        <v>844</v>
      </c>
      <c r="F76" s="70">
        <v>9538</v>
      </c>
      <c r="G76" s="18" t="s">
        <v>1353</v>
      </c>
    </row>
    <row r="77" spans="1:7">
      <c r="A77" s="18">
        <v>2030</v>
      </c>
      <c r="B77" s="18" t="s">
        <v>847</v>
      </c>
      <c r="C77" s="18">
        <v>2030</v>
      </c>
      <c r="D77" s="18" t="s">
        <v>106</v>
      </c>
      <c r="E77" s="18" t="s">
        <v>849</v>
      </c>
      <c r="F77" s="70"/>
      <c r="G77" s="18" t="s">
        <v>1353</v>
      </c>
    </row>
    <row r="78" spans="1:7">
      <c r="A78" s="18">
        <v>2030</v>
      </c>
      <c r="B78" s="18" t="s">
        <v>848</v>
      </c>
      <c r="C78" s="18">
        <v>2030</v>
      </c>
      <c r="D78" s="18" t="s">
        <v>105</v>
      </c>
      <c r="E78" s="18" t="s">
        <v>844</v>
      </c>
      <c r="F78" s="70">
        <v>15802</v>
      </c>
      <c r="G78" s="18" t="s">
        <v>1353</v>
      </c>
    </row>
    <row r="79" spans="1:7">
      <c r="A79" s="18">
        <v>2030</v>
      </c>
      <c r="B79" s="18" t="s">
        <v>848</v>
      </c>
      <c r="C79" s="18">
        <v>2030</v>
      </c>
      <c r="D79" s="18" t="s">
        <v>105</v>
      </c>
      <c r="E79" s="18" t="s">
        <v>849</v>
      </c>
      <c r="F79" s="70"/>
      <c r="G79" s="18" t="s">
        <v>1353</v>
      </c>
    </row>
    <row r="80" spans="1:7">
      <c r="A80" s="18">
        <v>2030</v>
      </c>
      <c r="B80" s="18" t="s">
        <v>848</v>
      </c>
      <c r="C80" s="18">
        <v>2030</v>
      </c>
      <c r="D80" s="18" t="s">
        <v>106</v>
      </c>
      <c r="E80" s="18" t="s">
        <v>844</v>
      </c>
      <c r="F80" s="70">
        <v>10052</v>
      </c>
      <c r="G80" s="18" t="s">
        <v>1353</v>
      </c>
    </row>
    <row r="81" spans="1:7">
      <c r="A81" s="18">
        <v>2030</v>
      </c>
      <c r="B81" s="18" t="s">
        <v>848</v>
      </c>
      <c r="C81" s="18">
        <v>2030</v>
      </c>
      <c r="D81" s="18" t="s">
        <v>106</v>
      </c>
      <c r="E81" s="18" t="s">
        <v>849</v>
      </c>
      <c r="F81" s="70"/>
      <c r="G81" s="18" t="s">
        <v>1353</v>
      </c>
    </row>
  </sheetData>
  <autoFilter ref="A1:G81" xr:uid="{00000000-0001-0000-3F00-000000000000}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E430-F33B-49EE-861E-5AB361478164}">
  <dimension ref="A1:E30"/>
  <sheetViews>
    <sheetView tabSelected="1" workbookViewId="0">
      <selection activeCell="D10" sqref="D10"/>
    </sheetView>
  </sheetViews>
  <sheetFormatPr baseColWidth="10" defaultRowHeight="14"/>
  <sheetData>
    <row r="1" spans="1:5" ht="28">
      <c r="A1" s="101" t="s">
        <v>841</v>
      </c>
      <c r="B1" s="102" t="s">
        <v>39</v>
      </c>
      <c r="C1" s="102" t="s">
        <v>37</v>
      </c>
      <c r="D1" s="102" t="s">
        <v>38</v>
      </c>
      <c r="E1" s="101" t="s">
        <v>1334</v>
      </c>
    </row>
    <row r="2" spans="1:5">
      <c r="A2" s="100">
        <v>2026</v>
      </c>
      <c r="B2" s="6" t="s">
        <v>846</v>
      </c>
      <c r="C2" s="6" t="s">
        <v>105</v>
      </c>
      <c r="D2" s="6" t="s">
        <v>844</v>
      </c>
      <c r="E2" s="100" t="s">
        <v>1439</v>
      </c>
    </row>
    <row r="3" spans="1:5">
      <c r="A3" s="100">
        <v>2026</v>
      </c>
      <c r="B3" s="6" t="s">
        <v>1440</v>
      </c>
      <c r="C3" s="6" t="s">
        <v>105</v>
      </c>
      <c r="D3" s="6" t="s">
        <v>844</v>
      </c>
      <c r="E3" s="100" t="s">
        <v>1439</v>
      </c>
    </row>
    <row r="4" spans="1:5">
      <c r="A4" s="100">
        <v>2026</v>
      </c>
      <c r="B4" s="6" t="s">
        <v>1441</v>
      </c>
      <c r="C4" s="6" t="s">
        <v>105</v>
      </c>
      <c r="D4" s="6" t="s">
        <v>844</v>
      </c>
      <c r="E4" s="100">
        <v>9820</v>
      </c>
    </row>
    <row r="5" spans="1:5">
      <c r="A5" s="100">
        <v>2026</v>
      </c>
      <c r="B5" s="6" t="s">
        <v>846</v>
      </c>
      <c r="C5" s="6" t="s">
        <v>106</v>
      </c>
      <c r="D5" s="6" t="s">
        <v>844</v>
      </c>
      <c r="E5" s="100" t="s">
        <v>1439</v>
      </c>
    </row>
    <row r="6" spans="1:5">
      <c r="A6" s="100">
        <v>2026</v>
      </c>
      <c r="B6" s="6" t="s">
        <v>1440</v>
      </c>
      <c r="C6" s="6" t="s">
        <v>106</v>
      </c>
      <c r="D6" s="6" t="s">
        <v>844</v>
      </c>
      <c r="E6" s="100" t="s">
        <v>1439</v>
      </c>
    </row>
    <row r="7" spans="1:5">
      <c r="A7" s="100">
        <v>2026</v>
      </c>
      <c r="B7" s="6" t="s">
        <v>1441</v>
      </c>
      <c r="C7" s="6" t="s">
        <v>106</v>
      </c>
      <c r="D7" s="6" t="s">
        <v>844</v>
      </c>
      <c r="E7" s="100">
        <v>6185</v>
      </c>
    </row>
    <row r="8" spans="1:5">
      <c r="A8" s="100">
        <v>2027</v>
      </c>
      <c r="B8" s="6" t="s">
        <v>846</v>
      </c>
      <c r="C8" s="6" t="s">
        <v>105</v>
      </c>
      <c r="D8" s="6" t="s">
        <v>844</v>
      </c>
      <c r="E8">
        <v>7800</v>
      </c>
    </row>
    <row r="9" spans="1:5">
      <c r="A9" s="100">
        <v>2027</v>
      </c>
      <c r="B9" s="6" t="s">
        <v>1440</v>
      </c>
      <c r="C9" s="6" t="s">
        <v>105</v>
      </c>
      <c r="D9" s="6" t="s">
        <v>844</v>
      </c>
      <c r="E9" s="100">
        <v>5810</v>
      </c>
    </row>
    <row r="10" spans="1:5">
      <c r="A10" s="100">
        <v>2027</v>
      </c>
      <c r="B10" s="6" t="s">
        <v>1441</v>
      </c>
      <c r="C10" s="6" t="s">
        <v>105</v>
      </c>
      <c r="D10" s="6" t="s">
        <v>844</v>
      </c>
      <c r="E10" s="100">
        <v>3800</v>
      </c>
    </row>
    <row r="11" spans="1:5">
      <c r="A11" s="100">
        <v>2027</v>
      </c>
      <c r="B11" s="6" t="s">
        <v>846</v>
      </c>
      <c r="C11" s="6" t="s">
        <v>106</v>
      </c>
      <c r="D11" s="6" t="s">
        <v>844</v>
      </c>
      <c r="E11" s="100">
        <v>5709</v>
      </c>
    </row>
    <row r="12" spans="1:5">
      <c r="A12" s="100">
        <v>2027</v>
      </c>
      <c r="B12" s="6" t="s">
        <v>1440</v>
      </c>
      <c r="C12" s="6" t="s">
        <v>106</v>
      </c>
      <c r="D12" s="6" t="s">
        <v>844</v>
      </c>
      <c r="E12" s="100">
        <v>5500</v>
      </c>
    </row>
    <row r="13" spans="1:5">
      <c r="A13" s="100">
        <v>2027</v>
      </c>
      <c r="B13" s="6" t="s">
        <v>1441</v>
      </c>
      <c r="C13" s="6" t="s">
        <v>106</v>
      </c>
      <c r="D13" s="6" t="s">
        <v>844</v>
      </c>
      <c r="E13" s="100">
        <v>5100</v>
      </c>
    </row>
    <row r="14" spans="1:5">
      <c r="A14" s="100">
        <v>2028</v>
      </c>
      <c r="B14" s="6" t="s">
        <v>846</v>
      </c>
      <c r="C14" s="6" t="s">
        <v>105</v>
      </c>
      <c r="D14" s="6" t="s">
        <v>844</v>
      </c>
      <c r="E14" s="100">
        <v>1800</v>
      </c>
    </row>
    <row r="15" spans="1:5">
      <c r="A15" s="100">
        <v>2028</v>
      </c>
      <c r="B15" s="6" t="s">
        <v>1440</v>
      </c>
      <c r="C15" s="6" t="s">
        <v>105</v>
      </c>
      <c r="D15" s="6" t="s">
        <v>844</v>
      </c>
      <c r="E15" s="100">
        <v>1000</v>
      </c>
    </row>
    <row r="16" spans="1:5">
      <c r="A16" s="100">
        <v>2028</v>
      </c>
      <c r="B16" s="6" t="s">
        <v>1441</v>
      </c>
      <c r="C16" s="6" t="s">
        <v>105</v>
      </c>
      <c r="D16" s="6" t="s">
        <v>844</v>
      </c>
    </row>
    <row r="17" spans="1:5">
      <c r="A17" s="100">
        <v>2028</v>
      </c>
      <c r="B17" s="6" t="s">
        <v>846</v>
      </c>
      <c r="C17" s="6" t="s">
        <v>106</v>
      </c>
      <c r="D17" s="6" t="s">
        <v>844</v>
      </c>
      <c r="E17" s="100">
        <v>4756</v>
      </c>
    </row>
    <row r="18" spans="1:5">
      <c r="A18" s="100">
        <v>2028</v>
      </c>
      <c r="B18" s="6" t="s">
        <v>1440</v>
      </c>
      <c r="C18" s="6" t="s">
        <v>106</v>
      </c>
      <c r="D18" s="6" t="s">
        <v>844</v>
      </c>
      <c r="E18" s="100">
        <v>4225</v>
      </c>
    </row>
    <row r="19" spans="1:5">
      <c r="A19" s="100">
        <v>2028</v>
      </c>
      <c r="B19" s="6" t="s">
        <v>1441</v>
      </c>
      <c r="C19" s="6" t="s">
        <v>106</v>
      </c>
      <c r="D19" s="6" t="s">
        <v>844</v>
      </c>
      <c r="E19" s="100">
        <v>3976</v>
      </c>
    </row>
    <row r="20" spans="1:5">
      <c r="A20" s="100">
        <v>2029</v>
      </c>
      <c r="B20" s="6" t="s">
        <v>846</v>
      </c>
      <c r="C20" s="6" t="s">
        <v>105</v>
      </c>
      <c r="D20" s="6" t="s">
        <v>844</v>
      </c>
    </row>
    <row r="21" spans="1:5">
      <c r="A21" s="100">
        <v>2029</v>
      </c>
      <c r="B21" s="6" t="s">
        <v>1440</v>
      </c>
      <c r="C21" s="6" t="s">
        <v>105</v>
      </c>
      <c r="D21" s="6" t="s">
        <v>844</v>
      </c>
    </row>
    <row r="22" spans="1:5">
      <c r="A22" s="100">
        <v>2029</v>
      </c>
      <c r="B22" s="6" t="s">
        <v>1441</v>
      </c>
      <c r="C22" s="6" t="s">
        <v>105</v>
      </c>
      <c r="D22" s="6" t="s">
        <v>844</v>
      </c>
    </row>
    <row r="23" spans="1:5">
      <c r="A23" s="100">
        <v>2029</v>
      </c>
      <c r="B23" s="6" t="s">
        <v>846</v>
      </c>
      <c r="C23" s="6" t="s">
        <v>106</v>
      </c>
      <c r="D23" s="6" t="s">
        <v>844</v>
      </c>
      <c r="E23" s="100">
        <v>3745</v>
      </c>
    </row>
    <row r="24" spans="1:5">
      <c r="A24" s="100">
        <v>2029</v>
      </c>
      <c r="B24" s="6" t="s">
        <v>1440</v>
      </c>
      <c r="C24" s="6" t="s">
        <v>106</v>
      </c>
      <c r="D24" s="6" t="s">
        <v>844</v>
      </c>
      <c r="E24" s="100">
        <v>3500</v>
      </c>
    </row>
    <row r="25" spans="1:5">
      <c r="A25" s="100">
        <v>2029</v>
      </c>
      <c r="B25" s="6" t="s">
        <v>1441</v>
      </c>
      <c r="C25" s="6" t="s">
        <v>106</v>
      </c>
      <c r="D25" s="6" t="s">
        <v>844</v>
      </c>
      <c r="E25" s="100">
        <v>2900</v>
      </c>
    </row>
    <row r="26" spans="1:5">
      <c r="A26" s="100">
        <v>2030</v>
      </c>
      <c r="B26" s="6" t="s">
        <v>846</v>
      </c>
      <c r="C26" s="6" t="s">
        <v>106</v>
      </c>
      <c r="D26" s="6" t="s">
        <v>1442</v>
      </c>
      <c r="E26" s="100">
        <v>2056</v>
      </c>
    </row>
    <row r="27" spans="1:5">
      <c r="A27" s="100">
        <v>2030</v>
      </c>
      <c r="B27" s="6" t="s">
        <v>1440</v>
      </c>
      <c r="C27" s="6" t="s">
        <v>106</v>
      </c>
      <c r="D27" s="6" t="s">
        <v>1442</v>
      </c>
      <c r="E27" s="100">
        <v>1656</v>
      </c>
    </row>
    <row r="28" spans="1:5">
      <c r="A28" s="100">
        <v>2030</v>
      </c>
      <c r="B28" s="6" t="s">
        <v>1441</v>
      </c>
      <c r="C28" s="6" t="s">
        <v>106</v>
      </c>
      <c r="D28" s="6" t="s">
        <v>1442</v>
      </c>
      <c r="E28" s="100">
        <v>1045</v>
      </c>
    </row>
    <row r="29" spans="1:5">
      <c r="A29" s="100">
        <v>2031</v>
      </c>
      <c r="B29" s="6" t="s">
        <v>846</v>
      </c>
      <c r="C29" s="6" t="s">
        <v>106</v>
      </c>
      <c r="D29" s="6" t="s">
        <v>1442</v>
      </c>
      <c r="E29" s="100">
        <v>645</v>
      </c>
    </row>
    <row r="30" spans="1:5">
      <c r="A30" s="100"/>
      <c r="B30" s="6"/>
      <c r="C30" s="6"/>
      <c r="D30" s="6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81"/>
  <sheetViews>
    <sheetView workbookViewId="0"/>
  </sheetViews>
  <sheetFormatPr baseColWidth="10" defaultColWidth="8.6640625" defaultRowHeight="14"/>
  <cols>
    <col min="1" max="5" width="16" customWidth="1"/>
    <col min="6" max="9" width="18" customWidth="1"/>
    <col min="10" max="10" width="16" customWidth="1"/>
  </cols>
  <sheetData>
    <row r="1" spans="1:10">
      <c r="A1" s="82" t="s">
        <v>840</v>
      </c>
      <c r="B1" s="82" t="s">
        <v>39</v>
      </c>
      <c r="C1" s="82" t="s">
        <v>841</v>
      </c>
      <c r="D1" s="82" t="s">
        <v>37</v>
      </c>
      <c r="E1" s="82" t="s">
        <v>38</v>
      </c>
      <c r="F1" s="82" t="s">
        <v>842</v>
      </c>
      <c r="G1" s="82" t="s">
        <v>1352</v>
      </c>
      <c r="H1" s="82" t="s">
        <v>1354</v>
      </c>
      <c r="I1" s="82" t="s">
        <v>1355</v>
      </c>
      <c r="J1" s="82" t="s">
        <v>1356</v>
      </c>
    </row>
    <row r="2" spans="1:10">
      <c r="A2" s="18">
        <v>2026</v>
      </c>
      <c r="B2" s="18" t="s">
        <v>843</v>
      </c>
      <c r="C2" s="18">
        <v>2026</v>
      </c>
      <c r="D2" s="18" t="s">
        <v>105</v>
      </c>
      <c r="E2" s="18" t="s">
        <v>844</v>
      </c>
      <c r="F2" s="70">
        <f>SUMIFS(ni_bimestral_pos_ejec!$F:$F,ni_bimestral_pos_ejec!$C:$C,$C2,ni_bimestral_pos_ejec!$B:$B,$B2,ni_bimestral_pos_ejec!$D:$D,$D2,ni_bimestral_pos_ejec!$E:$E,$E2)</f>
        <v>1866</v>
      </c>
      <c r="G2" s="70">
        <f>SUMIFS(ri_bimestral_pos_ejec!$F:$F,ri_bimestral_pos_ejec!$C:$C,$C2,ri_bimestral_pos_ejec!$B:$B,$B2,ri_bimestral_pos_ejec!$D:$D,$D2,ri_bimestral_pos_ejec!$E:$E,$E2)</f>
        <v>0</v>
      </c>
      <c r="H2" s="70">
        <f>SUMIFS(pmp_mt_pos_ejec!$E:$E,pmp_mt_pos_ejec!$A:$A,$C2,pmp_mt_pos_ejec!$B:$B,$B2,pmp_mt_pos_ejec!$C:$C,$D2)</f>
        <v>14561</v>
      </c>
      <c r="I2" s="70">
        <f t="shared" ref="I2:I33" si="0">IF(H2=0,"",MAX(0,H2-F2-G2))</f>
        <v>12695</v>
      </c>
      <c r="J2" s="18" t="str">
        <f t="shared" ref="J2:J33" si="1">IF(H2=0,"Sin PMP",IF(ABS((F2+G2+I2)-H2)&lt;1,"OK","Revisar"))</f>
        <v>OK</v>
      </c>
    </row>
    <row r="3" spans="1:10">
      <c r="A3" s="18">
        <v>2026</v>
      </c>
      <c r="B3" s="18" t="s">
        <v>843</v>
      </c>
      <c r="C3" s="18">
        <v>2026</v>
      </c>
      <c r="D3" s="18" t="s">
        <v>105</v>
      </c>
      <c r="E3" s="18" t="s">
        <v>849</v>
      </c>
      <c r="F3" s="70">
        <f>SUMIFS(ni_bimestral_pos_ejec!$F:$F,ni_bimestral_pos_ejec!$C:$C,$C3,ni_bimestral_pos_ejec!$B:$B,$B3,ni_bimestral_pos_ejec!$D:$D,$D3,ni_bimestral_pos_ejec!$E:$E,$E3)</f>
        <v>0</v>
      </c>
      <c r="G3" s="70">
        <f>SUMIFS(ri_bimestral_pos_ejec!$F:$F,ri_bimestral_pos_ejec!$C:$C,$C3,ri_bimestral_pos_ejec!$B:$B,$B3,ri_bimestral_pos_ejec!$D:$D,$D3,ri_bimestral_pos_ejec!$E:$E,$E3)</f>
        <v>0</v>
      </c>
      <c r="H3" s="70">
        <f>SUMIFS(pmp_mt_pos_ejec!$E:$E,pmp_mt_pos_ejec!$A:$A,$C3,pmp_mt_pos_ejec!$B:$B,$B3,pmp_mt_pos_ejec!$C:$C,$D3)</f>
        <v>14561</v>
      </c>
      <c r="I3" s="70">
        <f t="shared" si="0"/>
        <v>14561</v>
      </c>
      <c r="J3" s="18" t="str">
        <f t="shared" si="1"/>
        <v>OK</v>
      </c>
    </row>
    <row r="4" spans="1:10">
      <c r="A4" s="18">
        <v>2026</v>
      </c>
      <c r="B4" s="18" t="s">
        <v>843</v>
      </c>
      <c r="C4" s="18">
        <v>2026</v>
      </c>
      <c r="D4" s="18" t="s">
        <v>106</v>
      </c>
      <c r="E4" s="18" t="s">
        <v>844</v>
      </c>
      <c r="F4" s="70">
        <f>SUMIFS(ni_bimestral_pos_ejec!$F:$F,ni_bimestral_pos_ejec!$C:$C,$C4,ni_bimestral_pos_ejec!$B:$B,$B4,ni_bimestral_pos_ejec!$D:$D,$D4,ni_bimestral_pos_ejec!$E:$E,$E4)</f>
        <v>952</v>
      </c>
      <c r="G4" s="70">
        <f>SUMIFS(ri_bimestral_pos_ejec!$F:$F,ri_bimestral_pos_ejec!$C:$C,$C4,ri_bimestral_pos_ejec!$B:$B,$B4,ri_bimestral_pos_ejec!$D:$D,$D4,ri_bimestral_pos_ejec!$E:$E,$E4)</f>
        <v>2023</v>
      </c>
      <c r="H4" s="70">
        <f>SUMIFS(pmp_mt_pos_ejec!$E:$E,pmp_mt_pos_ejec!$A:$A,$C4,pmp_mt_pos_ejec!$B:$B,$B4,pmp_mt_pos_ejec!$C:$C,$D4)</f>
        <v>10207</v>
      </c>
      <c r="I4" s="70">
        <f t="shared" si="0"/>
        <v>7232</v>
      </c>
      <c r="J4" s="18" t="str">
        <f t="shared" si="1"/>
        <v>OK</v>
      </c>
    </row>
    <row r="5" spans="1:10">
      <c r="A5" s="18">
        <v>2026</v>
      </c>
      <c r="B5" s="18" t="s">
        <v>843</v>
      </c>
      <c r="C5" s="18">
        <v>2026</v>
      </c>
      <c r="D5" s="18" t="s">
        <v>106</v>
      </c>
      <c r="E5" s="18" t="s">
        <v>849</v>
      </c>
      <c r="F5" s="70">
        <f>SUMIFS(ni_bimestral_pos_ejec!$F:$F,ni_bimestral_pos_ejec!$C:$C,$C5,ni_bimestral_pos_ejec!$B:$B,$B5,ni_bimestral_pos_ejec!$D:$D,$D5,ni_bimestral_pos_ejec!$E:$E,$E5)</f>
        <v>0</v>
      </c>
      <c r="G5" s="70">
        <f>SUMIFS(ri_bimestral_pos_ejec!$F:$F,ri_bimestral_pos_ejec!$C:$C,$C5,ri_bimestral_pos_ejec!$B:$B,$B5,ri_bimestral_pos_ejec!$D:$D,$D5,ri_bimestral_pos_ejec!$E:$E,$E5)</f>
        <v>0</v>
      </c>
      <c r="H5" s="70">
        <f>SUMIFS(pmp_mt_pos_ejec!$E:$E,pmp_mt_pos_ejec!$A:$A,$C5,pmp_mt_pos_ejec!$B:$B,$B5,pmp_mt_pos_ejec!$C:$C,$D5)</f>
        <v>10207</v>
      </c>
      <c r="I5" s="70">
        <f t="shared" si="0"/>
        <v>10207</v>
      </c>
      <c r="J5" s="18" t="str">
        <f t="shared" si="1"/>
        <v>OK</v>
      </c>
    </row>
    <row r="6" spans="1:10">
      <c r="A6" s="18">
        <v>2026</v>
      </c>
      <c r="B6" s="18" t="s">
        <v>845</v>
      </c>
      <c r="C6" s="18">
        <v>2026</v>
      </c>
      <c r="D6" s="18" t="s">
        <v>105</v>
      </c>
      <c r="E6" s="18" t="s">
        <v>844</v>
      </c>
      <c r="F6" s="70">
        <f>SUMIFS(ni_bimestral_pos_ejec!$F:$F,ni_bimestral_pos_ejec!$C:$C,$C6,ni_bimestral_pos_ejec!$B:$B,$B6,ni_bimestral_pos_ejec!$D:$D,$D6,ni_bimestral_pos_ejec!$E:$E,$E6)</f>
        <v>1660</v>
      </c>
      <c r="G6" s="70">
        <f>SUMIFS(ri_bimestral_pos_ejec!$F:$F,ri_bimestral_pos_ejec!$C:$C,$C6,ri_bimestral_pos_ejec!$B:$B,$B6,ri_bimestral_pos_ejec!$D:$D,$D6,ri_bimestral_pos_ejec!$E:$E,$E6)</f>
        <v>1697</v>
      </c>
      <c r="H6" s="70">
        <f>SUMIFS(pmp_mt_pos_ejec!$E:$E,pmp_mt_pos_ejec!$A:$A,$C6,pmp_mt_pos_ejec!$B:$B,$B6,pmp_mt_pos_ejec!$C:$C,$D6)</f>
        <v>0</v>
      </c>
      <c r="I6" s="70" t="str">
        <f t="shared" si="0"/>
        <v/>
      </c>
      <c r="J6" s="18" t="str">
        <f t="shared" si="1"/>
        <v>Sin PMP</v>
      </c>
    </row>
    <row r="7" spans="1:10">
      <c r="A7" s="18">
        <v>2026</v>
      </c>
      <c r="B7" s="18" t="s">
        <v>845</v>
      </c>
      <c r="C7" s="18">
        <v>2026</v>
      </c>
      <c r="D7" s="18" t="s">
        <v>105</v>
      </c>
      <c r="E7" s="18" t="s">
        <v>849</v>
      </c>
      <c r="F7" s="70">
        <f>SUMIFS(ni_bimestral_pos_ejec!$F:$F,ni_bimestral_pos_ejec!$C:$C,$C7,ni_bimestral_pos_ejec!$B:$B,$B7,ni_bimestral_pos_ejec!$D:$D,$D7,ni_bimestral_pos_ejec!$E:$E,$E7)</f>
        <v>0</v>
      </c>
      <c r="G7" s="70">
        <f>SUMIFS(ri_bimestral_pos_ejec!$F:$F,ri_bimestral_pos_ejec!$C:$C,$C7,ri_bimestral_pos_ejec!$B:$B,$B7,ri_bimestral_pos_ejec!$D:$D,$D7,ri_bimestral_pos_ejec!$E:$E,$E7)</f>
        <v>0</v>
      </c>
      <c r="H7" s="70">
        <f>SUMIFS(pmp_mt_pos_ejec!$E:$E,pmp_mt_pos_ejec!$A:$A,$C7,pmp_mt_pos_ejec!$B:$B,$B7,pmp_mt_pos_ejec!$C:$C,$D7)</f>
        <v>0</v>
      </c>
      <c r="I7" s="70" t="str">
        <f t="shared" si="0"/>
        <v/>
      </c>
      <c r="J7" s="18" t="str">
        <f t="shared" si="1"/>
        <v>Sin PMP</v>
      </c>
    </row>
    <row r="8" spans="1:10">
      <c r="A8" s="18">
        <v>2026</v>
      </c>
      <c r="B8" s="18" t="s">
        <v>845</v>
      </c>
      <c r="C8" s="18">
        <v>2026</v>
      </c>
      <c r="D8" s="18" t="s">
        <v>106</v>
      </c>
      <c r="E8" s="18" t="s">
        <v>844</v>
      </c>
      <c r="F8" s="70">
        <f>SUMIFS(ni_bimestral_pos_ejec!$F:$F,ni_bimestral_pos_ejec!$C:$C,$C8,ni_bimestral_pos_ejec!$B:$B,$B8,ni_bimestral_pos_ejec!$D:$D,$D8,ni_bimestral_pos_ejec!$E:$E,$E8)</f>
        <v>867</v>
      </c>
      <c r="G8" s="70">
        <f>SUMIFS(ri_bimestral_pos_ejec!$F:$F,ri_bimestral_pos_ejec!$C:$C,$C8,ri_bimestral_pos_ejec!$B:$B,$B8,ri_bimestral_pos_ejec!$D:$D,$D8,ri_bimestral_pos_ejec!$E:$E,$E8)</f>
        <v>2702</v>
      </c>
      <c r="H8" s="70">
        <f>SUMIFS(pmp_mt_pos_ejec!$E:$E,pmp_mt_pos_ejec!$A:$A,$C8,pmp_mt_pos_ejec!$B:$B,$B8,pmp_mt_pos_ejec!$C:$C,$D8)</f>
        <v>0</v>
      </c>
      <c r="I8" s="70" t="str">
        <f t="shared" si="0"/>
        <v/>
      </c>
      <c r="J8" s="18" t="str">
        <f t="shared" si="1"/>
        <v>Sin PMP</v>
      </c>
    </row>
    <row r="9" spans="1:10">
      <c r="A9" s="18">
        <v>2026</v>
      </c>
      <c r="B9" s="18" t="s">
        <v>845</v>
      </c>
      <c r="C9" s="18">
        <v>2026</v>
      </c>
      <c r="D9" s="18" t="s">
        <v>106</v>
      </c>
      <c r="E9" s="18" t="s">
        <v>849</v>
      </c>
      <c r="F9" s="70">
        <f>SUMIFS(ni_bimestral_pos_ejec!$F:$F,ni_bimestral_pos_ejec!$C:$C,$C9,ni_bimestral_pos_ejec!$B:$B,$B9,ni_bimestral_pos_ejec!$D:$D,$D9,ni_bimestral_pos_ejec!$E:$E,$E9)</f>
        <v>0</v>
      </c>
      <c r="G9" s="70">
        <f>SUMIFS(ri_bimestral_pos_ejec!$F:$F,ri_bimestral_pos_ejec!$C:$C,$C9,ri_bimestral_pos_ejec!$B:$B,$B9,ri_bimestral_pos_ejec!$D:$D,$D9,ri_bimestral_pos_ejec!$E:$E,$E9)</f>
        <v>0</v>
      </c>
      <c r="H9" s="70">
        <f>SUMIFS(pmp_mt_pos_ejec!$E:$E,pmp_mt_pos_ejec!$A:$A,$C9,pmp_mt_pos_ejec!$B:$B,$B9,pmp_mt_pos_ejec!$C:$C,$D9)</f>
        <v>0</v>
      </c>
      <c r="I9" s="70" t="str">
        <f t="shared" si="0"/>
        <v/>
      </c>
      <c r="J9" s="18" t="str">
        <f t="shared" si="1"/>
        <v>Sin PMP</v>
      </c>
    </row>
    <row r="10" spans="1:10">
      <c r="A10" s="18">
        <v>2026</v>
      </c>
      <c r="B10" s="18" t="s">
        <v>846</v>
      </c>
      <c r="C10" s="18">
        <v>2027</v>
      </c>
      <c r="D10" s="18" t="s">
        <v>105</v>
      </c>
      <c r="E10" s="18" t="s">
        <v>844</v>
      </c>
      <c r="F10" s="70">
        <f>SUMIFS(ni_bimestral_pos_ejec!$F:$F,ni_bimestral_pos_ejec!$C:$C,$C10,ni_bimestral_pos_ejec!$B:$B,$B10,ni_bimestral_pos_ejec!$D:$D,$D10,ni_bimestral_pos_ejec!$E:$E,$E10)</f>
        <v>2062</v>
      </c>
      <c r="G10" s="70">
        <f>SUMIFS(ri_bimestral_pos_ejec!$F:$F,ri_bimestral_pos_ejec!$C:$C,$C10,ri_bimestral_pos_ejec!$B:$B,$B10,ri_bimestral_pos_ejec!$D:$D,$D10,ri_bimestral_pos_ejec!$E:$E,$E10)</f>
        <v>3107</v>
      </c>
      <c r="H10" s="70">
        <f>SUMIFS(pmp_mt_pos_ejec!$E:$E,pmp_mt_pos_ejec!$A:$A,$C10,pmp_mt_pos_ejec!$B:$B,$B10,pmp_mt_pos_ejec!$C:$C,$D10)</f>
        <v>0</v>
      </c>
      <c r="I10" s="70" t="str">
        <f t="shared" si="0"/>
        <v/>
      </c>
      <c r="J10" s="18" t="str">
        <f t="shared" si="1"/>
        <v>Sin PMP</v>
      </c>
    </row>
    <row r="11" spans="1:10">
      <c r="A11" s="18">
        <v>2026</v>
      </c>
      <c r="B11" s="18" t="s">
        <v>846</v>
      </c>
      <c r="C11" s="18">
        <v>2027</v>
      </c>
      <c r="D11" s="18" t="s">
        <v>105</v>
      </c>
      <c r="E11" s="18" t="s">
        <v>849</v>
      </c>
      <c r="F11" s="70">
        <f>SUMIFS(ni_bimestral_pos_ejec!$F:$F,ni_bimestral_pos_ejec!$C:$C,$C11,ni_bimestral_pos_ejec!$B:$B,$B11,ni_bimestral_pos_ejec!$D:$D,$D11,ni_bimestral_pos_ejec!$E:$E,$E11)</f>
        <v>0</v>
      </c>
      <c r="G11" s="70">
        <f>SUMIFS(ri_bimestral_pos_ejec!$F:$F,ri_bimestral_pos_ejec!$C:$C,$C11,ri_bimestral_pos_ejec!$B:$B,$B11,ri_bimestral_pos_ejec!$D:$D,$D11,ri_bimestral_pos_ejec!$E:$E,$E11)</f>
        <v>0</v>
      </c>
      <c r="H11" s="70">
        <f>SUMIFS(pmp_mt_pos_ejec!$E:$E,pmp_mt_pos_ejec!$A:$A,$C11,pmp_mt_pos_ejec!$B:$B,$B11,pmp_mt_pos_ejec!$C:$C,$D11)</f>
        <v>0</v>
      </c>
      <c r="I11" s="70" t="str">
        <f t="shared" si="0"/>
        <v/>
      </c>
      <c r="J11" s="18" t="str">
        <f t="shared" si="1"/>
        <v>Sin PMP</v>
      </c>
    </row>
    <row r="12" spans="1:10">
      <c r="A12" s="18">
        <v>2026</v>
      </c>
      <c r="B12" s="18" t="s">
        <v>846</v>
      </c>
      <c r="C12" s="18">
        <v>2027</v>
      </c>
      <c r="D12" s="18" t="s">
        <v>106</v>
      </c>
      <c r="E12" s="18" t="s">
        <v>844</v>
      </c>
      <c r="F12" s="70">
        <f>SUMIFS(ni_bimestral_pos_ejec!$F:$F,ni_bimestral_pos_ejec!$C:$C,$C12,ni_bimestral_pos_ejec!$B:$B,$B12,ni_bimestral_pos_ejec!$D:$D,$D12,ni_bimestral_pos_ejec!$E:$E,$E12)</f>
        <v>1020</v>
      </c>
      <c r="G12" s="70">
        <f>SUMIFS(ri_bimestral_pos_ejec!$F:$F,ri_bimestral_pos_ejec!$C:$C,$C12,ri_bimestral_pos_ejec!$B:$B,$B12,ri_bimestral_pos_ejec!$D:$D,$D12,ri_bimestral_pos_ejec!$E:$E,$E12)</f>
        <v>3104</v>
      </c>
      <c r="H12" s="70">
        <f>SUMIFS(pmp_mt_pos_ejec!$E:$E,pmp_mt_pos_ejec!$A:$A,$C12,pmp_mt_pos_ejec!$B:$B,$B12,pmp_mt_pos_ejec!$C:$C,$D12)</f>
        <v>0</v>
      </c>
      <c r="I12" s="70" t="str">
        <f t="shared" si="0"/>
        <v/>
      </c>
      <c r="J12" s="18" t="str">
        <f t="shared" si="1"/>
        <v>Sin PMP</v>
      </c>
    </row>
    <row r="13" spans="1:10">
      <c r="A13" s="18">
        <v>2026</v>
      </c>
      <c r="B13" s="18" t="s">
        <v>846</v>
      </c>
      <c r="C13" s="18">
        <v>2027</v>
      </c>
      <c r="D13" s="18" t="s">
        <v>106</v>
      </c>
      <c r="E13" s="18" t="s">
        <v>849</v>
      </c>
      <c r="F13" s="70">
        <f>SUMIFS(ni_bimestral_pos_ejec!$F:$F,ni_bimestral_pos_ejec!$C:$C,$C13,ni_bimestral_pos_ejec!$B:$B,$B13,ni_bimestral_pos_ejec!$D:$D,$D13,ni_bimestral_pos_ejec!$E:$E,$E13)</f>
        <v>0</v>
      </c>
      <c r="G13" s="70">
        <f>SUMIFS(ri_bimestral_pos_ejec!$F:$F,ri_bimestral_pos_ejec!$C:$C,$C13,ri_bimestral_pos_ejec!$B:$B,$B13,ri_bimestral_pos_ejec!$D:$D,$D13,ri_bimestral_pos_ejec!$E:$E,$E13)</f>
        <v>0</v>
      </c>
      <c r="H13" s="70">
        <f>SUMIFS(pmp_mt_pos_ejec!$E:$E,pmp_mt_pos_ejec!$A:$A,$C13,pmp_mt_pos_ejec!$B:$B,$B13,pmp_mt_pos_ejec!$C:$C,$D13)</f>
        <v>0</v>
      </c>
      <c r="I13" s="70" t="str">
        <f t="shared" si="0"/>
        <v/>
      </c>
      <c r="J13" s="18" t="str">
        <f t="shared" si="1"/>
        <v>Sin PMP</v>
      </c>
    </row>
    <row r="14" spans="1:10">
      <c r="A14" s="18">
        <v>2026</v>
      </c>
      <c r="B14" s="18" t="s">
        <v>847</v>
      </c>
      <c r="C14" s="18">
        <v>2027</v>
      </c>
      <c r="D14" s="18" t="s">
        <v>105</v>
      </c>
      <c r="E14" s="18" t="s">
        <v>844</v>
      </c>
      <c r="F14" s="70">
        <f>SUMIFS(ni_bimestral_pos_ejec!$F:$F,ni_bimestral_pos_ejec!$C:$C,$C14,ni_bimestral_pos_ejec!$B:$B,$B14,ni_bimestral_pos_ejec!$D:$D,$D14,ni_bimestral_pos_ejec!$E:$E,$E14)</f>
        <v>1513</v>
      </c>
      <c r="G14" s="70">
        <f>SUMIFS(ri_bimestral_pos_ejec!$F:$F,ri_bimestral_pos_ejec!$C:$C,$C14,ri_bimestral_pos_ejec!$B:$B,$B14,ri_bimestral_pos_ejec!$D:$D,$D14,ri_bimestral_pos_ejec!$E:$E,$E14)</f>
        <v>4809</v>
      </c>
      <c r="H14" s="70">
        <f>SUMIFS(pmp_mt_pos_ejec!$E:$E,pmp_mt_pos_ejec!$A:$A,$C14,pmp_mt_pos_ejec!$B:$B,$B14,pmp_mt_pos_ejec!$C:$C,$D14)</f>
        <v>0</v>
      </c>
      <c r="I14" s="70" t="str">
        <f t="shared" si="0"/>
        <v/>
      </c>
      <c r="J14" s="18" t="str">
        <f t="shared" si="1"/>
        <v>Sin PMP</v>
      </c>
    </row>
    <row r="15" spans="1:10">
      <c r="A15" s="18">
        <v>2026</v>
      </c>
      <c r="B15" s="18" t="s">
        <v>847</v>
      </c>
      <c r="C15" s="18">
        <v>2027</v>
      </c>
      <c r="D15" s="18" t="s">
        <v>105</v>
      </c>
      <c r="E15" s="18" t="s">
        <v>849</v>
      </c>
      <c r="F15" s="70">
        <f>SUMIFS(ni_bimestral_pos_ejec!$F:$F,ni_bimestral_pos_ejec!$C:$C,$C15,ni_bimestral_pos_ejec!$B:$B,$B15,ni_bimestral_pos_ejec!$D:$D,$D15,ni_bimestral_pos_ejec!$E:$E,$E15)</f>
        <v>0</v>
      </c>
      <c r="G15" s="70">
        <f>SUMIFS(ri_bimestral_pos_ejec!$F:$F,ri_bimestral_pos_ejec!$C:$C,$C15,ri_bimestral_pos_ejec!$B:$B,$B15,ri_bimestral_pos_ejec!$D:$D,$D15,ri_bimestral_pos_ejec!$E:$E,$E15)</f>
        <v>0</v>
      </c>
      <c r="H15" s="70">
        <f>SUMIFS(pmp_mt_pos_ejec!$E:$E,pmp_mt_pos_ejec!$A:$A,$C15,pmp_mt_pos_ejec!$B:$B,$B15,pmp_mt_pos_ejec!$C:$C,$D15)</f>
        <v>0</v>
      </c>
      <c r="I15" s="70" t="str">
        <f t="shared" si="0"/>
        <v/>
      </c>
      <c r="J15" s="18" t="str">
        <f t="shared" si="1"/>
        <v>Sin PMP</v>
      </c>
    </row>
    <row r="16" spans="1:10">
      <c r="A16" s="18">
        <v>2026</v>
      </c>
      <c r="B16" s="18" t="s">
        <v>847</v>
      </c>
      <c r="C16" s="18">
        <v>2027</v>
      </c>
      <c r="D16" s="18" t="s">
        <v>106</v>
      </c>
      <c r="E16" s="18" t="s">
        <v>844</v>
      </c>
      <c r="F16" s="70">
        <f>SUMIFS(ni_bimestral_pos_ejec!$F:$F,ni_bimestral_pos_ejec!$C:$C,$C16,ni_bimestral_pos_ejec!$B:$B,$B16,ni_bimestral_pos_ejec!$D:$D,$D16,ni_bimestral_pos_ejec!$E:$E,$E16)</f>
        <v>778</v>
      </c>
      <c r="G16" s="70">
        <f>SUMIFS(ri_bimestral_pos_ejec!$F:$F,ri_bimestral_pos_ejec!$C:$C,$C16,ri_bimestral_pos_ejec!$B:$B,$B16,ri_bimestral_pos_ejec!$D:$D,$D16,ri_bimestral_pos_ejec!$E:$E,$E16)</f>
        <v>3528</v>
      </c>
      <c r="H16" s="70">
        <f>SUMIFS(pmp_mt_pos_ejec!$E:$E,pmp_mt_pos_ejec!$A:$A,$C16,pmp_mt_pos_ejec!$B:$B,$B16,pmp_mt_pos_ejec!$C:$C,$D16)</f>
        <v>0</v>
      </c>
      <c r="I16" s="70" t="str">
        <f t="shared" si="0"/>
        <v/>
      </c>
      <c r="J16" s="18" t="str">
        <f t="shared" si="1"/>
        <v>Sin PMP</v>
      </c>
    </row>
    <row r="17" spans="1:10">
      <c r="A17" s="18">
        <v>2026</v>
      </c>
      <c r="B17" s="18" t="s">
        <v>847</v>
      </c>
      <c r="C17" s="18">
        <v>2027</v>
      </c>
      <c r="D17" s="18" t="s">
        <v>106</v>
      </c>
      <c r="E17" s="18" t="s">
        <v>849</v>
      </c>
      <c r="F17" s="70">
        <f>SUMIFS(ni_bimestral_pos_ejec!$F:$F,ni_bimestral_pos_ejec!$C:$C,$C17,ni_bimestral_pos_ejec!$B:$B,$B17,ni_bimestral_pos_ejec!$D:$D,$D17,ni_bimestral_pos_ejec!$E:$E,$E17)</f>
        <v>0</v>
      </c>
      <c r="G17" s="70">
        <f>SUMIFS(ri_bimestral_pos_ejec!$F:$F,ri_bimestral_pos_ejec!$C:$C,$C17,ri_bimestral_pos_ejec!$B:$B,$B17,ri_bimestral_pos_ejec!$D:$D,$D17,ri_bimestral_pos_ejec!$E:$E,$E17)</f>
        <v>0</v>
      </c>
      <c r="H17" s="70">
        <f>SUMIFS(pmp_mt_pos_ejec!$E:$E,pmp_mt_pos_ejec!$A:$A,$C17,pmp_mt_pos_ejec!$B:$B,$B17,pmp_mt_pos_ejec!$C:$C,$D17)</f>
        <v>0</v>
      </c>
      <c r="I17" s="70" t="str">
        <f t="shared" si="0"/>
        <v/>
      </c>
      <c r="J17" s="18" t="str">
        <f t="shared" si="1"/>
        <v>Sin PMP</v>
      </c>
    </row>
    <row r="18" spans="1:10">
      <c r="A18" s="18">
        <v>2026</v>
      </c>
      <c r="B18" s="18" t="s">
        <v>848</v>
      </c>
      <c r="C18" s="18">
        <v>2027</v>
      </c>
      <c r="D18" s="18" t="s">
        <v>105</v>
      </c>
      <c r="E18" s="18" t="s">
        <v>844</v>
      </c>
      <c r="F18" s="70">
        <f>SUMIFS(ni_bimestral_pos_ejec!$F:$F,ni_bimestral_pos_ejec!$C:$C,$C18,ni_bimestral_pos_ejec!$B:$B,$B18,ni_bimestral_pos_ejec!$D:$D,$D18,ni_bimestral_pos_ejec!$E:$E,$E18)</f>
        <v>2245</v>
      </c>
      <c r="G18" s="70">
        <f>SUMIFS(ri_bimestral_pos_ejec!$F:$F,ri_bimestral_pos_ejec!$C:$C,$C18,ri_bimestral_pos_ejec!$B:$B,$B18,ri_bimestral_pos_ejec!$D:$D,$D18,ri_bimestral_pos_ejec!$E:$E,$E18)</f>
        <v>5886</v>
      </c>
      <c r="H18" s="70">
        <f>SUMIFS(pmp_mt_pos_ejec!$E:$E,pmp_mt_pos_ejec!$A:$A,$C18,pmp_mt_pos_ejec!$B:$B,$B18,pmp_mt_pos_ejec!$C:$C,$D18)</f>
        <v>0</v>
      </c>
      <c r="I18" s="70" t="str">
        <f t="shared" si="0"/>
        <v/>
      </c>
      <c r="J18" s="18" t="str">
        <f t="shared" si="1"/>
        <v>Sin PMP</v>
      </c>
    </row>
    <row r="19" spans="1:10">
      <c r="A19" s="18">
        <v>2026</v>
      </c>
      <c r="B19" s="18" t="s">
        <v>848</v>
      </c>
      <c r="C19" s="18">
        <v>2027</v>
      </c>
      <c r="D19" s="18" t="s">
        <v>105</v>
      </c>
      <c r="E19" s="18" t="s">
        <v>849</v>
      </c>
      <c r="F19" s="70">
        <f>SUMIFS(ni_bimestral_pos_ejec!$F:$F,ni_bimestral_pos_ejec!$C:$C,$C19,ni_bimestral_pos_ejec!$B:$B,$B19,ni_bimestral_pos_ejec!$D:$D,$D19,ni_bimestral_pos_ejec!$E:$E,$E19)</f>
        <v>0</v>
      </c>
      <c r="G19" s="70">
        <f>SUMIFS(ri_bimestral_pos_ejec!$F:$F,ri_bimestral_pos_ejec!$C:$C,$C19,ri_bimestral_pos_ejec!$B:$B,$B19,ri_bimestral_pos_ejec!$D:$D,$D19,ri_bimestral_pos_ejec!$E:$E,$E19)</f>
        <v>0</v>
      </c>
      <c r="H19" s="70">
        <f>SUMIFS(pmp_mt_pos_ejec!$E:$E,pmp_mt_pos_ejec!$A:$A,$C19,pmp_mt_pos_ejec!$B:$B,$B19,pmp_mt_pos_ejec!$C:$C,$D19)</f>
        <v>0</v>
      </c>
      <c r="I19" s="70" t="str">
        <f t="shared" si="0"/>
        <v/>
      </c>
      <c r="J19" s="18" t="str">
        <f t="shared" si="1"/>
        <v>Sin PMP</v>
      </c>
    </row>
    <row r="20" spans="1:10">
      <c r="A20" s="18">
        <v>2026</v>
      </c>
      <c r="B20" s="18" t="s">
        <v>848</v>
      </c>
      <c r="C20" s="18">
        <v>2027</v>
      </c>
      <c r="D20" s="18" t="s">
        <v>106</v>
      </c>
      <c r="E20" s="18" t="s">
        <v>844</v>
      </c>
      <c r="F20" s="70">
        <f>SUMIFS(ni_bimestral_pos_ejec!$F:$F,ni_bimestral_pos_ejec!$C:$C,$C20,ni_bimestral_pos_ejec!$B:$B,$B20,ni_bimestral_pos_ejec!$D:$D,$D20,ni_bimestral_pos_ejec!$E:$E,$E20)</f>
        <v>1016</v>
      </c>
      <c r="G20" s="70">
        <f>SUMIFS(ri_bimestral_pos_ejec!$F:$F,ri_bimestral_pos_ejec!$C:$C,$C20,ri_bimestral_pos_ejec!$B:$B,$B20,ri_bimestral_pos_ejec!$D:$D,$D20,ri_bimestral_pos_ejec!$E:$E,$E20)</f>
        <v>3798</v>
      </c>
      <c r="H20" s="70">
        <f>SUMIFS(pmp_mt_pos_ejec!$E:$E,pmp_mt_pos_ejec!$A:$A,$C20,pmp_mt_pos_ejec!$B:$B,$B20,pmp_mt_pos_ejec!$C:$C,$D20)</f>
        <v>0</v>
      </c>
      <c r="I20" s="70" t="str">
        <f t="shared" si="0"/>
        <v/>
      </c>
      <c r="J20" s="18" t="str">
        <f t="shared" si="1"/>
        <v>Sin PMP</v>
      </c>
    </row>
    <row r="21" spans="1:10">
      <c r="A21" s="18">
        <v>2026</v>
      </c>
      <c r="B21" s="18" t="s">
        <v>848</v>
      </c>
      <c r="C21" s="18">
        <v>2027</v>
      </c>
      <c r="D21" s="18" t="s">
        <v>106</v>
      </c>
      <c r="E21" s="18" t="s">
        <v>849</v>
      </c>
      <c r="F21" s="70">
        <f>SUMIFS(ni_bimestral_pos_ejec!$F:$F,ni_bimestral_pos_ejec!$C:$C,$C21,ni_bimestral_pos_ejec!$B:$B,$B21,ni_bimestral_pos_ejec!$D:$D,$D21,ni_bimestral_pos_ejec!$E:$E,$E21)</f>
        <v>0</v>
      </c>
      <c r="G21" s="70">
        <f>SUMIFS(ri_bimestral_pos_ejec!$F:$F,ri_bimestral_pos_ejec!$C:$C,$C21,ri_bimestral_pos_ejec!$B:$B,$B21,ri_bimestral_pos_ejec!$D:$D,$D21,ri_bimestral_pos_ejec!$E:$E,$E21)</f>
        <v>0</v>
      </c>
      <c r="H21" s="70">
        <f>SUMIFS(pmp_mt_pos_ejec!$E:$E,pmp_mt_pos_ejec!$A:$A,$C21,pmp_mt_pos_ejec!$B:$B,$B21,pmp_mt_pos_ejec!$C:$C,$D21)</f>
        <v>0</v>
      </c>
      <c r="I21" s="70" t="str">
        <f t="shared" si="0"/>
        <v/>
      </c>
      <c r="J21" s="18" t="str">
        <f t="shared" si="1"/>
        <v>Sin PMP</v>
      </c>
    </row>
    <row r="22" spans="1:10">
      <c r="A22" s="18">
        <v>2027</v>
      </c>
      <c r="B22" s="18" t="s">
        <v>843</v>
      </c>
      <c r="C22" s="18">
        <v>2027</v>
      </c>
      <c r="D22" s="18" t="s">
        <v>105</v>
      </c>
      <c r="E22" s="18" t="s">
        <v>844</v>
      </c>
      <c r="F22" s="70">
        <f>SUMIFS(ni_bimestral_pos_ejec!$F:$F,ni_bimestral_pos_ejec!$C:$C,$C22,ni_bimestral_pos_ejec!$B:$B,$B22,ni_bimestral_pos_ejec!$D:$D,$D22,ni_bimestral_pos_ejec!$E:$E,$E22)</f>
        <v>1898</v>
      </c>
      <c r="G22" s="70">
        <f>SUMIFS(ri_bimestral_pos_ejec!$F:$F,ri_bimestral_pos_ejec!$C:$C,$C22,ri_bimestral_pos_ejec!$B:$B,$B22,ri_bimestral_pos_ejec!$D:$D,$D22,ri_bimestral_pos_ejec!$E:$E,$E22)</f>
        <v>7563</v>
      </c>
      <c r="H22" s="70">
        <f>SUMIFS(pmp_mt_pos_ejec!$E:$E,pmp_mt_pos_ejec!$A:$A,$C22,pmp_mt_pos_ejec!$B:$B,$B22,pmp_mt_pos_ejec!$C:$C,$D22)</f>
        <v>15271</v>
      </c>
      <c r="I22" s="70">
        <f t="shared" si="0"/>
        <v>5810</v>
      </c>
      <c r="J22" s="18" t="str">
        <f t="shared" si="1"/>
        <v>OK</v>
      </c>
    </row>
    <row r="23" spans="1:10">
      <c r="A23" s="18">
        <v>2027</v>
      </c>
      <c r="B23" s="18" t="s">
        <v>843</v>
      </c>
      <c r="C23" s="18">
        <v>2027</v>
      </c>
      <c r="D23" s="18" t="s">
        <v>105</v>
      </c>
      <c r="E23" s="18" t="s">
        <v>849</v>
      </c>
      <c r="F23" s="70">
        <f>SUMIFS(ni_bimestral_pos_ejec!$F:$F,ni_bimestral_pos_ejec!$C:$C,$C23,ni_bimestral_pos_ejec!$B:$B,$B23,ni_bimestral_pos_ejec!$D:$D,$D23,ni_bimestral_pos_ejec!$E:$E,$E23)</f>
        <v>0</v>
      </c>
      <c r="G23" s="70">
        <f>SUMIFS(ri_bimestral_pos_ejec!$F:$F,ri_bimestral_pos_ejec!$C:$C,$C23,ri_bimestral_pos_ejec!$B:$B,$B23,ri_bimestral_pos_ejec!$D:$D,$D23,ri_bimestral_pos_ejec!$E:$E,$E23)</f>
        <v>0</v>
      </c>
      <c r="H23" s="70">
        <f>SUMIFS(pmp_mt_pos_ejec!$E:$E,pmp_mt_pos_ejec!$A:$A,$C23,pmp_mt_pos_ejec!$B:$B,$B23,pmp_mt_pos_ejec!$C:$C,$D23)</f>
        <v>15271</v>
      </c>
      <c r="I23" s="70">
        <f t="shared" si="0"/>
        <v>15271</v>
      </c>
      <c r="J23" s="18" t="str">
        <f t="shared" si="1"/>
        <v>OK</v>
      </c>
    </row>
    <row r="24" spans="1:10">
      <c r="A24" s="18">
        <v>2027</v>
      </c>
      <c r="B24" s="18" t="s">
        <v>843</v>
      </c>
      <c r="C24" s="18">
        <v>2027</v>
      </c>
      <c r="D24" s="18" t="s">
        <v>106</v>
      </c>
      <c r="E24" s="18" t="s">
        <v>844</v>
      </c>
      <c r="F24" s="70">
        <f>SUMIFS(ni_bimestral_pos_ejec!$F:$F,ni_bimestral_pos_ejec!$C:$C,$C24,ni_bimestral_pos_ejec!$B:$B,$B24,ni_bimestral_pos_ejec!$D:$D,$D24,ni_bimestral_pos_ejec!$E:$E,$E24)</f>
        <v>1159</v>
      </c>
      <c r="G24" s="70">
        <f>SUMIFS(ri_bimestral_pos_ejec!$F:$F,ri_bimestral_pos_ejec!$C:$C,$C24,ri_bimestral_pos_ejec!$B:$B,$B24,ri_bimestral_pos_ejec!$D:$D,$D24,ri_bimestral_pos_ejec!$E:$E,$E24)</f>
        <v>4070</v>
      </c>
      <c r="H24" s="70">
        <f>SUMIFS(pmp_mt_pos_ejec!$E:$E,pmp_mt_pos_ejec!$A:$A,$C24,pmp_mt_pos_ejec!$B:$B,$B24,pmp_mt_pos_ejec!$C:$C,$D24)</f>
        <v>10729</v>
      </c>
      <c r="I24" s="70">
        <f t="shared" si="0"/>
        <v>5500</v>
      </c>
      <c r="J24" s="18" t="str">
        <f t="shared" si="1"/>
        <v>OK</v>
      </c>
    </row>
    <row r="25" spans="1:10">
      <c r="A25" s="18">
        <v>2027</v>
      </c>
      <c r="B25" s="18" t="s">
        <v>843</v>
      </c>
      <c r="C25" s="18">
        <v>2027</v>
      </c>
      <c r="D25" s="18" t="s">
        <v>106</v>
      </c>
      <c r="E25" s="18" t="s">
        <v>849</v>
      </c>
      <c r="F25" s="70">
        <f>SUMIFS(ni_bimestral_pos_ejec!$F:$F,ni_bimestral_pos_ejec!$C:$C,$C25,ni_bimestral_pos_ejec!$B:$B,$B25,ni_bimestral_pos_ejec!$D:$D,$D25,ni_bimestral_pos_ejec!$E:$E,$E25)</f>
        <v>0</v>
      </c>
      <c r="G25" s="70">
        <f>SUMIFS(ri_bimestral_pos_ejec!$F:$F,ri_bimestral_pos_ejec!$C:$C,$C25,ri_bimestral_pos_ejec!$B:$B,$B25,ri_bimestral_pos_ejec!$D:$D,$D25,ri_bimestral_pos_ejec!$E:$E,$E25)</f>
        <v>0</v>
      </c>
      <c r="H25" s="70">
        <f>SUMIFS(pmp_mt_pos_ejec!$E:$E,pmp_mt_pos_ejec!$A:$A,$C25,pmp_mt_pos_ejec!$B:$B,$B25,pmp_mt_pos_ejec!$C:$C,$D25)</f>
        <v>10729</v>
      </c>
      <c r="I25" s="70">
        <f t="shared" si="0"/>
        <v>10729</v>
      </c>
      <c r="J25" s="18" t="str">
        <f t="shared" si="1"/>
        <v>OK</v>
      </c>
    </row>
    <row r="26" spans="1:10">
      <c r="A26" s="18">
        <v>2027</v>
      </c>
      <c r="B26" s="18" t="s">
        <v>845</v>
      </c>
      <c r="C26" s="18">
        <v>2027</v>
      </c>
      <c r="D26" s="18" t="s">
        <v>105</v>
      </c>
      <c r="E26" s="18" t="s">
        <v>844</v>
      </c>
      <c r="F26" s="70">
        <f>SUMIFS(ni_bimestral_pos_ejec!$F:$F,ni_bimestral_pos_ejec!$C:$C,$C26,ni_bimestral_pos_ejec!$B:$B,$B26,ni_bimestral_pos_ejec!$D:$D,$D26,ni_bimestral_pos_ejec!$E:$E,$E26)</f>
        <v>1898</v>
      </c>
      <c r="G26" s="70">
        <f>SUMIFS(ri_bimestral_pos_ejec!$F:$F,ri_bimestral_pos_ejec!$C:$C,$C26,ri_bimestral_pos_ejec!$B:$B,$B26,ri_bimestral_pos_ejec!$D:$D,$D26,ri_bimestral_pos_ejec!$E:$E,$E26)</f>
        <v>8762</v>
      </c>
      <c r="H26" s="70">
        <f>SUMIFS(pmp_mt_pos_ejec!$E:$E,pmp_mt_pos_ejec!$A:$A,$C26,pmp_mt_pos_ejec!$B:$B,$B26,pmp_mt_pos_ejec!$C:$C,$D26)</f>
        <v>0</v>
      </c>
      <c r="I26" s="70" t="str">
        <f t="shared" si="0"/>
        <v/>
      </c>
      <c r="J26" s="18" t="str">
        <f t="shared" si="1"/>
        <v>Sin PMP</v>
      </c>
    </row>
    <row r="27" spans="1:10">
      <c r="A27" s="18">
        <v>2027</v>
      </c>
      <c r="B27" s="18" t="s">
        <v>845</v>
      </c>
      <c r="C27" s="18">
        <v>2027</v>
      </c>
      <c r="D27" s="18" t="s">
        <v>105</v>
      </c>
      <c r="E27" s="18" t="s">
        <v>849</v>
      </c>
      <c r="F27" s="70">
        <f>SUMIFS(ni_bimestral_pos_ejec!$F:$F,ni_bimestral_pos_ejec!$C:$C,$C27,ni_bimestral_pos_ejec!$B:$B,$B27,ni_bimestral_pos_ejec!$D:$D,$D27,ni_bimestral_pos_ejec!$E:$E,$E27)</f>
        <v>0</v>
      </c>
      <c r="G27" s="70">
        <f>SUMIFS(ri_bimestral_pos_ejec!$F:$F,ri_bimestral_pos_ejec!$C:$C,$C27,ri_bimestral_pos_ejec!$B:$B,$B27,ri_bimestral_pos_ejec!$D:$D,$D27,ri_bimestral_pos_ejec!$E:$E,$E27)</f>
        <v>0</v>
      </c>
      <c r="H27" s="70">
        <f>SUMIFS(pmp_mt_pos_ejec!$E:$E,pmp_mt_pos_ejec!$A:$A,$C27,pmp_mt_pos_ejec!$B:$B,$B27,pmp_mt_pos_ejec!$C:$C,$D27)</f>
        <v>0</v>
      </c>
      <c r="I27" s="70" t="str">
        <f t="shared" si="0"/>
        <v/>
      </c>
      <c r="J27" s="18" t="str">
        <f t="shared" si="1"/>
        <v>Sin PMP</v>
      </c>
    </row>
    <row r="28" spans="1:10">
      <c r="A28" s="18">
        <v>2027</v>
      </c>
      <c r="B28" s="18" t="s">
        <v>845</v>
      </c>
      <c r="C28" s="18">
        <v>2027</v>
      </c>
      <c r="D28" s="18" t="s">
        <v>106</v>
      </c>
      <c r="E28" s="18" t="s">
        <v>844</v>
      </c>
      <c r="F28" s="70">
        <f>SUMIFS(ni_bimestral_pos_ejec!$F:$F,ni_bimestral_pos_ejec!$C:$C,$C28,ni_bimestral_pos_ejec!$B:$B,$B28,ni_bimestral_pos_ejec!$D:$D,$D28,ni_bimestral_pos_ejec!$E:$E,$E28)</f>
        <v>1045</v>
      </c>
      <c r="G28" s="70">
        <f>SUMIFS(ri_bimestral_pos_ejec!$F:$F,ri_bimestral_pos_ejec!$C:$C,$C28,ri_bimestral_pos_ejec!$B:$B,$B28,ri_bimestral_pos_ejec!$D:$D,$D28,ri_bimestral_pos_ejec!$E:$E,$E28)</f>
        <v>4672</v>
      </c>
      <c r="H28" s="70">
        <f>SUMIFS(pmp_mt_pos_ejec!$E:$E,pmp_mt_pos_ejec!$A:$A,$C28,pmp_mt_pos_ejec!$B:$B,$B28,pmp_mt_pos_ejec!$C:$C,$D28)</f>
        <v>0</v>
      </c>
      <c r="I28" s="70" t="str">
        <f t="shared" si="0"/>
        <v/>
      </c>
      <c r="J28" s="18" t="str">
        <f t="shared" si="1"/>
        <v>Sin PMP</v>
      </c>
    </row>
    <row r="29" spans="1:10">
      <c r="A29" s="18">
        <v>2027</v>
      </c>
      <c r="B29" s="18" t="s">
        <v>845</v>
      </c>
      <c r="C29" s="18">
        <v>2027</v>
      </c>
      <c r="D29" s="18" t="s">
        <v>106</v>
      </c>
      <c r="E29" s="18" t="s">
        <v>849</v>
      </c>
      <c r="F29" s="70">
        <f>SUMIFS(ni_bimestral_pos_ejec!$F:$F,ni_bimestral_pos_ejec!$C:$C,$C29,ni_bimestral_pos_ejec!$B:$B,$B29,ni_bimestral_pos_ejec!$D:$D,$D29,ni_bimestral_pos_ejec!$E:$E,$E29)</f>
        <v>0</v>
      </c>
      <c r="G29" s="70">
        <f>SUMIFS(ri_bimestral_pos_ejec!$F:$F,ri_bimestral_pos_ejec!$C:$C,$C29,ri_bimestral_pos_ejec!$B:$B,$B29,ri_bimestral_pos_ejec!$D:$D,$D29,ri_bimestral_pos_ejec!$E:$E,$E29)</f>
        <v>0</v>
      </c>
      <c r="H29" s="70">
        <f>SUMIFS(pmp_mt_pos_ejec!$E:$E,pmp_mt_pos_ejec!$A:$A,$C29,pmp_mt_pos_ejec!$B:$B,$B29,pmp_mt_pos_ejec!$C:$C,$D29)</f>
        <v>0</v>
      </c>
      <c r="I29" s="70" t="str">
        <f t="shared" si="0"/>
        <v/>
      </c>
      <c r="J29" s="18" t="str">
        <f t="shared" si="1"/>
        <v>Sin PMP</v>
      </c>
    </row>
    <row r="30" spans="1:10">
      <c r="A30" s="18">
        <v>2027</v>
      </c>
      <c r="B30" s="18" t="s">
        <v>846</v>
      </c>
      <c r="C30" s="18">
        <v>2028</v>
      </c>
      <c r="D30" s="18" t="s">
        <v>105</v>
      </c>
      <c r="E30" s="18" t="s">
        <v>844</v>
      </c>
      <c r="F30" s="70">
        <f>SUMIFS(ni_bimestral_pos_ejec!$F:$F,ni_bimestral_pos_ejec!$C:$C,$C30,ni_bimestral_pos_ejec!$B:$B,$B30,ni_bimestral_pos_ejec!$D:$D,$D30,ni_bimestral_pos_ejec!$E:$E,$E30)</f>
        <v>2338</v>
      </c>
      <c r="G30" s="70">
        <f>SUMIFS(ri_bimestral_pos_ejec!$F:$F,ri_bimestral_pos_ejec!$C:$C,$C30,ri_bimestral_pos_ejec!$B:$B,$B30,ri_bimestral_pos_ejec!$D:$D,$D30,ri_bimestral_pos_ejec!$E:$E,$E30)</f>
        <v>9833</v>
      </c>
      <c r="H30" s="70">
        <f>SUMIFS(pmp_mt_pos_ejec!$E:$E,pmp_mt_pos_ejec!$A:$A,$C30,pmp_mt_pos_ejec!$B:$B,$B30,pmp_mt_pos_ejec!$C:$C,$D30)</f>
        <v>0</v>
      </c>
      <c r="I30" s="70" t="str">
        <f t="shared" si="0"/>
        <v/>
      </c>
      <c r="J30" s="18" t="str">
        <f t="shared" si="1"/>
        <v>Sin PMP</v>
      </c>
    </row>
    <row r="31" spans="1:10">
      <c r="A31" s="18">
        <v>2027</v>
      </c>
      <c r="B31" s="18" t="s">
        <v>846</v>
      </c>
      <c r="C31" s="18">
        <v>2028</v>
      </c>
      <c r="D31" s="18" t="s">
        <v>105</v>
      </c>
      <c r="E31" s="18" t="s">
        <v>849</v>
      </c>
      <c r="F31" s="70">
        <f>SUMIFS(ni_bimestral_pos_ejec!$F:$F,ni_bimestral_pos_ejec!$C:$C,$C31,ni_bimestral_pos_ejec!$B:$B,$B31,ni_bimestral_pos_ejec!$D:$D,$D31,ni_bimestral_pos_ejec!$E:$E,$E31)</f>
        <v>0</v>
      </c>
      <c r="G31" s="70">
        <f>SUMIFS(ri_bimestral_pos_ejec!$F:$F,ri_bimestral_pos_ejec!$C:$C,$C31,ri_bimestral_pos_ejec!$B:$B,$B31,ri_bimestral_pos_ejec!$D:$D,$D31,ri_bimestral_pos_ejec!$E:$E,$E31)</f>
        <v>0</v>
      </c>
      <c r="H31" s="70">
        <f>SUMIFS(pmp_mt_pos_ejec!$E:$E,pmp_mt_pos_ejec!$A:$A,$C31,pmp_mt_pos_ejec!$B:$B,$B31,pmp_mt_pos_ejec!$C:$C,$D31)</f>
        <v>0</v>
      </c>
      <c r="I31" s="70" t="str">
        <f t="shared" si="0"/>
        <v/>
      </c>
      <c r="J31" s="18" t="str">
        <f t="shared" si="1"/>
        <v>Sin PMP</v>
      </c>
    </row>
    <row r="32" spans="1:10">
      <c r="A32" s="18">
        <v>2027</v>
      </c>
      <c r="B32" s="18" t="s">
        <v>846</v>
      </c>
      <c r="C32" s="18">
        <v>2028</v>
      </c>
      <c r="D32" s="18" t="s">
        <v>106</v>
      </c>
      <c r="E32" s="18" t="s">
        <v>844</v>
      </c>
      <c r="F32" s="70">
        <f>SUMIFS(ni_bimestral_pos_ejec!$F:$F,ni_bimestral_pos_ejec!$C:$C,$C32,ni_bimestral_pos_ejec!$B:$B,$B32,ni_bimestral_pos_ejec!$D:$D,$D32,ni_bimestral_pos_ejec!$E:$E,$E32)</f>
        <v>1105</v>
      </c>
      <c r="G32" s="70">
        <f>SUMIFS(ri_bimestral_pos_ejec!$F:$F,ri_bimestral_pos_ejec!$C:$C,$C32,ri_bimestral_pos_ejec!$B:$B,$B32,ri_bimestral_pos_ejec!$D:$D,$D32,ri_bimestral_pos_ejec!$E:$E,$E32)</f>
        <v>4949</v>
      </c>
      <c r="H32" s="70">
        <f>SUMIFS(pmp_mt_pos_ejec!$E:$E,pmp_mt_pos_ejec!$A:$A,$C32,pmp_mt_pos_ejec!$B:$B,$B32,pmp_mt_pos_ejec!$C:$C,$D32)</f>
        <v>0</v>
      </c>
      <c r="I32" s="70" t="str">
        <f t="shared" si="0"/>
        <v/>
      </c>
      <c r="J32" s="18" t="str">
        <f t="shared" si="1"/>
        <v>Sin PMP</v>
      </c>
    </row>
    <row r="33" spans="1:10">
      <c r="A33" s="18">
        <v>2027</v>
      </c>
      <c r="B33" s="18" t="s">
        <v>846</v>
      </c>
      <c r="C33" s="18">
        <v>2028</v>
      </c>
      <c r="D33" s="18" t="s">
        <v>106</v>
      </c>
      <c r="E33" s="18" t="s">
        <v>849</v>
      </c>
      <c r="F33" s="70">
        <f>SUMIFS(ni_bimestral_pos_ejec!$F:$F,ni_bimestral_pos_ejec!$C:$C,$C33,ni_bimestral_pos_ejec!$B:$B,$B33,ni_bimestral_pos_ejec!$D:$D,$D33,ni_bimestral_pos_ejec!$E:$E,$E33)</f>
        <v>0</v>
      </c>
      <c r="G33" s="70">
        <f>SUMIFS(ri_bimestral_pos_ejec!$F:$F,ri_bimestral_pos_ejec!$C:$C,$C33,ri_bimestral_pos_ejec!$B:$B,$B33,ri_bimestral_pos_ejec!$D:$D,$D33,ri_bimestral_pos_ejec!$E:$E,$E33)</f>
        <v>0</v>
      </c>
      <c r="H33" s="70">
        <f>SUMIFS(pmp_mt_pos_ejec!$E:$E,pmp_mt_pos_ejec!$A:$A,$C33,pmp_mt_pos_ejec!$B:$B,$B33,pmp_mt_pos_ejec!$C:$C,$D33)</f>
        <v>0</v>
      </c>
      <c r="I33" s="70" t="str">
        <f t="shared" si="0"/>
        <v/>
      </c>
      <c r="J33" s="18" t="str">
        <f t="shared" si="1"/>
        <v>Sin PMP</v>
      </c>
    </row>
    <row r="34" spans="1:10">
      <c r="A34" s="18">
        <v>2027</v>
      </c>
      <c r="B34" s="18" t="s">
        <v>847</v>
      </c>
      <c r="C34" s="18">
        <v>2028</v>
      </c>
      <c r="D34" s="18" t="s">
        <v>105</v>
      </c>
      <c r="E34" s="18" t="s">
        <v>844</v>
      </c>
      <c r="F34" s="70">
        <f>SUMIFS(ni_bimestral_pos_ejec!$F:$F,ni_bimestral_pos_ejec!$C:$C,$C34,ni_bimestral_pos_ejec!$B:$B,$B34,ni_bimestral_pos_ejec!$D:$D,$D34,ni_bimestral_pos_ejec!$E:$E,$E34)</f>
        <v>1713</v>
      </c>
      <c r="G34" s="70">
        <f>SUMIFS(ri_bimestral_pos_ejec!$F:$F,ri_bimestral_pos_ejec!$C:$C,$C34,ri_bimestral_pos_ejec!$B:$B,$B34,ri_bimestral_pos_ejec!$D:$D,$D34,ri_bimestral_pos_ejec!$E:$E,$E34)</f>
        <v>11303</v>
      </c>
      <c r="H34" s="70">
        <f>SUMIFS(pmp_mt_pos_ejec!$E:$E,pmp_mt_pos_ejec!$A:$A,$C34,pmp_mt_pos_ejec!$B:$B,$B34,pmp_mt_pos_ejec!$C:$C,$D34)</f>
        <v>0</v>
      </c>
      <c r="I34" s="70" t="str">
        <f t="shared" ref="I34:I65" si="2">IF(H34=0,"",MAX(0,H34-F34-G34))</f>
        <v/>
      </c>
      <c r="J34" s="18" t="str">
        <f t="shared" ref="J34:J65" si="3">IF(H34=0,"Sin PMP",IF(ABS((F34+G34+I34)-H34)&lt;1,"OK","Revisar"))</f>
        <v>Sin PMP</v>
      </c>
    </row>
    <row r="35" spans="1:10">
      <c r="A35" s="18">
        <v>2027</v>
      </c>
      <c r="B35" s="18" t="s">
        <v>847</v>
      </c>
      <c r="C35" s="18">
        <v>2028</v>
      </c>
      <c r="D35" s="18" t="s">
        <v>105</v>
      </c>
      <c r="E35" s="18" t="s">
        <v>849</v>
      </c>
      <c r="F35" s="70">
        <f>SUMIFS(ni_bimestral_pos_ejec!$F:$F,ni_bimestral_pos_ejec!$C:$C,$C35,ni_bimestral_pos_ejec!$B:$B,$B35,ni_bimestral_pos_ejec!$D:$D,$D35,ni_bimestral_pos_ejec!$E:$E,$E35)</f>
        <v>0</v>
      </c>
      <c r="G35" s="70">
        <f>SUMIFS(ri_bimestral_pos_ejec!$F:$F,ri_bimestral_pos_ejec!$C:$C,$C35,ri_bimestral_pos_ejec!$B:$B,$B35,ri_bimestral_pos_ejec!$D:$D,$D35,ri_bimestral_pos_ejec!$E:$E,$E35)</f>
        <v>0</v>
      </c>
      <c r="H35" s="70">
        <f>SUMIFS(pmp_mt_pos_ejec!$E:$E,pmp_mt_pos_ejec!$A:$A,$C35,pmp_mt_pos_ejec!$B:$B,$B35,pmp_mt_pos_ejec!$C:$C,$D35)</f>
        <v>0</v>
      </c>
      <c r="I35" s="70" t="str">
        <f t="shared" si="2"/>
        <v/>
      </c>
      <c r="J35" s="18" t="str">
        <f t="shared" si="3"/>
        <v>Sin PMP</v>
      </c>
    </row>
    <row r="36" spans="1:10">
      <c r="A36" s="18">
        <v>2027</v>
      </c>
      <c r="B36" s="18" t="s">
        <v>847</v>
      </c>
      <c r="C36" s="18">
        <v>2028</v>
      </c>
      <c r="D36" s="18" t="s">
        <v>106</v>
      </c>
      <c r="E36" s="18" t="s">
        <v>844</v>
      </c>
      <c r="F36" s="70">
        <f>SUMIFS(ni_bimestral_pos_ejec!$F:$F,ni_bimestral_pos_ejec!$C:$C,$C36,ni_bimestral_pos_ejec!$B:$B,$B36,ni_bimestral_pos_ejec!$D:$D,$D36,ni_bimestral_pos_ejec!$E:$E,$E36)</f>
        <v>872</v>
      </c>
      <c r="G36" s="70">
        <f>SUMIFS(ri_bimestral_pos_ejec!$F:$F,ri_bimestral_pos_ejec!$C:$C,$C36,ri_bimestral_pos_ejec!$B:$B,$B36,ri_bimestral_pos_ejec!$D:$D,$D36,ri_bimestral_pos_ejec!$E:$E,$E36)</f>
        <v>5352</v>
      </c>
      <c r="H36" s="70">
        <f>SUMIFS(pmp_mt_pos_ejec!$E:$E,pmp_mt_pos_ejec!$A:$A,$C36,pmp_mt_pos_ejec!$B:$B,$B36,pmp_mt_pos_ejec!$C:$C,$D36)</f>
        <v>0</v>
      </c>
      <c r="I36" s="70" t="str">
        <f t="shared" si="2"/>
        <v/>
      </c>
      <c r="J36" s="18" t="str">
        <f t="shared" si="3"/>
        <v>Sin PMP</v>
      </c>
    </row>
    <row r="37" spans="1:10">
      <c r="A37" s="18">
        <v>2027</v>
      </c>
      <c r="B37" s="18" t="s">
        <v>847</v>
      </c>
      <c r="C37" s="18">
        <v>2028</v>
      </c>
      <c r="D37" s="18" t="s">
        <v>106</v>
      </c>
      <c r="E37" s="18" t="s">
        <v>849</v>
      </c>
      <c r="F37" s="70">
        <f>SUMIFS(ni_bimestral_pos_ejec!$F:$F,ni_bimestral_pos_ejec!$C:$C,$C37,ni_bimestral_pos_ejec!$B:$B,$B37,ni_bimestral_pos_ejec!$D:$D,$D37,ni_bimestral_pos_ejec!$E:$E,$E37)</f>
        <v>0</v>
      </c>
      <c r="G37" s="70">
        <f>SUMIFS(ri_bimestral_pos_ejec!$F:$F,ri_bimestral_pos_ejec!$C:$C,$C37,ri_bimestral_pos_ejec!$B:$B,$B37,ri_bimestral_pos_ejec!$D:$D,$D37,ri_bimestral_pos_ejec!$E:$E,$E37)</f>
        <v>0</v>
      </c>
      <c r="H37" s="70">
        <f>SUMIFS(pmp_mt_pos_ejec!$E:$E,pmp_mt_pos_ejec!$A:$A,$C37,pmp_mt_pos_ejec!$B:$B,$B37,pmp_mt_pos_ejec!$C:$C,$D37)</f>
        <v>0</v>
      </c>
      <c r="I37" s="70" t="str">
        <f t="shared" si="2"/>
        <v/>
      </c>
      <c r="J37" s="18" t="str">
        <f t="shared" si="3"/>
        <v>Sin PMP</v>
      </c>
    </row>
    <row r="38" spans="1:10">
      <c r="A38" s="18">
        <v>2027</v>
      </c>
      <c r="B38" s="18" t="s">
        <v>848</v>
      </c>
      <c r="C38" s="18">
        <v>2028</v>
      </c>
      <c r="D38" s="18" t="s">
        <v>105</v>
      </c>
      <c r="E38" s="18" t="s">
        <v>844</v>
      </c>
      <c r="F38" s="70">
        <f>SUMIFS(ni_bimestral_pos_ejec!$F:$F,ni_bimestral_pos_ejec!$C:$C,$C38,ni_bimestral_pos_ejec!$B:$B,$B38,ni_bimestral_pos_ejec!$D:$D,$D38,ni_bimestral_pos_ejec!$E:$E,$E38)</f>
        <v>2542</v>
      </c>
      <c r="G38" s="70">
        <f>SUMIFS(ri_bimestral_pos_ejec!$F:$F,ri_bimestral_pos_ejec!$C:$C,$C38,ri_bimestral_pos_ejec!$B:$B,$B38,ri_bimestral_pos_ejec!$D:$D,$D38,ri_bimestral_pos_ejec!$E:$E,$E38)</f>
        <v>12071</v>
      </c>
      <c r="H38" s="70">
        <f>SUMIFS(pmp_mt_pos_ejec!$E:$E,pmp_mt_pos_ejec!$A:$A,$C38,pmp_mt_pos_ejec!$B:$B,$B38,pmp_mt_pos_ejec!$C:$C,$D38)</f>
        <v>0</v>
      </c>
      <c r="I38" s="70" t="str">
        <f t="shared" si="2"/>
        <v/>
      </c>
      <c r="J38" s="18" t="str">
        <f t="shared" si="3"/>
        <v>Sin PMP</v>
      </c>
    </row>
    <row r="39" spans="1:10">
      <c r="A39" s="18">
        <v>2027</v>
      </c>
      <c r="B39" s="18" t="s">
        <v>848</v>
      </c>
      <c r="C39" s="18">
        <v>2028</v>
      </c>
      <c r="D39" s="18" t="s">
        <v>105</v>
      </c>
      <c r="E39" s="18" t="s">
        <v>849</v>
      </c>
      <c r="F39" s="70">
        <f>SUMIFS(ni_bimestral_pos_ejec!$F:$F,ni_bimestral_pos_ejec!$C:$C,$C39,ni_bimestral_pos_ejec!$B:$B,$B39,ni_bimestral_pos_ejec!$D:$D,$D39,ni_bimestral_pos_ejec!$E:$E,$E39)</f>
        <v>0</v>
      </c>
      <c r="G39" s="70">
        <f>SUMIFS(ri_bimestral_pos_ejec!$F:$F,ri_bimestral_pos_ejec!$C:$C,$C39,ri_bimestral_pos_ejec!$B:$B,$B39,ri_bimestral_pos_ejec!$D:$D,$D39,ri_bimestral_pos_ejec!$E:$E,$E39)</f>
        <v>0</v>
      </c>
      <c r="H39" s="70">
        <f>SUMIFS(pmp_mt_pos_ejec!$E:$E,pmp_mt_pos_ejec!$A:$A,$C39,pmp_mt_pos_ejec!$B:$B,$B39,pmp_mt_pos_ejec!$C:$C,$D39)</f>
        <v>0</v>
      </c>
      <c r="I39" s="70" t="str">
        <f t="shared" si="2"/>
        <v/>
      </c>
      <c r="J39" s="18" t="str">
        <f t="shared" si="3"/>
        <v>Sin PMP</v>
      </c>
    </row>
    <row r="40" spans="1:10">
      <c r="A40" s="18">
        <v>2027</v>
      </c>
      <c r="B40" s="18" t="s">
        <v>848</v>
      </c>
      <c r="C40" s="18">
        <v>2028</v>
      </c>
      <c r="D40" s="18" t="s">
        <v>106</v>
      </c>
      <c r="E40" s="18" t="s">
        <v>844</v>
      </c>
      <c r="F40" s="70">
        <f>SUMIFS(ni_bimestral_pos_ejec!$F:$F,ni_bimestral_pos_ejec!$C:$C,$C40,ni_bimestral_pos_ejec!$B:$B,$B40,ni_bimestral_pos_ejec!$D:$D,$D40,ni_bimestral_pos_ejec!$E:$E,$E40)</f>
        <v>1131</v>
      </c>
      <c r="G40" s="70">
        <f>SUMIFS(ri_bimestral_pos_ejec!$F:$F,ri_bimestral_pos_ejec!$C:$C,$C40,ri_bimestral_pos_ejec!$B:$B,$B40,ri_bimestral_pos_ejec!$D:$D,$D40,ri_bimestral_pos_ejec!$E:$E,$E40)</f>
        <v>5847</v>
      </c>
      <c r="H40" s="70">
        <f>SUMIFS(pmp_mt_pos_ejec!$E:$E,pmp_mt_pos_ejec!$A:$A,$C40,pmp_mt_pos_ejec!$B:$B,$B40,pmp_mt_pos_ejec!$C:$C,$D40)</f>
        <v>0</v>
      </c>
      <c r="I40" s="70" t="str">
        <f t="shared" si="2"/>
        <v/>
      </c>
      <c r="J40" s="18" t="str">
        <f t="shared" si="3"/>
        <v>Sin PMP</v>
      </c>
    </row>
    <row r="41" spans="1:10">
      <c r="A41" s="18">
        <v>2027</v>
      </c>
      <c r="B41" s="18" t="s">
        <v>848</v>
      </c>
      <c r="C41" s="18">
        <v>2028</v>
      </c>
      <c r="D41" s="18" t="s">
        <v>106</v>
      </c>
      <c r="E41" s="18" t="s">
        <v>849</v>
      </c>
      <c r="F41" s="70">
        <f>SUMIFS(ni_bimestral_pos_ejec!$F:$F,ni_bimestral_pos_ejec!$C:$C,$C41,ni_bimestral_pos_ejec!$B:$B,$B41,ni_bimestral_pos_ejec!$D:$D,$D41,ni_bimestral_pos_ejec!$E:$E,$E41)</f>
        <v>0</v>
      </c>
      <c r="G41" s="70">
        <f>SUMIFS(ri_bimestral_pos_ejec!$F:$F,ri_bimestral_pos_ejec!$C:$C,$C41,ri_bimestral_pos_ejec!$B:$B,$B41,ri_bimestral_pos_ejec!$D:$D,$D41,ri_bimestral_pos_ejec!$E:$E,$E41)</f>
        <v>0</v>
      </c>
      <c r="H41" s="70">
        <f>SUMIFS(pmp_mt_pos_ejec!$E:$E,pmp_mt_pos_ejec!$A:$A,$C41,pmp_mt_pos_ejec!$B:$B,$B41,pmp_mt_pos_ejec!$C:$C,$D41)</f>
        <v>0</v>
      </c>
      <c r="I41" s="70" t="str">
        <f t="shared" si="2"/>
        <v/>
      </c>
      <c r="J41" s="18" t="str">
        <f t="shared" si="3"/>
        <v>Sin PMP</v>
      </c>
    </row>
    <row r="42" spans="1:10">
      <c r="A42" s="18">
        <v>2028</v>
      </c>
      <c r="B42" s="18" t="s">
        <v>843</v>
      </c>
      <c r="C42" s="18">
        <v>2028</v>
      </c>
      <c r="D42" s="18" t="s">
        <v>105</v>
      </c>
      <c r="E42" s="18" t="s">
        <v>844</v>
      </c>
      <c r="F42" s="70">
        <f>SUMIFS(ni_bimestral_pos_ejec!$F:$F,ni_bimestral_pos_ejec!$C:$C,$C42,ni_bimestral_pos_ejec!$B:$B,$B42,ni_bimestral_pos_ejec!$D:$D,$D42,ni_bimestral_pos_ejec!$E:$E,$E42)</f>
        <v>2056</v>
      </c>
      <c r="G42" s="70">
        <f>SUMIFS(ri_bimestral_pos_ejec!$F:$F,ri_bimestral_pos_ejec!$C:$C,$C42,ri_bimestral_pos_ejec!$B:$B,$B42,ri_bimestral_pos_ejec!$D:$D,$D42,ri_bimestral_pos_ejec!$E:$E,$E42)</f>
        <v>13052</v>
      </c>
      <c r="H42" s="70">
        <f>SUMIFS(pmp_mt_pos_ejec!$E:$E,pmp_mt_pos_ejec!$A:$A,$C42,pmp_mt_pos_ejec!$B:$B,$B42,pmp_mt_pos_ejec!$C:$C,$D42)</f>
        <v>16108</v>
      </c>
      <c r="I42" s="70">
        <f t="shared" si="2"/>
        <v>1000</v>
      </c>
      <c r="J42" s="18" t="str">
        <f t="shared" si="3"/>
        <v>OK</v>
      </c>
    </row>
    <row r="43" spans="1:10">
      <c r="A43" s="18">
        <v>2028</v>
      </c>
      <c r="B43" s="18" t="s">
        <v>843</v>
      </c>
      <c r="C43" s="18">
        <v>2028</v>
      </c>
      <c r="D43" s="18" t="s">
        <v>105</v>
      </c>
      <c r="E43" s="18" t="s">
        <v>849</v>
      </c>
      <c r="F43" s="70">
        <f>SUMIFS(ni_bimestral_pos_ejec!$F:$F,ni_bimestral_pos_ejec!$C:$C,$C43,ni_bimestral_pos_ejec!$B:$B,$B43,ni_bimestral_pos_ejec!$D:$D,$D43,ni_bimestral_pos_ejec!$E:$E,$E43)</f>
        <v>0</v>
      </c>
      <c r="G43" s="70">
        <f>SUMIFS(ri_bimestral_pos_ejec!$F:$F,ri_bimestral_pos_ejec!$C:$C,$C43,ri_bimestral_pos_ejec!$B:$B,$B43,ri_bimestral_pos_ejec!$D:$D,$D43,ri_bimestral_pos_ejec!$E:$E,$E43)</f>
        <v>0</v>
      </c>
      <c r="H43" s="70">
        <f>SUMIFS(pmp_mt_pos_ejec!$E:$E,pmp_mt_pos_ejec!$A:$A,$C43,pmp_mt_pos_ejec!$B:$B,$B43,pmp_mt_pos_ejec!$C:$C,$D43)</f>
        <v>16108</v>
      </c>
      <c r="I43" s="70">
        <f t="shared" si="2"/>
        <v>16108</v>
      </c>
      <c r="J43" s="18" t="str">
        <f t="shared" si="3"/>
        <v>OK</v>
      </c>
    </row>
    <row r="44" spans="1:10">
      <c r="A44" s="18">
        <v>2028</v>
      </c>
      <c r="B44" s="18" t="s">
        <v>843</v>
      </c>
      <c r="C44" s="18">
        <v>2028</v>
      </c>
      <c r="D44" s="18" t="s">
        <v>106</v>
      </c>
      <c r="E44" s="18" t="s">
        <v>844</v>
      </c>
      <c r="F44" s="70">
        <f>SUMIFS(ni_bimestral_pos_ejec!$F:$F,ni_bimestral_pos_ejec!$C:$C,$C44,ni_bimestral_pos_ejec!$B:$B,$B44,ni_bimestral_pos_ejec!$D:$D,$D44,ni_bimestral_pos_ejec!$E:$E,$E44)</f>
        <v>1254</v>
      </c>
      <c r="G44" s="70">
        <f>SUMIFS(ri_bimestral_pos_ejec!$F:$F,ri_bimestral_pos_ejec!$C:$C,$C44,ri_bimestral_pos_ejec!$B:$B,$B44,ri_bimestral_pos_ejec!$D:$D,$D44,ri_bimestral_pos_ejec!$E:$E,$E44)</f>
        <v>6377</v>
      </c>
      <c r="H44" s="70">
        <f>SUMIFS(pmp_mt_pos_ejec!$E:$E,pmp_mt_pos_ejec!$A:$A,$C44,pmp_mt_pos_ejec!$B:$B,$B44,pmp_mt_pos_ejec!$C:$C,$D44)</f>
        <v>12095</v>
      </c>
      <c r="I44" s="70">
        <f t="shared" si="2"/>
        <v>4464</v>
      </c>
      <c r="J44" s="18" t="str">
        <f t="shared" si="3"/>
        <v>OK</v>
      </c>
    </row>
    <row r="45" spans="1:10">
      <c r="A45" s="18">
        <v>2028</v>
      </c>
      <c r="B45" s="18" t="s">
        <v>843</v>
      </c>
      <c r="C45" s="18">
        <v>2028</v>
      </c>
      <c r="D45" s="18" t="s">
        <v>106</v>
      </c>
      <c r="E45" s="18" t="s">
        <v>849</v>
      </c>
      <c r="F45" s="70">
        <f>SUMIFS(ni_bimestral_pos_ejec!$F:$F,ni_bimestral_pos_ejec!$C:$C,$C45,ni_bimestral_pos_ejec!$B:$B,$B45,ni_bimestral_pos_ejec!$D:$D,$D45,ni_bimestral_pos_ejec!$E:$E,$E45)</f>
        <v>36</v>
      </c>
      <c r="G45" s="70">
        <f>SUMIFS(ri_bimestral_pos_ejec!$F:$F,ri_bimestral_pos_ejec!$C:$C,$C45,ri_bimestral_pos_ejec!$B:$B,$B45,ri_bimestral_pos_ejec!$D:$D,$D45,ri_bimestral_pos_ejec!$E:$E,$E45)</f>
        <v>0</v>
      </c>
      <c r="H45" s="70">
        <f>SUMIFS(pmp_mt_pos_ejec!$E:$E,pmp_mt_pos_ejec!$A:$A,$C45,pmp_mt_pos_ejec!$B:$B,$B45,pmp_mt_pos_ejec!$C:$C,$D45)</f>
        <v>12095</v>
      </c>
      <c r="I45" s="70">
        <f t="shared" si="2"/>
        <v>12059</v>
      </c>
      <c r="J45" s="18" t="str">
        <f t="shared" si="3"/>
        <v>OK</v>
      </c>
    </row>
    <row r="46" spans="1:10">
      <c r="A46" s="18">
        <v>2028</v>
      </c>
      <c r="B46" s="18" t="s">
        <v>845</v>
      </c>
      <c r="C46" s="18">
        <v>2028</v>
      </c>
      <c r="D46" s="18" t="s">
        <v>105</v>
      </c>
      <c r="E46" s="18" t="s">
        <v>844</v>
      </c>
      <c r="F46" s="70">
        <f>SUMIFS(ni_bimestral_pos_ejec!$F:$F,ni_bimestral_pos_ejec!$C:$C,$C46,ni_bimestral_pos_ejec!$B:$B,$B46,ni_bimestral_pos_ejec!$D:$D,$D46,ni_bimestral_pos_ejec!$E:$E,$E46)</f>
        <v>2020</v>
      </c>
      <c r="G46" s="70">
        <f>SUMIFS(ri_bimestral_pos_ejec!$F:$F,ri_bimestral_pos_ejec!$C:$C,$C46,ri_bimestral_pos_ejec!$B:$B,$B46,ri_bimestral_pos_ejec!$D:$D,$D46,ri_bimestral_pos_ejec!$E:$E,$E46)</f>
        <v>13294</v>
      </c>
      <c r="H46" s="70">
        <f>SUMIFS(pmp_mt_pos_ejec!$E:$E,pmp_mt_pos_ejec!$A:$A,$C46,pmp_mt_pos_ejec!$B:$B,$B46,pmp_mt_pos_ejec!$C:$C,$D46)</f>
        <v>0</v>
      </c>
      <c r="I46" s="70" t="str">
        <f t="shared" si="2"/>
        <v/>
      </c>
      <c r="J46" s="18" t="str">
        <f t="shared" si="3"/>
        <v>Sin PMP</v>
      </c>
    </row>
    <row r="47" spans="1:10">
      <c r="A47" s="18">
        <v>2028</v>
      </c>
      <c r="B47" s="18" t="s">
        <v>845</v>
      </c>
      <c r="C47" s="18">
        <v>2028</v>
      </c>
      <c r="D47" s="18" t="s">
        <v>105</v>
      </c>
      <c r="E47" s="18" t="s">
        <v>849</v>
      </c>
      <c r="F47" s="70">
        <f>SUMIFS(ni_bimestral_pos_ejec!$F:$F,ni_bimestral_pos_ejec!$C:$C,$C47,ni_bimestral_pos_ejec!$B:$B,$B47,ni_bimestral_pos_ejec!$D:$D,$D47,ni_bimestral_pos_ejec!$E:$E,$E47)</f>
        <v>35</v>
      </c>
      <c r="G47" s="70">
        <f>SUMIFS(ri_bimestral_pos_ejec!$F:$F,ri_bimestral_pos_ejec!$C:$C,$C47,ri_bimestral_pos_ejec!$B:$B,$B47,ri_bimestral_pos_ejec!$D:$D,$D47,ri_bimestral_pos_ejec!$E:$E,$E47)</f>
        <v>0</v>
      </c>
      <c r="H47" s="70">
        <f>SUMIFS(pmp_mt_pos_ejec!$E:$E,pmp_mt_pos_ejec!$A:$A,$C47,pmp_mt_pos_ejec!$B:$B,$B47,pmp_mt_pos_ejec!$C:$C,$D47)</f>
        <v>0</v>
      </c>
      <c r="I47" s="70" t="str">
        <f t="shared" si="2"/>
        <v/>
      </c>
      <c r="J47" s="18" t="str">
        <f t="shared" si="3"/>
        <v>Sin PMP</v>
      </c>
    </row>
    <row r="48" spans="1:10">
      <c r="A48" s="18">
        <v>2028</v>
      </c>
      <c r="B48" s="18" t="s">
        <v>845</v>
      </c>
      <c r="C48" s="18">
        <v>2028</v>
      </c>
      <c r="D48" s="18" t="s">
        <v>106</v>
      </c>
      <c r="E48" s="18" t="s">
        <v>844</v>
      </c>
      <c r="F48" s="70">
        <f>SUMIFS(ni_bimestral_pos_ejec!$F:$F,ni_bimestral_pos_ejec!$C:$C,$C48,ni_bimestral_pos_ejec!$B:$B,$B48,ni_bimestral_pos_ejec!$D:$D,$D48,ni_bimestral_pos_ejec!$E:$E,$E48)</f>
        <v>1086</v>
      </c>
      <c r="G48" s="70">
        <f>SUMIFS(ri_bimestral_pos_ejec!$F:$F,ri_bimestral_pos_ejec!$C:$C,$C48,ri_bimestral_pos_ejec!$B:$B,$B48,ri_bimestral_pos_ejec!$D:$D,$D48,ri_bimestral_pos_ejec!$E:$E,$E48)</f>
        <v>6525</v>
      </c>
      <c r="H48" s="70">
        <f>SUMIFS(pmp_mt_pos_ejec!$E:$E,pmp_mt_pos_ejec!$A:$A,$C48,pmp_mt_pos_ejec!$B:$B,$B48,pmp_mt_pos_ejec!$C:$C,$D48)</f>
        <v>0</v>
      </c>
      <c r="I48" s="70" t="str">
        <f t="shared" si="2"/>
        <v/>
      </c>
      <c r="J48" s="18" t="str">
        <f t="shared" si="3"/>
        <v>Sin PMP</v>
      </c>
    </row>
    <row r="49" spans="1:10">
      <c r="A49" s="18">
        <v>2028</v>
      </c>
      <c r="B49" s="18" t="s">
        <v>845</v>
      </c>
      <c r="C49" s="18">
        <v>2028</v>
      </c>
      <c r="D49" s="18" t="s">
        <v>106</v>
      </c>
      <c r="E49" s="18" t="s">
        <v>849</v>
      </c>
      <c r="F49" s="70">
        <f>SUMIFS(ni_bimestral_pos_ejec!$F:$F,ni_bimestral_pos_ejec!$C:$C,$C49,ni_bimestral_pos_ejec!$B:$B,$B49,ni_bimestral_pos_ejec!$D:$D,$D49,ni_bimestral_pos_ejec!$E:$E,$E49)</f>
        <v>31</v>
      </c>
      <c r="G49" s="70">
        <f>SUMIFS(ri_bimestral_pos_ejec!$F:$F,ri_bimestral_pos_ejec!$C:$C,$C49,ri_bimestral_pos_ejec!$B:$B,$B49,ri_bimestral_pos_ejec!$D:$D,$D49,ri_bimestral_pos_ejec!$E:$E,$E49)</f>
        <v>0</v>
      </c>
      <c r="H49" s="70">
        <f>SUMIFS(pmp_mt_pos_ejec!$E:$E,pmp_mt_pos_ejec!$A:$A,$C49,pmp_mt_pos_ejec!$B:$B,$B49,pmp_mt_pos_ejec!$C:$C,$D49)</f>
        <v>0</v>
      </c>
      <c r="I49" s="70" t="str">
        <f t="shared" si="2"/>
        <v/>
      </c>
      <c r="J49" s="18" t="str">
        <f t="shared" si="3"/>
        <v>Sin PMP</v>
      </c>
    </row>
    <row r="50" spans="1:10">
      <c r="A50" s="18">
        <v>2028</v>
      </c>
      <c r="B50" s="18" t="s">
        <v>846</v>
      </c>
      <c r="C50" s="18">
        <v>2029</v>
      </c>
      <c r="D50" s="18" t="s">
        <v>105</v>
      </c>
      <c r="E50" s="18" t="s">
        <v>844</v>
      </c>
      <c r="F50" s="70">
        <f>SUMIFS(ni_bimestral_pos_ejec!$F:$F,ni_bimestral_pos_ejec!$C:$C,$C50,ni_bimestral_pos_ejec!$B:$B,$B50,ni_bimestral_pos_ejec!$D:$D,$D50,ni_bimestral_pos_ejec!$E:$E,$E50)</f>
        <v>2374</v>
      </c>
      <c r="G50" s="70">
        <f>SUMIFS(ri_bimestral_pos_ejec!$F:$F,ri_bimestral_pos_ejec!$C:$C,$C50,ri_bimestral_pos_ejec!$B:$B,$B50,ri_bimestral_pos_ejec!$D:$D,$D50,ri_bimestral_pos_ejec!$E:$E,$E50)</f>
        <v>13470</v>
      </c>
      <c r="H50" s="70">
        <f>SUMIFS(pmp_mt_pos_ejec!$E:$E,pmp_mt_pos_ejec!$A:$A,$C50,pmp_mt_pos_ejec!$B:$B,$B50,pmp_mt_pos_ejec!$C:$C,$D50)</f>
        <v>0</v>
      </c>
      <c r="I50" s="70" t="str">
        <f t="shared" si="2"/>
        <v/>
      </c>
      <c r="J50" s="18" t="str">
        <f t="shared" si="3"/>
        <v>Sin PMP</v>
      </c>
    </row>
    <row r="51" spans="1:10">
      <c r="A51" s="18">
        <v>2028</v>
      </c>
      <c r="B51" s="18" t="s">
        <v>846</v>
      </c>
      <c r="C51" s="18">
        <v>2029</v>
      </c>
      <c r="D51" s="18" t="s">
        <v>105</v>
      </c>
      <c r="E51" s="18" t="s">
        <v>849</v>
      </c>
      <c r="F51" s="70">
        <f>SUMIFS(ni_bimestral_pos_ejec!$F:$F,ni_bimestral_pos_ejec!$C:$C,$C51,ni_bimestral_pos_ejec!$B:$B,$B51,ni_bimestral_pos_ejec!$D:$D,$D51,ni_bimestral_pos_ejec!$E:$E,$E51)</f>
        <v>103</v>
      </c>
      <c r="G51" s="70">
        <f>SUMIFS(ri_bimestral_pos_ejec!$F:$F,ri_bimestral_pos_ejec!$C:$C,$C51,ri_bimestral_pos_ejec!$B:$B,$B51,ri_bimestral_pos_ejec!$D:$D,$D51,ri_bimestral_pos_ejec!$E:$E,$E51)</f>
        <v>0</v>
      </c>
      <c r="H51" s="70">
        <f>SUMIFS(pmp_mt_pos_ejec!$E:$E,pmp_mt_pos_ejec!$A:$A,$C51,pmp_mt_pos_ejec!$B:$B,$B51,pmp_mt_pos_ejec!$C:$C,$D51)</f>
        <v>0</v>
      </c>
      <c r="I51" s="70" t="str">
        <f t="shared" si="2"/>
        <v/>
      </c>
      <c r="J51" s="18" t="str">
        <f t="shared" si="3"/>
        <v>Sin PMP</v>
      </c>
    </row>
    <row r="52" spans="1:10">
      <c r="A52" s="18">
        <v>2028</v>
      </c>
      <c r="B52" s="18" t="s">
        <v>846</v>
      </c>
      <c r="C52" s="18">
        <v>2029</v>
      </c>
      <c r="D52" s="18" t="s">
        <v>106</v>
      </c>
      <c r="E52" s="18" t="s">
        <v>844</v>
      </c>
      <c r="F52" s="70">
        <f>SUMIFS(ni_bimestral_pos_ejec!$F:$F,ni_bimestral_pos_ejec!$C:$C,$C52,ni_bimestral_pos_ejec!$B:$B,$B52,ni_bimestral_pos_ejec!$D:$D,$D52,ni_bimestral_pos_ejec!$E:$E,$E52)</f>
        <v>1220</v>
      </c>
      <c r="G52" s="70">
        <f>SUMIFS(ri_bimestral_pos_ejec!$F:$F,ri_bimestral_pos_ejec!$C:$C,$C52,ri_bimestral_pos_ejec!$B:$B,$B52,ri_bimestral_pos_ejec!$D:$D,$D52,ri_bimestral_pos_ejec!$E:$E,$E52)</f>
        <v>6633</v>
      </c>
      <c r="H52" s="70">
        <f>SUMIFS(pmp_mt_pos_ejec!$E:$E,pmp_mt_pos_ejec!$A:$A,$C52,pmp_mt_pos_ejec!$B:$B,$B52,pmp_mt_pos_ejec!$C:$C,$D52)</f>
        <v>0</v>
      </c>
      <c r="I52" s="70" t="str">
        <f t="shared" si="2"/>
        <v/>
      </c>
      <c r="J52" s="18" t="str">
        <f t="shared" si="3"/>
        <v>Sin PMP</v>
      </c>
    </row>
    <row r="53" spans="1:10">
      <c r="A53" s="18">
        <v>2028</v>
      </c>
      <c r="B53" s="18" t="s">
        <v>846</v>
      </c>
      <c r="C53" s="18">
        <v>2029</v>
      </c>
      <c r="D53" s="18" t="s">
        <v>106</v>
      </c>
      <c r="E53" s="18" t="s">
        <v>849</v>
      </c>
      <c r="F53" s="70">
        <f>SUMIFS(ni_bimestral_pos_ejec!$F:$F,ni_bimestral_pos_ejec!$C:$C,$C53,ni_bimestral_pos_ejec!$B:$B,$B53,ni_bimestral_pos_ejec!$D:$D,$D53,ni_bimestral_pos_ejec!$E:$E,$E53)</f>
        <v>33</v>
      </c>
      <c r="G53" s="70">
        <f>SUMIFS(ri_bimestral_pos_ejec!$F:$F,ri_bimestral_pos_ejec!$C:$C,$C53,ri_bimestral_pos_ejec!$B:$B,$B53,ri_bimestral_pos_ejec!$D:$D,$D53,ri_bimestral_pos_ejec!$E:$E,$E53)</f>
        <v>0</v>
      </c>
      <c r="H53" s="70">
        <f>SUMIFS(pmp_mt_pos_ejec!$E:$E,pmp_mt_pos_ejec!$A:$A,$C53,pmp_mt_pos_ejec!$B:$B,$B53,pmp_mt_pos_ejec!$C:$C,$D53)</f>
        <v>0</v>
      </c>
      <c r="I53" s="70" t="str">
        <f t="shared" si="2"/>
        <v/>
      </c>
      <c r="J53" s="18" t="str">
        <f t="shared" si="3"/>
        <v>Sin PMP</v>
      </c>
    </row>
    <row r="54" spans="1:10">
      <c r="A54" s="18">
        <v>2028</v>
      </c>
      <c r="B54" s="18" t="s">
        <v>847</v>
      </c>
      <c r="C54" s="18">
        <v>2029</v>
      </c>
      <c r="D54" s="18" t="s">
        <v>105</v>
      </c>
      <c r="E54" s="18" t="s">
        <v>844</v>
      </c>
      <c r="F54" s="70">
        <f>SUMIFS(ni_bimestral_pos_ejec!$F:$F,ni_bimestral_pos_ejec!$C:$C,$C54,ni_bimestral_pos_ejec!$B:$B,$B54,ni_bimestral_pos_ejec!$D:$D,$D54,ni_bimestral_pos_ejec!$E:$E,$E54)</f>
        <v>1751</v>
      </c>
      <c r="G54" s="70">
        <f>SUMIFS(ri_bimestral_pos_ejec!$F:$F,ri_bimestral_pos_ejec!$C:$C,$C54,ri_bimestral_pos_ejec!$B:$B,$B54,ri_bimestral_pos_ejec!$D:$D,$D54,ri_bimestral_pos_ejec!$E:$E,$E54)</f>
        <v>13844</v>
      </c>
      <c r="H54" s="70">
        <f>SUMIFS(pmp_mt_pos_ejec!$E:$E,pmp_mt_pos_ejec!$A:$A,$C54,pmp_mt_pos_ejec!$B:$B,$B54,pmp_mt_pos_ejec!$C:$C,$D54)</f>
        <v>0</v>
      </c>
      <c r="I54" s="70" t="str">
        <f t="shared" si="2"/>
        <v/>
      </c>
      <c r="J54" s="18" t="str">
        <f t="shared" si="3"/>
        <v>Sin PMP</v>
      </c>
    </row>
    <row r="55" spans="1:10">
      <c r="A55" s="18">
        <v>2028</v>
      </c>
      <c r="B55" s="18" t="s">
        <v>847</v>
      </c>
      <c r="C55" s="18">
        <v>2029</v>
      </c>
      <c r="D55" s="18" t="s">
        <v>105</v>
      </c>
      <c r="E55" s="18" t="s">
        <v>849</v>
      </c>
      <c r="F55" s="70">
        <f>SUMIFS(ni_bimestral_pos_ejec!$F:$F,ni_bimestral_pos_ejec!$C:$C,$C55,ni_bimestral_pos_ejec!$B:$B,$B55,ni_bimestral_pos_ejec!$D:$D,$D55,ni_bimestral_pos_ejec!$E:$E,$E55)</f>
        <v>63</v>
      </c>
      <c r="G55" s="70">
        <f>SUMIFS(ri_bimestral_pos_ejec!$F:$F,ri_bimestral_pos_ejec!$C:$C,$C55,ri_bimestral_pos_ejec!$B:$B,$B55,ri_bimestral_pos_ejec!$D:$D,$D55,ri_bimestral_pos_ejec!$E:$E,$E55)</f>
        <v>0</v>
      </c>
      <c r="H55" s="70">
        <f>SUMIFS(pmp_mt_pos_ejec!$E:$E,pmp_mt_pos_ejec!$A:$A,$C55,pmp_mt_pos_ejec!$B:$B,$B55,pmp_mt_pos_ejec!$C:$C,$D55)</f>
        <v>0</v>
      </c>
      <c r="I55" s="70" t="str">
        <f t="shared" si="2"/>
        <v/>
      </c>
      <c r="J55" s="18" t="str">
        <f t="shared" si="3"/>
        <v>Sin PMP</v>
      </c>
    </row>
    <row r="56" spans="1:10">
      <c r="A56" s="18">
        <v>2028</v>
      </c>
      <c r="B56" s="18" t="s">
        <v>847</v>
      </c>
      <c r="C56" s="18">
        <v>2029</v>
      </c>
      <c r="D56" s="18" t="s">
        <v>106</v>
      </c>
      <c r="E56" s="18" t="s">
        <v>844</v>
      </c>
      <c r="F56" s="70">
        <f>SUMIFS(ni_bimestral_pos_ejec!$F:$F,ni_bimestral_pos_ejec!$C:$C,$C56,ni_bimestral_pos_ejec!$B:$B,$B56,ni_bimestral_pos_ejec!$D:$D,$D56,ni_bimestral_pos_ejec!$E:$E,$E56)</f>
        <v>970</v>
      </c>
      <c r="G56" s="70">
        <f>SUMIFS(ri_bimestral_pos_ejec!$F:$F,ri_bimestral_pos_ejec!$C:$C,$C56,ri_bimestral_pos_ejec!$B:$B,$B56,ri_bimestral_pos_ejec!$D:$D,$D56,ri_bimestral_pos_ejec!$E:$E,$E56)</f>
        <v>7373</v>
      </c>
      <c r="H56" s="70">
        <f>SUMIFS(pmp_mt_pos_ejec!$E:$E,pmp_mt_pos_ejec!$A:$A,$C56,pmp_mt_pos_ejec!$B:$B,$B56,pmp_mt_pos_ejec!$C:$C,$D56)</f>
        <v>0</v>
      </c>
      <c r="I56" s="70" t="str">
        <f t="shared" si="2"/>
        <v/>
      </c>
      <c r="J56" s="18" t="str">
        <f t="shared" si="3"/>
        <v>Sin PMP</v>
      </c>
    </row>
    <row r="57" spans="1:10">
      <c r="A57" s="18">
        <v>2028</v>
      </c>
      <c r="B57" s="18" t="s">
        <v>847</v>
      </c>
      <c r="C57" s="18">
        <v>2029</v>
      </c>
      <c r="D57" s="18" t="s">
        <v>106</v>
      </c>
      <c r="E57" s="18" t="s">
        <v>849</v>
      </c>
      <c r="F57" s="70">
        <f>SUMIFS(ni_bimestral_pos_ejec!$F:$F,ni_bimestral_pos_ejec!$C:$C,$C57,ni_bimestral_pos_ejec!$B:$B,$B57,ni_bimestral_pos_ejec!$D:$D,$D57,ni_bimestral_pos_ejec!$E:$E,$E57)</f>
        <v>28</v>
      </c>
      <c r="G57" s="70">
        <f>SUMIFS(ri_bimestral_pos_ejec!$F:$F,ri_bimestral_pos_ejec!$C:$C,$C57,ri_bimestral_pos_ejec!$B:$B,$B57,ri_bimestral_pos_ejec!$D:$D,$D57,ri_bimestral_pos_ejec!$E:$E,$E57)</f>
        <v>0</v>
      </c>
      <c r="H57" s="70">
        <f>SUMIFS(pmp_mt_pos_ejec!$E:$E,pmp_mt_pos_ejec!$A:$A,$C57,pmp_mt_pos_ejec!$B:$B,$B57,pmp_mt_pos_ejec!$C:$C,$D57)</f>
        <v>0</v>
      </c>
      <c r="I57" s="70" t="str">
        <f t="shared" si="2"/>
        <v/>
      </c>
      <c r="J57" s="18" t="str">
        <f t="shared" si="3"/>
        <v>Sin PMP</v>
      </c>
    </row>
    <row r="58" spans="1:10">
      <c r="A58" s="18">
        <v>2028</v>
      </c>
      <c r="B58" s="18" t="s">
        <v>848</v>
      </c>
      <c r="C58" s="18">
        <v>2029</v>
      </c>
      <c r="D58" s="18" t="s">
        <v>105</v>
      </c>
      <c r="E58" s="18" t="s">
        <v>844</v>
      </c>
      <c r="F58" s="70">
        <f>SUMIFS(ni_bimestral_pos_ejec!$F:$F,ni_bimestral_pos_ejec!$C:$C,$C58,ni_bimestral_pos_ejec!$B:$B,$B58,ni_bimestral_pos_ejec!$D:$D,$D58,ni_bimestral_pos_ejec!$E:$E,$E58)</f>
        <v>2593</v>
      </c>
      <c r="G58" s="70">
        <f>SUMIFS(ri_bimestral_pos_ejec!$F:$F,ri_bimestral_pos_ejec!$C:$C,$C58,ri_bimestral_pos_ejec!$B:$B,$B58,ri_bimestral_pos_ejec!$D:$D,$D58,ri_bimestral_pos_ejec!$E:$E,$E58)</f>
        <v>14119</v>
      </c>
      <c r="H58" s="70">
        <f>SUMIFS(pmp_mt_pos_ejec!$E:$E,pmp_mt_pos_ejec!$A:$A,$C58,pmp_mt_pos_ejec!$B:$B,$B58,pmp_mt_pos_ejec!$C:$C,$D58)</f>
        <v>0</v>
      </c>
      <c r="I58" s="70" t="str">
        <f t="shared" si="2"/>
        <v/>
      </c>
      <c r="J58" s="18" t="str">
        <f t="shared" si="3"/>
        <v>Sin PMP</v>
      </c>
    </row>
    <row r="59" spans="1:10">
      <c r="A59" s="18">
        <v>2028</v>
      </c>
      <c r="B59" s="18" t="s">
        <v>848</v>
      </c>
      <c r="C59" s="18">
        <v>2029</v>
      </c>
      <c r="D59" s="18" t="s">
        <v>105</v>
      </c>
      <c r="E59" s="18" t="s">
        <v>849</v>
      </c>
      <c r="F59" s="70">
        <f>SUMIFS(ni_bimestral_pos_ejec!$F:$F,ni_bimestral_pos_ejec!$C:$C,$C59,ni_bimestral_pos_ejec!$B:$B,$B59,ni_bimestral_pos_ejec!$D:$D,$D59,ni_bimestral_pos_ejec!$E:$E,$E59)</f>
        <v>101</v>
      </c>
      <c r="G59" s="70">
        <f>SUMIFS(ri_bimestral_pos_ejec!$F:$F,ri_bimestral_pos_ejec!$C:$C,$C59,ri_bimestral_pos_ejec!$B:$B,$B59,ri_bimestral_pos_ejec!$D:$D,$D59,ri_bimestral_pos_ejec!$E:$E,$E59)</f>
        <v>0</v>
      </c>
      <c r="H59" s="70">
        <f>SUMIFS(pmp_mt_pos_ejec!$E:$E,pmp_mt_pos_ejec!$A:$A,$C59,pmp_mt_pos_ejec!$B:$B,$B59,pmp_mt_pos_ejec!$C:$C,$D59)</f>
        <v>0</v>
      </c>
      <c r="I59" s="70" t="str">
        <f t="shared" si="2"/>
        <v/>
      </c>
      <c r="J59" s="18" t="str">
        <f t="shared" si="3"/>
        <v>Sin PMP</v>
      </c>
    </row>
    <row r="60" spans="1:10">
      <c r="A60" s="18">
        <v>2028</v>
      </c>
      <c r="B60" s="18" t="s">
        <v>848</v>
      </c>
      <c r="C60" s="18">
        <v>2029</v>
      </c>
      <c r="D60" s="18" t="s">
        <v>106</v>
      </c>
      <c r="E60" s="18" t="s">
        <v>844</v>
      </c>
      <c r="F60" s="70">
        <f>SUMIFS(ni_bimestral_pos_ejec!$F:$F,ni_bimestral_pos_ejec!$C:$C,$C60,ni_bimestral_pos_ejec!$B:$B,$B60,ni_bimestral_pos_ejec!$D:$D,$D60,ni_bimestral_pos_ejec!$E:$E,$E60)</f>
        <v>1248</v>
      </c>
      <c r="G60" s="70">
        <f>SUMIFS(ri_bimestral_pos_ejec!$F:$F,ri_bimestral_pos_ejec!$C:$C,$C60,ri_bimestral_pos_ejec!$B:$B,$B60,ri_bimestral_pos_ejec!$D:$D,$D60,ri_bimestral_pos_ejec!$E:$E,$E60)</f>
        <v>7521</v>
      </c>
      <c r="H60" s="70">
        <f>SUMIFS(pmp_mt_pos_ejec!$E:$E,pmp_mt_pos_ejec!$A:$A,$C60,pmp_mt_pos_ejec!$B:$B,$B60,pmp_mt_pos_ejec!$C:$C,$D60)</f>
        <v>0</v>
      </c>
      <c r="I60" s="70" t="str">
        <f t="shared" si="2"/>
        <v/>
      </c>
      <c r="J60" s="18" t="str">
        <f t="shared" si="3"/>
        <v>Sin PMP</v>
      </c>
    </row>
    <row r="61" spans="1:10">
      <c r="A61" s="18">
        <v>2028</v>
      </c>
      <c r="B61" s="18" t="s">
        <v>848</v>
      </c>
      <c r="C61" s="18">
        <v>2029</v>
      </c>
      <c r="D61" s="18" t="s">
        <v>106</v>
      </c>
      <c r="E61" s="18" t="s">
        <v>849</v>
      </c>
      <c r="F61" s="70">
        <f>SUMIFS(ni_bimestral_pos_ejec!$F:$F,ni_bimestral_pos_ejec!$C:$C,$C61,ni_bimestral_pos_ejec!$B:$B,$B61,ni_bimestral_pos_ejec!$D:$D,$D61,ni_bimestral_pos_ejec!$E:$E,$E61)</f>
        <v>36</v>
      </c>
      <c r="G61" s="70">
        <f>SUMIFS(ri_bimestral_pos_ejec!$F:$F,ri_bimestral_pos_ejec!$C:$C,$C61,ri_bimestral_pos_ejec!$B:$B,$B61,ri_bimestral_pos_ejec!$D:$D,$D61,ri_bimestral_pos_ejec!$E:$E,$E61)</f>
        <v>0</v>
      </c>
      <c r="H61" s="70">
        <f>SUMIFS(pmp_mt_pos_ejec!$E:$E,pmp_mt_pos_ejec!$A:$A,$C61,pmp_mt_pos_ejec!$B:$B,$B61,pmp_mt_pos_ejec!$C:$C,$D61)</f>
        <v>0</v>
      </c>
      <c r="I61" s="70" t="str">
        <f t="shared" si="2"/>
        <v/>
      </c>
      <c r="J61" s="18" t="str">
        <f t="shared" si="3"/>
        <v>Sin PMP</v>
      </c>
    </row>
    <row r="62" spans="1:10">
      <c r="A62" s="18">
        <v>2029</v>
      </c>
      <c r="B62" s="18" t="s">
        <v>843</v>
      </c>
      <c r="C62" s="18">
        <v>2029</v>
      </c>
      <c r="D62" s="18" t="s">
        <v>105</v>
      </c>
      <c r="E62" s="18" t="s">
        <v>844</v>
      </c>
      <c r="F62" s="70">
        <f>SUMIFS(ni_bimestral_pos_ejec!$F:$F,ni_bimestral_pos_ejec!$C:$C,$C62,ni_bimestral_pos_ejec!$B:$B,$B62,ni_bimestral_pos_ejec!$D:$D,$D62,ni_bimestral_pos_ejec!$E:$E,$E62)</f>
        <v>2178</v>
      </c>
      <c r="G62" s="70">
        <f>SUMIFS(ri_bimestral_pos_ejec!$F:$F,ri_bimestral_pos_ejec!$C:$C,$C62,ri_bimestral_pos_ejec!$B:$B,$B62,ri_bimestral_pos_ejec!$D:$D,$D62,ri_bimestral_pos_ejec!$E:$E,$E62)</f>
        <v>14902</v>
      </c>
      <c r="H62" s="70">
        <f>SUMIFS(pmp_mt_pos_ejec!$E:$E,pmp_mt_pos_ejec!$A:$A,$C62,pmp_mt_pos_ejec!$B:$B,$B62,pmp_mt_pos_ejec!$C:$C,$D62)</f>
        <v>17341</v>
      </c>
      <c r="I62" s="70">
        <f t="shared" si="2"/>
        <v>261</v>
      </c>
      <c r="J62" s="18" t="str">
        <f t="shared" si="3"/>
        <v>OK</v>
      </c>
    </row>
    <row r="63" spans="1:10">
      <c r="A63" s="18">
        <v>2029</v>
      </c>
      <c r="B63" s="18" t="s">
        <v>843</v>
      </c>
      <c r="C63" s="18">
        <v>2029</v>
      </c>
      <c r="D63" s="18" t="s">
        <v>105</v>
      </c>
      <c r="E63" s="18" t="s">
        <v>849</v>
      </c>
      <c r="F63" s="70">
        <f>SUMIFS(ni_bimestral_pos_ejec!$F:$F,ni_bimestral_pos_ejec!$C:$C,$C63,ni_bimestral_pos_ejec!$B:$B,$B63,ni_bimestral_pos_ejec!$D:$D,$D63,ni_bimestral_pos_ejec!$E:$E,$E63)</f>
        <v>61</v>
      </c>
      <c r="G63" s="70">
        <f>SUMIFS(ri_bimestral_pos_ejec!$F:$F,ri_bimestral_pos_ejec!$C:$C,$C63,ri_bimestral_pos_ejec!$B:$B,$B63,ri_bimestral_pos_ejec!$D:$D,$D63,ri_bimestral_pos_ejec!$E:$E,$E63)</f>
        <v>0</v>
      </c>
      <c r="H63" s="70">
        <f>SUMIFS(pmp_mt_pos_ejec!$E:$E,pmp_mt_pos_ejec!$A:$A,$C63,pmp_mt_pos_ejec!$B:$B,$B63,pmp_mt_pos_ejec!$C:$C,$D63)</f>
        <v>17341</v>
      </c>
      <c r="I63" s="70">
        <f t="shared" si="2"/>
        <v>17280</v>
      </c>
      <c r="J63" s="18" t="str">
        <f t="shared" si="3"/>
        <v>OK</v>
      </c>
    </row>
    <row r="64" spans="1:10">
      <c r="A64" s="18">
        <v>2029</v>
      </c>
      <c r="B64" s="18" t="s">
        <v>843</v>
      </c>
      <c r="C64" s="18">
        <v>2029</v>
      </c>
      <c r="D64" s="18" t="s">
        <v>106</v>
      </c>
      <c r="E64" s="18" t="s">
        <v>844</v>
      </c>
      <c r="F64" s="70">
        <f>SUMIFS(ni_bimestral_pos_ejec!$F:$F,ni_bimestral_pos_ejec!$C:$C,$C64,ni_bimestral_pos_ejec!$B:$B,$B64,ni_bimestral_pos_ejec!$D:$D,$D64,ni_bimestral_pos_ejec!$E:$E,$E64)</f>
        <v>1310</v>
      </c>
      <c r="G64" s="70">
        <f>SUMIFS(ri_bimestral_pos_ejec!$F:$F,ri_bimestral_pos_ejec!$C:$C,$C64,ri_bimestral_pos_ejec!$B:$B,$B64,ri_bimestral_pos_ejec!$D:$D,$D64,ri_bimestral_pos_ejec!$E:$E,$E64)</f>
        <v>7764</v>
      </c>
      <c r="H64" s="70">
        <f>SUMIFS(pmp_mt_pos_ejec!$E:$E,pmp_mt_pos_ejec!$A:$A,$C64,pmp_mt_pos_ejec!$B:$B,$B64,pmp_mt_pos_ejec!$C:$C,$D64)</f>
        <v>12757</v>
      </c>
      <c r="I64" s="70">
        <f t="shared" si="2"/>
        <v>3683</v>
      </c>
      <c r="J64" s="18" t="str">
        <f t="shared" si="3"/>
        <v>OK</v>
      </c>
    </row>
    <row r="65" spans="1:10">
      <c r="A65" s="18">
        <v>2029</v>
      </c>
      <c r="B65" s="18" t="s">
        <v>843</v>
      </c>
      <c r="C65" s="18">
        <v>2029</v>
      </c>
      <c r="D65" s="18" t="s">
        <v>106</v>
      </c>
      <c r="E65" s="18" t="s">
        <v>849</v>
      </c>
      <c r="F65" s="70">
        <f>SUMIFS(ni_bimestral_pos_ejec!$F:$F,ni_bimestral_pos_ejec!$C:$C,$C65,ni_bimestral_pos_ejec!$B:$B,$B65,ni_bimestral_pos_ejec!$D:$D,$D65,ni_bimestral_pos_ejec!$E:$E,$E65)</f>
        <v>49</v>
      </c>
      <c r="G65" s="70">
        <f>SUMIFS(ri_bimestral_pos_ejec!$F:$F,ri_bimestral_pos_ejec!$C:$C,$C65,ri_bimestral_pos_ejec!$B:$B,$B65,ri_bimestral_pos_ejec!$D:$D,$D65,ri_bimestral_pos_ejec!$E:$E,$E65)</f>
        <v>0</v>
      </c>
      <c r="H65" s="70">
        <f>SUMIFS(pmp_mt_pos_ejec!$E:$E,pmp_mt_pos_ejec!$A:$A,$C65,pmp_mt_pos_ejec!$B:$B,$B65,pmp_mt_pos_ejec!$C:$C,$D65)</f>
        <v>12757</v>
      </c>
      <c r="I65" s="70">
        <f t="shared" si="2"/>
        <v>12708</v>
      </c>
      <c r="J65" s="18" t="str">
        <f t="shared" si="3"/>
        <v>OK</v>
      </c>
    </row>
    <row r="66" spans="1:10">
      <c r="A66" s="18">
        <v>2029</v>
      </c>
      <c r="B66" s="18" t="s">
        <v>845</v>
      </c>
      <c r="C66" s="18">
        <v>2029</v>
      </c>
      <c r="D66" s="18" t="s">
        <v>105</v>
      </c>
      <c r="E66" s="18" t="s">
        <v>844</v>
      </c>
      <c r="F66" s="70">
        <f>SUMIFS(ni_bimestral_pos_ejec!$F:$F,ni_bimestral_pos_ejec!$C:$C,$C66,ni_bimestral_pos_ejec!$B:$B,$B66,ni_bimestral_pos_ejec!$D:$D,$D66,ni_bimestral_pos_ejec!$E:$E,$E66)</f>
        <v>2177</v>
      </c>
      <c r="G66" s="70">
        <f>SUMIFS(ri_bimestral_pos_ejec!$F:$F,ri_bimestral_pos_ejec!$C:$C,$C66,ri_bimestral_pos_ejec!$B:$B,$B66,ri_bimestral_pos_ejec!$D:$D,$D66,ri_bimestral_pos_ejec!$E:$E,$E66)</f>
        <v>15196</v>
      </c>
      <c r="H66" s="70">
        <f>SUMIFS(pmp_mt_pos_ejec!$E:$E,pmp_mt_pos_ejec!$A:$A,$C66,pmp_mt_pos_ejec!$B:$B,$B66,pmp_mt_pos_ejec!$C:$C,$D66)</f>
        <v>0</v>
      </c>
      <c r="I66" s="70" t="str">
        <f t="shared" ref="I66:I97" si="4">IF(H66=0,"",MAX(0,H66-F66-G66))</f>
        <v/>
      </c>
      <c r="J66" s="18" t="str">
        <f t="shared" ref="J66:J97" si="5">IF(H66=0,"Sin PMP",IF(ABS((F66+G66+I66)-H66)&lt;1,"OK","Revisar"))</f>
        <v>Sin PMP</v>
      </c>
    </row>
    <row r="67" spans="1:10">
      <c r="A67" s="18">
        <v>2029</v>
      </c>
      <c r="B67" s="18" t="s">
        <v>845</v>
      </c>
      <c r="C67" s="18">
        <v>2029</v>
      </c>
      <c r="D67" s="18" t="s">
        <v>105</v>
      </c>
      <c r="E67" s="18" t="s">
        <v>849</v>
      </c>
      <c r="F67" s="70">
        <f>SUMIFS(ni_bimestral_pos_ejec!$F:$F,ni_bimestral_pos_ejec!$C:$C,$C67,ni_bimestral_pos_ejec!$B:$B,$B67,ni_bimestral_pos_ejec!$D:$D,$D67,ni_bimestral_pos_ejec!$E:$E,$E67)</f>
        <v>61</v>
      </c>
      <c r="G67" s="70">
        <f>SUMIFS(ri_bimestral_pos_ejec!$F:$F,ri_bimestral_pos_ejec!$C:$C,$C67,ri_bimestral_pos_ejec!$B:$B,$B67,ri_bimestral_pos_ejec!$D:$D,$D67,ri_bimestral_pos_ejec!$E:$E,$E67)</f>
        <v>0</v>
      </c>
      <c r="H67" s="70">
        <f>SUMIFS(pmp_mt_pos_ejec!$E:$E,pmp_mt_pos_ejec!$A:$A,$C67,pmp_mt_pos_ejec!$B:$B,$B67,pmp_mt_pos_ejec!$C:$C,$D67)</f>
        <v>0</v>
      </c>
      <c r="I67" s="70" t="str">
        <f t="shared" si="4"/>
        <v/>
      </c>
      <c r="J67" s="18" t="str">
        <f t="shared" si="5"/>
        <v>Sin PMP</v>
      </c>
    </row>
    <row r="68" spans="1:10">
      <c r="A68" s="18">
        <v>2029</v>
      </c>
      <c r="B68" s="18" t="s">
        <v>845</v>
      </c>
      <c r="C68" s="18">
        <v>2029</v>
      </c>
      <c r="D68" s="18" t="s">
        <v>106</v>
      </c>
      <c r="E68" s="18" t="s">
        <v>844</v>
      </c>
      <c r="F68" s="70">
        <f>SUMIFS(ni_bimestral_pos_ejec!$F:$F,ni_bimestral_pos_ejec!$C:$C,$C68,ni_bimestral_pos_ejec!$B:$B,$B68,ni_bimestral_pos_ejec!$D:$D,$D68,ni_bimestral_pos_ejec!$E:$E,$E68)</f>
        <v>1207</v>
      </c>
      <c r="G68" s="70">
        <f>SUMIFS(ri_bimestral_pos_ejec!$F:$F,ri_bimestral_pos_ejec!$C:$C,$C68,ri_bimestral_pos_ejec!$B:$B,$B68,ri_bimestral_pos_ejec!$D:$D,$D68,ri_bimestral_pos_ejec!$E:$E,$E68)</f>
        <v>8479</v>
      </c>
      <c r="H68" s="70">
        <f>SUMIFS(pmp_mt_pos_ejec!$E:$E,pmp_mt_pos_ejec!$A:$A,$C68,pmp_mt_pos_ejec!$B:$B,$B68,pmp_mt_pos_ejec!$C:$C,$D68)</f>
        <v>0</v>
      </c>
      <c r="I68" s="70" t="str">
        <f t="shared" si="4"/>
        <v/>
      </c>
      <c r="J68" s="18" t="str">
        <f t="shared" si="5"/>
        <v>Sin PMP</v>
      </c>
    </row>
    <row r="69" spans="1:10">
      <c r="A69" s="18">
        <v>2029</v>
      </c>
      <c r="B69" s="18" t="s">
        <v>845</v>
      </c>
      <c r="C69" s="18">
        <v>2029</v>
      </c>
      <c r="D69" s="18" t="s">
        <v>106</v>
      </c>
      <c r="E69" s="18" t="s">
        <v>849</v>
      </c>
      <c r="F69" s="70">
        <f>SUMIFS(ni_bimestral_pos_ejec!$F:$F,ni_bimestral_pos_ejec!$C:$C,$C69,ni_bimestral_pos_ejec!$B:$B,$B69,ni_bimestral_pos_ejec!$D:$D,$D69,ni_bimestral_pos_ejec!$E:$E,$E69)</f>
        <v>43</v>
      </c>
      <c r="G69" s="70">
        <f>SUMIFS(ri_bimestral_pos_ejec!$F:$F,ri_bimestral_pos_ejec!$C:$C,$C69,ri_bimestral_pos_ejec!$B:$B,$B69,ri_bimestral_pos_ejec!$D:$D,$D69,ri_bimestral_pos_ejec!$E:$E,$E69)</f>
        <v>0</v>
      </c>
      <c r="H69" s="70">
        <f>SUMIFS(pmp_mt_pos_ejec!$E:$E,pmp_mt_pos_ejec!$A:$A,$C69,pmp_mt_pos_ejec!$B:$B,$B69,pmp_mt_pos_ejec!$C:$C,$D69)</f>
        <v>0</v>
      </c>
      <c r="I69" s="70" t="str">
        <f t="shared" si="4"/>
        <v/>
      </c>
      <c r="J69" s="18" t="str">
        <f t="shared" si="5"/>
        <v>Sin PMP</v>
      </c>
    </row>
    <row r="70" spans="1:10">
      <c r="A70" s="18">
        <v>2029</v>
      </c>
      <c r="B70" s="18" t="s">
        <v>846</v>
      </c>
      <c r="C70" s="18">
        <v>2030</v>
      </c>
      <c r="D70" s="18" t="s">
        <v>105</v>
      </c>
      <c r="E70" s="18" t="s">
        <v>844</v>
      </c>
      <c r="F70" s="70">
        <f>SUMIFS(ni_bimestral_pos_ejec!$F:$F,ni_bimestral_pos_ejec!$C:$C,$C70,ni_bimestral_pos_ejec!$B:$B,$B70,ni_bimestral_pos_ejec!$D:$D,$D70,ni_bimestral_pos_ejec!$E:$E,$E70)</f>
        <v>2445</v>
      </c>
      <c r="G70" s="70">
        <f>SUMIFS(ri_bimestral_pos_ejec!$F:$F,ri_bimestral_pos_ejec!$C:$C,$C70,ri_bimestral_pos_ejec!$B:$B,$B70,ri_bimestral_pos_ejec!$D:$D,$D70,ri_bimestral_pos_ejec!$E:$E,$E70)</f>
        <v>14986</v>
      </c>
      <c r="H70" s="70">
        <f>SUMIFS(pmp_mt_pos_ejec!$E:$E,pmp_mt_pos_ejec!$A:$A,$C70,pmp_mt_pos_ejec!$B:$B,$B70,pmp_mt_pos_ejec!$C:$C,$D70)</f>
        <v>0</v>
      </c>
      <c r="I70" s="70" t="str">
        <f t="shared" si="4"/>
        <v/>
      </c>
      <c r="J70" s="18" t="str">
        <f t="shared" si="5"/>
        <v>Sin PMP</v>
      </c>
    </row>
    <row r="71" spans="1:10">
      <c r="A71" s="18">
        <v>2029</v>
      </c>
      <c r="B71" s="18" t="s">
        <v>846</v>
      </c>
      <c r="C71" s="18">
        <v>2030</v>
      </c>
      <c r="D71" s="18" t="s">
        <v>105</v>
      </c>
      <c r="E71" s="18" t="s">
        <v>849</v>
      </c>
      <c r="F71" s="70">
        <f>SUMIFS(ni_bimestral_pos_ejec!$F:$F,ni_bimestral_pos_ejec!$C:$C,$C71,ni_bimestral_pos_ejec!$B:$B,$B71,ni_bimestral_pos_ejec!$D:$D,$D71,ni_bimestral_pos_ejec!$E:$E,$E71)</f>
        <v>109</v>
      </c>
      <c r="G71" s="70">
        <f>SUMIFS(ri_bimestral_pos_ejec!$F:$F,ri_bimestral_pos_ejec!$C:$C,$C71,ri_bimestral_pos_ejec!$B:$B,$B71,ri_bimestral_pos_ejec!$D:$D,$D71,ri_bimestral_pos_ejec!$E:$E,$E71)</f>
        <v>0</v>
      </c>
      <c r="H71" s="70">
        <f>SUMIFS(pmp_mt_pos_ejec!$E:$E,pmp_mt_pos_ejec!$A:$A,$C71,pmp_mt_pos_ejec!$B:$B,$B71,pmp_mt_pos_ejec!$C:$C,$D71)</f>
        <v>0</v>
      </c>
      <c r="I71" s="70" t="str">
        <f t="shared" si="4"/>
        <v/>
      </c>
      <c r="J71" s="18" t="str">
        <f t="shared" si="5"/>
        <v>Sin PMP</v>
      </c>
    </row>
    <row r="72" spans="1:10">
      <c r="A72" s="18">
        <v>2029</v>
      </c>
      <c r="B72" s="18" t="s">
        <v>846</v>
      </c>
      <c r="C72" s="18">
        <v>2030</v>
      </c>
      <c r="D72" s="18" t="s">
        <v>106</v>
      </c>
      <c r="E72" s="18" t="s">
        <v>844</v>
      </c>
      <c r="F72" s="70">
        <f>SUMIFS(ni_bimestral_pos_ejec!$F:$F,ni_bimestral_pos_ejec!$C:$C,$C72,ni_bimestral_pos_ejec!$B:$B,$B72,ni_bimestral_pos_ejec!$D:$D,$D72,ni_bimestral_pos_ejec!$E:$E,$E72)</f>
        <v>1305</v>
      </c>
      <c r="G72" s="70">
        <f>SUMIFS(ri_bimestral_pos_ejec!$F:$F,ri_bimestral_pos_ejec!$C:$C,$C72,ri_bimestral_pos_ejec!$B:$B,$B72,ri_bimestral_pos_ejec!$D:$D,$D72,ri_bimestral_pos_ejec!$E:$E,$E72)</f>
        <v>8122</v>
      </c>
      <c r="H72" s="70">
        <f>SUMIFS(pmp_mt_pos_ejec!$E:$E,pmp_mt_pos_ejec!$A:$A,$C72,pmp_mt_pos_ejec!$B:$B,$B72,pmp_mt_pos_ejec!$C:$C,$D72)</f>
        <v>0</v>
      </c>
      <c r="I72" s="70" t="str">
        <f t="shared" si="4"/>
        <v/>
      </c>
      <c r="J72" s="18" t="str">
        <f t="shared" si="5"/>
        <v>Sin PMP</v>
      </c>
    </row>
    <row r="73" spans="1:10">
      <c r="A73" s="18">
        <v>2029</v>
      </c>
      <c r="B73" s="18" t="s">
        <v>846</v>
      </c>
      <c r="C73" s="18">
        <v>2030</v>
      </c>
      <c r="D73" s="18" t="s">
        <v>106</v>
      </c>
      <c r="E73" s="18" t="s">
        <v>849</v>
      </c>
      <c r="F73" s="70">
        <f>SUMIFS(ni_bimestral_pos_ejec!$F:$F,ni_bimestral_pos_ejec!$C:$C,$C73,ni_bimestral_pos_ejec!$B:$B,$B73,ni_bimestral_pos_ejec!$D:$D,$D73,ni_bimestral_pos_ejec!$E:$E,$E73)</f>
        <v>45</v>
      </c>
      <c r="G73" s="70">
        <f>SUMIFS(ri_bimestral_pos_ejec!$F:$F,ri_bimestral_pos_ejec!$C:$C,$C73,ri_bimestral_pos_ejec!$B:$B,$B73,ri_bimestral_pos_ejec!$D:$D,$D73,ri_bimestral_pos_ejec!$E:$E,$E73)</f>
        <v>0</v>
      </c>
      <c r="H73" s="70">
        <f>SUMIFS(pmp_mt_pos_ejec!$E:$E,pmp_mt_pos_ejec!$A:$A,$C73,pmp_mt_pos_ejec!$B:$B,$B73,pmp_mt_pos_ejec!$C:$C,$D73)</f>
        <v>0</v>
      </c>
      <c r="I73" s="70" t="str">
        <f t="shared" si="4"/>
        <v/>
      </c>
      <c r="J73" s="18" t="str">
        <f t="shared" si="5"/>
        <v>Sin PMP</v>
      </c>
    </row>
    <row r="74" spans="1:10">
      <c r="A74" s="18">
        <v>2029</v>
      </c>
      <c r="B74" s="18" t="s">
        <v>847</v>
      </c>
      <c r="C74" s="18">
        <v>2030</v>
      </c>
      <c r="D74" s="18" t="s">
        <v>105</v>
      </c>
      <c r="E74" s="18" t="s">
        <v>844</v>
      </c>
      <c r="F74" s="70">
        <f>SUMIFS(ni_bimestral_pos_ejec!$F:$F,ni_bimestral_pos_ejec!$C:$C,$C74,ni_bimestral_pos_ejec!$B:$B,$B74,ni_bimestral_pos_ejec!$D:$D,$D74,ni_bimestral_pos_ejec!$E:$E,$E74)</f>
        <v>1813</v>
      </c>
      <c r="G74" s="70">
        <f>SUMIFS(ri_bimestral_pos_ejec!$F:$F,ri_bimestral_pos_ejec!$C:$C,$C74,ri_bimestral_pos_ejec!$B:$B,$B74,ri_bimestral_pos_ejec!$D:$D,$D74,ri_bimestral_pos_ejec!$E:$E,$E74)</f>
        <v>15496</v>
      </c>
      <c r="H74" s="70">
        <f>SUMIFS(pmp_mt_pos_ejec!$E:$E,pmp_mt_pos_ejec!$A:$A,$C74,pmp_mt_pos_ejec!$B:$B,$B74,pmp_mt_pos_ejec!$C:$C,$D74)</f>
        <v>0</v>
      </c>
      <c r="I74" s="70" t="str">
        <f t="shared" si="4"/>
        <v/>
      </c>
      <c r="J74" s="18" t="str">
        <f t="shared" si="5"/>
        <v>Sin PMP</v>
      </c>
    </row>
    <row r="75" spans="1:10">
      <c r="A75" s="18">
        <v>2029</v>
      </c>
      <c r="B75" s="18" t="s">
        <v>847</v>
      </c>
      <c r="C75" s="18">
        <v>2030</v>
      </c>
      <c r="D75" s="18" t="s">
        <v>105</v>
      </c>
      <c r="E75" s="18" t="s">
        <v>849</v>
      </c>
      <c r="F75" s="70">
        <f>SUMIFS(ni_bimestral_pos_ejec!$F:$F,ni_bimestral_pos_ejec!$C:$C,$C75,ni_bimestral_pos_ejec!$B:$B,$B75,ni_bimestral_pos_ejec!$D:$D,$D75,ni_bimestral_pos_ejec!$E:$E,$E75)</f>
        <v>70</v>
      </c>
      <c r="G75" s="70">
        <f>SUMIFS(ri_bimestral_pos_ejec!$F:$F,ri_bimestral_pos_ejec!$C:$C,$C75,ri_bimestral_pos_ejec!$B:$B,$B75,ri_bimestral_pos_ejec!$D:$D,$D75,ri_bimestral_pos_ejec!$E:$E,$E75)</f>
        <v>0</v>
      </c>
      <c r="H75" s="70">
        <f>SUMIFS(pmp_mt_pos_ejec!$E:$E,pmp_mt_pos_ejec!$A:$A,$C75,pmp_mt_pos_ejec!$B:$B,$B75,pmp_mt_pos_ejec!$C:$C,$D75)</f>
        <v>0</v>
      </c>
      <c r="I75" s="70" t="str">
        <f t="shared" si="4"/>
        <v/>
      </c>
      <c r="J75" s="18" t="str">
        <f t="shared" si="5"/>
        <v>Sin PMP</v>
      </c>
    </row>
    <row r="76" spans="1:10">
      <c r="A76" s="18">
        <v>2029</v>
      </c>
      <c r="B76" s="18" t="s">
        <v>847</v>
      </c>
      <c r="C76" s="18">
        <v>2030</v>
      </c>
      <c r="D76" s="18" t="s">
        <v>106</v>
      </c>
      <c r="E76" s="18" t="s">
        <v>844</v>
      </c>
      <c r="F76" s="70">
        <f>SUMIFS(ni_bimestral_pos_ejec!$F:$F,ni_bimestral_pos_ejec!$C:$C,$C76,ni_bimestral_pos_ejec!$B:$B,$B76,ni_bimestral_pos_ejec!$D:$D,$D76,ni_bimestral_pos_ejec!$E:$E,$E76)</f>
        <v>1096</v>
      </c>
      <c r="G76" s="70">
        <f>SUMIFS(ri_bimestral_pos_ejec!$F:$F,ri_bimestral_pos_ejec!$C:$C,$C76,ri_bimestral_pos_ejec!$B:$B,$B76,ri_bimestral_pos_ejec!$D:$D,$D76,ri_bimestral_pos_ejec!$E:$E,$E76)</f>
        <v>9538</v>
      </c>
      <c r="H76" s="70">
        <f>SUMIFS(pmp_mt_pos_ejec!$E:$E,pmp_mt_pos_ejec!$A:$A,$C76,pmp_mt_pos_ejec!$B:$B,$B76,pmp_mt_pos_ejec!$C:$C,$D76)</f>
        <v>0</v>
      </c>
      <c r="I76" s="70" t="str">
        <f t="shared" si="4"/>
        <v/>
      </c>
      <c r="J76" s="18" t="str">
        <f t="shared" si="5"/>
        <v>Sin PMP</v>
      </c>
    </row>
    <row r="77" spans="1:10">
      <c r="A77" s="18">
        <v>2029</v>
      </c>
      <c r="B77" s="18" t="s">
        <v>847</v>
      </c>
      <c r="C77" s="18">
        <v>2030</v>
      </c>
      <c r="D77" s="18" t="s">
        <v>106</v>
      </c>
      <c r="E77" s="18" t="s">
        <v>849</v>
      </c>
      <c r="F77" s="70">
        <f>SUMIFS(ni_bimestral_pos_ejec!$F:$F,ni_bimestral_pos_ejec!$C:$C,$C77,ni_bimestral_pos_ejec!$B:$B,$B77,ni_bimestral_pos_ejec!$D:$D,$D77,ni_bimestral_pos_ejec!$E:$E,$E77)</f>
        <v>41</v>
      </c>
      <c r="G77" s="70">
        <f>SUMIFS(ri_bimestral_pos_ejec!$F:$F,ri_bimestral_pos_ejec!$C:$C,$C77,ri_bimestral_pos_ejec!$B:$B,$B77,ri_bimestral_pos_ejec!$D:$D,$D77,ri_bimestral_pos_ejec!$E:$E,$E77)</f>
        <v>0</v>
      </c>
      <c r="H77" s="70">
        <f>SUMIFS(pmp_mt_pos_ejec!$E:$E,pmp_mt_pos_ejec!$A:$A,$C77,pmp_mt_pos_ejec!$B:$B,$B77,pmp_mt_pos_ejec!$C:$C,$D77)</f>
        <v>0</v>
      </c>
      <c r="I77" s="70" t="str">
        <f t="shared" si="4"/>
        <v/>
      </c>
      <c r="J77" s="18" t="str">
        <f t="shared" si="5"/>
        <v>Sin PMP</v>
      </c>
    </row>
    <row r="78" spans="1:10">
      <c r="A78" s="18">
        <v>2029</v>
      </c>
      <c r="B78" s="18" t="s">
        <v>848</v>
      </c>
      <c r="C78" s="18">
        <v>2030</v>
      </c>
      <c r="D78" s="18" t="s">
        <v>105</v>
      </c>
      <c r="E78" s="18" t="s">
        <v>844</v>
      </c>
      <c r="F78" s="70">
        <f>SUMIFS(ni_bimestral_pos_ejec!$F:$F,ni_bimestral_pos_ejec!$C:$C,$C78,ni_bimestral_pos_ejec!$B:$B,$B78,ni_bimestral_pos_ejec!$D:$D,$D78,ni_bimestral_pos_ejec!$E:$E,$E78)</f>
        <v>2647</v>
      </c>
      <c r="G78" s="70">
        <f>SUMIFS(ri_bimestral_pos_ejec!$F:$F,ri_bimestral_pos_ejec!$C:$C,$C78,ri_bimestral_pos_ejec!$B:$B,$B78,ri_bimestral_pos_ejec!$D:$D,$D78,ri_bimestral_pos_ejec!$E:$E,$E78)</f>
        <v>15802</v>
      </c>
      <c r="H78" s="70">
        <f>SUMIFS(pmp_mt_pos_ejec!$E:$E,pmp_mt_pos_ejec!$A:$A,$C78,pmp_mt_pos_ejec!$B:$B,$B78,pmp_mt_pos_ejec!$C:$C,$D78)</f>
        <v>0</v>
      </c>
      <c r="I78" s="70" t="str">
        <f t="shared" si="4"/>
        <v/>
      </c>
      <c r="J78" s="18" t="str">
        <f t="shared" si="5"/>
        <v>Sin PMP</v>
      </c>
    </row>
    <row r="79" spans="1:10">
      <c r="A79" s="18">
        <v>2029</v>
      </c>
      <c r="B79" s="18" t="s">
        <v>848</v>
      </c>
      <c r="C79" s="18">
        <v>2030</v>
      </c>
      <c r="D79" s="18" t="s">
        <v>105</v>
      </c>
      <c r="E79" s="18" t="s">
        <v>849</v>
      </c>
      <c r="F79" s="70">
        <f>SUMIFS(ni_bimestral_pos_ejec!$F:$F,ni_bimestral_pos_ejec!$C:$C,$C79,ni_bimestral_pos_ejec!$B:$B,$B79,ni_bimestral_pos_ejec!$D:$D,$D79,ni_bimestral_pos_ejec!$E:$E,$E79)</f>
        <v>110</v>
      </c>
      <c r="G79" s="70">
        <f>SUMIFS(ri_bimestral_pos_ejec!$F:$F,ri_bimestral_pos_ejec!$C:$C,$C79,ri_bimestral_pos_ejec!$B:$B,$B79,ri_bimestral_pos_ejec!$D:$D,$D79,ri_bimestral_pos_ejec!$E:$E,$E79)</f>
        <v>0</v>
      </c>
      <c r="H79" s="70">
        <f>SUMIFS(pmp_mt_pos_ejec!$E:$E,pmp_mt_pos_ejec!$A:$A,$C79,pmp_mt_pos_ejec!$B:$B,$B79,pmp_mt_pos_ejec!$C:$C,$D79)</f>
        <v>0</v>
      </c>
      <c r="I79" s="70" t="str">
        <f t="shared" si="4"/>
        <v/>
      </c>
      <c r="J79" s="18" t="str">
        <f t="shared" si="5"/>
        <v>Sin PMP</v>
      </c>
    </row>
    <row r="80" spans="1:10">
      <c r="A80" s="18">
        <v>2029</v>
      </c>
      <c r="B80" s="18" t="s">
        <v>848</v>
      </c>
      <c r="C80" s="18">
        <v>2030</v>
      </c>
      <c r="D80" s="18" t="s">
        <v>106</v>
      </c>
      <c r="E80" s="18" t="s">
        <v>844</v>
      </c>
      <c r="F80" s="70">
        <f>SUMIFS(ni_bimestral_pos_ejec!$F:$F,ni_bimestral_pos_ejec!$C:$C,$C80,ni_bimestral_pos_ejec!$B:$B,$B80,ni_bimestral_pos_ejec!$D:$D,$D80,ni_bimestral_pos_ejec!$E:$E,$E80)</f>
        <v>1399</v>
      </c>
      <c r="G80" s="70">
        <f>SUMIFS(ri_bimestral_pos_ejec!$F:$F,ri_bimestral_pos_ejec!$C:$C,$C80,ri_bimestral_pos_ejec!$B:$B,$B80,ri_bimestral_pos_ejec!$D:$D,$D80,ri_bimestral_pos_ejec!$E:$E,$E80)</f>
        <v>10052</v>
      </c>
      <c r="H80" s="70">
        <f>SUMIFS(pmp_mt_pos_ejec!$E:$E,pmp_mt_pos_ejec!$A:$A,$C80,pmp_mt_pos_ejec!$B:$B,$B80,pmp_mt_pos_ejec!$C:$C,$D80)</f>
        <v>0</v>
      </c>
      <c r="I80" s="70" t="str">
        <f t="shared" si="4"/>
        <v/>
      </c>
      <c r="J80" s="18" t="str">
        <f t="shared" si="5"/>
        <v>Sin PMP</v>
      </c>
    </row>
    <row r="81" spans="1:10">
      <c r="A81" s="18">
        <v>2029</v>
      </c>
      <c r="B81" s="18" t="s">
        <v>848</v>
      </c>
      <c r="C81" s="18">
        <v>2030</v>
      </c>
      <c r="D81" s="18" t="s">
        <v>106</v>
      </c>
      <c r="E81" s="18" t="s">
        <v>849</v>
      </c>
      <c r="F81" s="70">
        <f>SUMIFS(ni_bimestral_pos_ejec!$F:$F,ni_bimestral_pos_ejec!$C:$C,$C81,ni_bimestral_pos_ejec!$B:$B,$B81,ni_bimestral_pos_ejec!$D:$D,$D81,ni_bimestral_pos_ejec!$E:$E,$E81)</f>
        <v>49</v>
      </c>
      <c r="G81" s="70">
        <f>SUMIFS(ri_bimestral_pos_ejec!$F:$F,ri_bimestral_pos_ejec!$C:$C,$C81,ri_bimestral_pos_ejec!$B:$B,$B81,ri_bimestral_pos_ejec!$D:$D,$D81,ri_bimestral_pos_ejec!$E:$E,$E81)</f>
        <v>0</v>
      </c>
      <c r="H81" s="70">
        <f>SUMIFS(pmp_mt_pos_ejec!$E:$E,pmp_mt_pos_ejec!$A:$A,$C81,pmp_mt_pos_ejec!$B:$B,$B81,pmp_mt_pos_ejec!$C:$C,$D81)</f>
        <v>0</v>
      </c>
      <c r="I81" s="70" t="str">
        <f t="shared" si="4"/>
        <v/>
      </c>
      <c r="J81" s="18" t="str">
        <f t="shared" si="5"/>
        <v>Sin PMP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9"/>
  <sheetViews>
    <sheetView workbookViewId="0"/>
  </sheetViews>
  <sheetFormatPr baseColWidth="10" defaultColWidth="8.6640625" defaultRowHeight="14"/>
  <cols>
    <col min="1" max="1" width="28" customWidth="1"/>
    <col min="2" max="2" width="100" customWidth="1"/>
  </cols>
  <sheetData>
    <row r="1" spans="1:2">
      <c r="A1" s="82" t="s">
        <v>1357</v>
      </c>
      <c r="B1" s="82" t="s">
        <v>1358</v>
      </c>
    </row>
    <row r="2" spans="1:2">
      <c r="A2" s="18" t="s">
        <v>1359</v>
      </c>
      <c r="B2" s="18" t="s">
        <v>1360</v>
      </c>
    </row>
    <row r="3" spans="1:2">
      <c r="A3" s="18" t="s">
        <v>1361</v>
      </c>
      <c r="B3" s="18" t="s">
        <v>1362</v>
      </c>
    </row>
    <row r="4" spans="1:2">
      <c r="A4" s="18" t="s">
        <v>1363</v>
      </c>
      <c r="B4" s="18" t="s">
        <v>1364</v>
      </c>
    </row>
    <row r="5" spans="1:2">
      <c r="A5" s="18" t="s">
        <v>1365</v>
      </c>
      <c r="B5" s="18" t="s">
        <v>1366</v>
      </c>
    </row>
    <row r="6" spans="1:2">
      <c r="A6" s="18" t="s">
        <v>1367</v>
      </c>
      <c r="B6" s="18" t="s">
        <v>1368</v>
      </c>
    </row>
    <row r="7" spans="1:2">
      <c r="A7" s="18" t="s">
        <v>130</v>
      </c>
      <c r="B7" s="18" t="s">
        <v>1369</v>
      </c>
    </row>
    <row r="8" spans="1:2">
      <c r="A8" s="18" t="s">
        <v>920</v>
      </c>
      <c r="B8" s="18" t="s">
        <v>1370</v>
      </c>
    </row>
    <row r="9" spans="1:2" ht="28">
      <c r="A9" s="18" t="s">
        <v>416</v>
      </c>
      <c r="B9" s="18" t="s">
        <v>1371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7"/>
  <sheetViews>
    <sheetView workbookViewId="0"/>
  </sheetViews>
  <sheetFormatPr baseColWidth="10" defaultColWidth="8.6640625" defaultRowHeight="14"/>
  <cols>
    <col min="1" max="1" width="28" customWidth="1"/>
    <col min="2" max="2" width="100" customWidth="1"/>
  </cols>
  <sheetData>
    <row r="1" spans="1:2">
      <c r="A1" s="82" t="s">
        <v>951</v>
      </c>
      <c r="B1" s="82" t="s">
        <v>940</v>
      </c>
    </row>
    <row r="2" spans="1:2">
      <c r="A2" s="18" t="s">
        <v>1326</v>
      </c>
      <c r="B2" s="18" t="s">
        <v>1372</v>
      </c>
    </row>
    <row r="3" spans="1:2">
      <c r="A3" s="18" t="s">
        <v>1373</v>
      </c>
      <c r="B3" s="18" t="s">
        <v>1374</v>
      </c>
    </row>
    <row r="4" spans="1:2">
      <c r="A4" s="18" t="s">
        <v>1373</v>
      </c>
      <c r="B4" s="18" t="s">
        <v>1375</v>
      </c>
    </row>
    <row r="5" spans="1:2">
      <c r="A5" s="18" t="s">
        <v>1376</v>
      </c>
      <c r="B5" s="18" t="s">
        <v>1368</v>
      </c>
    </row>
    <row r="6" spans="1:2">
      <c r="A6" s="18" t="s">
        <v>1377</v>
      </c>
      <c r="B6" s="18" t="s">
        <v>1378</v>
      </c>
    </row>
    <row r="7" spans="1:2">
      <c r="A7" s="18" t="s">
        <v>1379</v>
      </c>
      <c r="B7" s="18" t="s">
        <v>1380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105" customWidth="1"/>
  </cols>
  <sheetData>
    <row r="1" spans="1:2">
      <c r="A1" s="83" t="s">
        <v>951</v>
      </c>
      <c r="B1" s="83" t="s">
        <v>940</v>
      </c>
    </row>
    <row r="2" spans="1:2">
      <c r="A2" s="18" t="s">
        <v>1381</v>
      </c>
      <c r="B2" s="18" t="s">
        <v>1382</v>
      </c>
    </row>
    <row r="3" spans="1:2">
      <c r="A3" s="18" t="s">
        <v>1383</v>
      </c>
      <c r="B3" s="18" t="s">
        <v>1384</v>
      </c>
    </row>
    <row r="4" spans="1:2">
      <c r="A4" s="18" t="s">
        <v>945</v>
      </c>
      <c r="B4" s="18" t="s">
        <v>1385</v>
      </c>
    </row>
    <row r="5" spans="1:2">
      <c r="A5" s="18" t="s">
        <v>1232</v>
      </c>
      <c r="B5" s="18" t="s">
        <v>1386</v>
      </c>
    </row>
    <row r="6" spans="1:2">
      <c r="A6" s="18" t="s">
        <v>1387</v>
      </c>
      <c r="B6" s="18" t="s">
        <v>1388</v>
      </c>
    </row>
    <row r="7" spans="1:2">
      <c r="A7" s="18" t="s">
        <v>1248</v>
      </c>
      <c r="B7" s="18" t="s">
        <v>1389</v>
      </c>
    </row>
    <row r="8" spans="1:2">
      <c r="A8" s="18" t="s">
        <v>1390</v>
      </c>
      <c r="B8" s="18" t="s">
        <v>1391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7"/>
  <sheetViews>
    <sheetView workbookViewId="0"/>
  </sheetViews>
  <sheetFormatPr baseColWidth="10" defaultColWidth="8.6640625" defaultRowHeight="14"/>
  <cols>
    <col min="1" max="1" width="28" customWidth="1"/>
    <col min="2" max="2" width="110" customWidth="1"/>
  </cols>
  <sheetData>
    <row r="1" spans="1:2">
      <c r="A1" s="84" t="s">
        <v>951</v>
      </c>
      <c r="B1" s="84" t="s">
        <v>940</v>
      </c>
    </row>
    <row r="2" spans="1:2">
      <c r="A2" s="18" t="s">
        <v>1328</v>
      </c>
      <c r="B2" s="18" t="s">
        <v>1392</v>
      </c>
    </row>
    <row r="3" spans="1:2">
      <c r="A3" s="18" t="s">
        <v>414</v>
      </c>
      <c r="B3" s="18" t="s">
        <v>1393</v>
      </c>
    </row>
    <row r="4" spans="1:2">
      <c r="A4" s="18" t="s">
        <v>1322</v>
      </c>
      <c r="B4" s="18" t="s">
        <v>1394</v>
      </c>
    </row>
    <row r="5" spans="1:2">
      <c r="A5" s="18" t="s">
        <v>1367</v>
      </c>
      <c r="B5" s="18" t="s">
        <v>1395</v>
      </c>
    </row>
    <row r="6" spans="1:2">
      <c r="A6" s="18" t="s">
        <v>1057</v>
      </c>
      <c r="B6" s="18" t="s">
        <v>1396</v>
      </c>
    </row>
    <row r="7" spans="1:2">
      <c r="A7" s="18" t="s">
        <v>1397</v>
      </c>
      <c r="B7" s="18" t="s">
        <v>1398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8"/>
  <sheetViews>
    <sheetView workbookViewId="0"/>
  </sheetViews>
  <sheetFormatPr baseColWidth="10" defaultColWidth="8.6640625" defaultRowHeight="14"/>
  <cols>
    <col min="1" max="1" width="28" customWidth="1"/>
    <col min="2" max="2" width="110" customWidth="1"/>
  </cols>
  <sheetData>
    <row r="1" spans="1:2">
      <c r="A1" s="85" t="s">
        <v>951</v>
      </c>
      <c r="B1" s="85" t="s">
        <v>940</v>
      </c>
    </row>
    <row r="2" spans="1:2">
      <c r="A2" s="18" t="s">
        <v>1399</v>
      </c>
      <c r="B2" s="18" t="s">
        <v>1400</v>
      </c>
    </row>
    <row r="3" spans="1:2">
      <c r="A3" s="18" t="s">
        <v>1232</v>
      </c>
      <c r="B3" s="18" t="s">
        <v>1401</v>
      </c>
    </row>
    <row r="4" spans="1:2">
      <c r="A4" s="18" t="s">
        <v>769</v>
      </c>
      <c r="B4" s="18" t="s">
        <v>1402</v>
      </c>
    </row>
    <row r="5" spans="1:2">
      <c r="A5" s="18" t="s">
        <v>1072</v>
      </c>
      <c r="B5" s="18" t="s">
        <v>1403</v>
      </c>
    </row>
    <row r="6" spans="1:2">
      <c r="A6" s="18" t="s">
        <v>1404</v>
      </c>
      <c r="B6" s="18" t="s">
        <v>1405</v>
      </c>
    </row>
    <row r="7" spans="1:2">
      <c r="A7" s="18" t="s">
        <v>1057</v>
      </c>
      <c r="B7" s="18" t="s">
        <v>1406</v>
      </c>
    </row>
    <row r="8" spans="1:2">
      <c r="A8" s="18" t="s">
        <v>1397</v>
      </c>
      <c r="B8" s="18" t="s">
        <v>1407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10"/>
  <sheetViews>
    <sheetView workbookViewId="0"/>
  </sheetViews>
  <sheetFormatPr baseColWidth="10" defaultColWidth="8.6640625" defaultRowHeight="14"/>
  <cols>
    <col min="1" max="1" width="28" customWidth="1"/>
    <col min="2" max="2" width="112" customWidth="1"/>
  </cols>
  <sheetData>
    <row r="1" spans="1:2">
      <c r="A1" s="86" t="s">
        <v>951</v>
      </c>
      <c r="B1" s="86" t="s">
        <v>940</v>
      </c>
    </row>
    <row r="2" spans="1:2">
      <c r="A2" s="18" t="s">
        <v>1408</v>
      </c>
      <c r="B2" s="18" t="s">
        <v>1409</v>
      </c>
    </row>
    <row r="3" spans="1:2">
      <c r="A3" s="18" t="s">
        <v>1410</v>
      </c>
      <c r="B3" s="18" t="s">
        <v>1411</v>
      </c>
    </row>
    <row r="4" spans="1:2">
      <c r="A4" s="18" t="s">
        <v>1412</v>
      </c>
      <c r="B4" s="18" t="s">
        <v>1413</v>
      </c>
    </row>
    <row r="5" spans="1:2">
      <c r="A5" s="18" t="s">
        <v>1414</v>
      </c>
      <c r="B5" s="18" t="s">
        <v>1415</v>
      </c>
    </row>
    <row r="6" spans="1:2">
      <c r="A6" s="18" t="s">
        <v>1416</v>
      </c>
      <c r="B6" s="18" t="s">
        <v>1417</v>
      </c>
    </row>
    <row r="7" spans="1:2">
      <c r="A7" s="18" t="s">
        <v>1418</v>
      </c>
      <c r="B7" s="18" t="s">
        <v>1419</v>
      </c>
    </row>
    <row r="8" spans="1:2">
      <c r="A8" s="18" t="s">
        <v>1420</v>
      </c>
      <c r="B8" s="18" t="s">
        <v>1421</v>
      </c>
    </row>
    <row r="9" spans="1:2">
      <c r="A9" s="18" t="s">
        <v>1422</v>
      </c>
      <c r="B9" s="18" t="s">
        <v>1423</v>
      </c>
    </row>
    <row r="10" spans="1:2">
      <c r="A10" s="18" t="s">
        <v>1397</v>
      </c>
      <c r="B10" s="18" t="s">
        <v>1424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10"/>
  <sheetViews>
    <sheetView workbookViewId="0"/>
  </sheetViews>
  <sheetFormatPr baseColWidth="10" defaultColWidth="8.6640625" defaultRowHeight="14"/>
  <cols>
    <col min="1" max="1" width="30" customWidth="1"/>
    <col min="2" max="2" width="115" customWidth="1"/>
  </cols>
  <sheetData>
    <row r="1" spans="1:2">
      <c r="A1" s="87" t="s">
        <v>951</v>
      </c>
      <c r="B1" s="87" t="s">
        <v>940</v>
      </c>
    </row>
    <row r="2" spans="1:2">
      <c r="A2" s="18" t="s">
        <v>1326</v>
      </c>
      <c r="B2" s="18" t="s">
        <v>1425</v>
      </c>
    </row>
    <row r="3" spans="1:2">
      <c r="A3" s="18" t="s">
        <v>1426</v>
      </c>
      <c r="B3" s="18" t="s">
        <v>1427</v>
      </c>
    </row>
    <row r="4" spans="1:2">
      <c r="A4" s="18" t="s">
        <v>1428</v>
      </c>
      <c r="B4" s="18" t="s">
        <v>1429</v>
      </c>
    </row>
    <row r="5" spans="1:2">
      <c r="A5" s="18" t="s">
        <v>1430</v>
      </c>
      <c r="B5" s="18" t="s">
        <v>1431</v>
      </c>
    </row>
    <row r="6" spans="1:2">
      <c r="A6" s="18" t="s">
        <v>1432</v>
      </c>
      <c r="B6" s="18" t="s">
        <v>1433</v>
      </c>
    </row>
    <row r="7" spans="1:2">
      <c r="A7" s="18" t="s">
        <v>1434</v>
      </c>
      <c r="B7" s="18" t="s">
        <v>1435</v>
      </c>
    </row>
    <row r="8" spans="1:2">
      <c r="A8" s="18" t="s">
        <v>1422</v>
      </c>
      <c r="B8" s="18" t="s">
        <v>1436</v>
      </c>
    </row>
    <row r="9" spans="1:2">
      <c r="A9" s="18" t="s">
        <v>1057</v>
      </c>
      <c r="B9" s="18" t="s">
        <v>1437</v>
      </c>
    </row>
    <row r="10" spans="1:2">
      <c r="A10" s="18" t="s">
        <v>1397</v>
      </c>
      <c r="B10" s="18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73</vt:i4>
      </vt:variant>
    </vt:vector>
  </HeadingPairs>
  <TitlesOfParts>
    <vt:vector size="73" baseType="lpstr">
      <vt:lpstr>LEEME</vt:lpstr>
      <vt:lpstr>catalogos</vt:lpstr>
      <vt:lpstr>base_ni_ri_2030_2040</vt:lpstr>
      <vt:lpstr>equivalencias_promedio</vt:lpstr>
      <vt:lpstr>tasas_avance</vt:lpstr>
      <vt:lpstr>presencialidad_semestre</vt:lpstr>
      <vt:lpstr>distribucion_ri_semestre</vt:lpstr>
      <vt:lpstr>validaciones</vt:lpstr>
      <vt:lpstr>parametros_multicampus</vt:lpstr>
      <vt:lpstr>Maps bimestral</vt:lpstr>
      <vt:lpstr>Portafolio Actual</vt:lpstr>
      <vt:lpstr>Rutas enfoque</vt:lpstr>
      <vt:lpstr>aportacion_ni_programa</vt:lpstr>
      <vt:lpstr>rutas_por_programa</vt:lpstr>
      <vt:lpstr>carreras_nuevas_2027</vt:lpstr>
      <vt:lpstr>cierres_reales</vt:lpstr>
      <vt:lpstr>parametros_pos_ejec</vt:lpstr>
      <vt:lpstr>ni_bimestral_pos_ejec</vt:lpstr>
      <vt:lpstr>crecimiento_anual_pos_ejec</vt:lpstr>
      <vt:lpstr>reparto_periodos_pos_ejec</vt:lpstr>
      <vt:lpstr>tasas_ri_bimestre_pos_ejec</vt:lpstr>
      <vt:lpstr>stock_ri_agosto_2029</vt:lpstr>
      <vt:lpstr>LEEME_pos_ejec</vt:lpstr>
      <vt:lpstr>mt_agosto_real_pos_ejec</vt:lpstr>
      <vt:lpstr>stock_ri_periodo_pos_ejec</vt:lpstr>
      <vt:lpstr>mt_periodo_real_pos_ejec</vt:lpstr>
      <vt:lpstr>LEEME_v105_pos_ejec</vt:lpstr>
      <vt:lpstr>LEEME_v108_pos_ejec</vt:lpstr>
      <vt:lpstr>LEEME_v114_pos_ejec</vt:lpstr>
      <vt:lpstr>LEEME_v115_pos_ejec</vt:lpstr>
      <vt:lpstr>LEEME_v116_pos_ejec</vt:lpstr>
      <vt:lpstr>LEEME_v117_pos_ejec</vt:lpstr>
      <vt:lpstr>LEEME_v118_pos_ejec</vt:lpstr>
      <vt:lpstr>LEEME_v119_pos_ejec</vt:lpstr>
      <vt:lpstr>LEEME_v120_pos_ejec</vt:lpstr>
      <vt:lpstr>LEEME_v121_pos_ejec</vt:lpstr>
      <vt:lpstr>reparto_ni_anual_pos_ejec</vt:lpstr>
      <vt:lpstr>LEEME_v122_pos_ejec</vt:lpstr>
      <vt:lpstr>LEEME_v123_pos_ejec</vt:lpstr>
      <vt:lpstr>crecimiento_bloques_pos_ejec</vt:lpstr>
      <vt:lpstr>tetra_historica_pos_ejec</vt:lpstr>
      <vt:lpstr>LEEME_v124_pos_ejec</vt:lpstr>
      <vt:lpstr>LEEME_v125_pos_ejec</vt:lpstr>
      <vt:lpstr>pmp_mt_pos_ejec</vt:lpstr>
      <vt:lpstr>LEEME_v127_pos_ejec</vt:lpstr>
      <vt:lpstr>caso_base_fijo_3pct</vt:lpstr>
      <vt:lpstr>instrucciones_tasas_reales</vt:lpstr>
      <vt:lpstr>LEEME_v129_pos_ejec</vt:lpstr>
      <vt:lpstr>LEEME_v136_pos_ejec</vt:lpstr>
      <vt:lpstr>mt_pos_ejec</vt:lpstr>
      <vt:lpstr>LEEME_v137_pos_ejec</vt:lpstr>
      <vt:lpstr>internacional_base</vt:lpstr>
      <vt:lpstr>internacional_crecimiento</vt:lpstr>
      <vt:lpstr>LEEME_v138_pos_ejec</vt:lpstr>
      <vt:lpstr>internacional_bimestres</vt:lpstr>
      <vt:lpstr>LEEME_v139_internacional</vt:lpstr>
      <vt:lpstr>internacional_agosto</vt:lpstr>
      <vt:lpstr>caso_base_meta_2036</vt:lpstr>
      <vt:lpstr>espacio_connect</vt:lpstr>
      <vt:lpstr>LEEME_v140</vt:lpstr>
      <vt:lpstr>LEEME_v141</vt:lpstr>
      <vt:lpstr>caso_base_formato_v142</vt:lpstr>
      <vt:lpstr>LEEME_v142</vt:lpstr>
      <vt:lpstr>ri_bimestral_pos_ejec</vt:lpstr>
      <vt:lpstr>mt_tetra_historica_pos_ejec</vt:lpstr>
      <vt:lpstr>calculo_tetra_pmp_pos_ejec</vt:lpstr>
      <vt:lpstr>INSTRUCCIONES_captura_PMP_RI</vt:lpstr>
      <vt:lpstr>LEEME_v143_captura</vt:lpstr>
      <vt:lpstr>LEEME_v145</vt:lpstr>
      <vt:lpstr>LEEME_v146</vt:lpstr>
      <vt:lpstr>LEEME_v147</vt:lpstr>
      <vt:lpstr>LEEME_v150</vt:lpstr>
      <vt:lpstr>LEEME_v152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JAVIER DIAZ PULIDO</cp:lastModifiedBy>
  <dcterms:modified xsi:type="dcterms:W3CDTF">2026-10-16T16:51:24Z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