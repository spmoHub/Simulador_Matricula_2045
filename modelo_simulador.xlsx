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55\"/>
    </mc:Choice>
  </mc:AlternateContent>
  <xr:revisionPtr revIDLastSave="0" documentId="13_ncr:1_{484BE5A7-7C2A-4F14-854B-1C09E846426A}" xr6:coauthVersionLast="47" xr6:coauthVersionMax="47" xr10:uidLastSave="{00000000-0000-0000-0000-000000000000}"/>
  <bookViews>
    <workbookView xWindow="-110" yWindow="-110" windowWidth="19420" windowHeight="10300" firstSheet="10" activeTab="1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I998" i="3"/>
  <c r="H998" i="3"/>
  <c r="I997" i="3"/>
  <c r="H997" i="3"/>
  <c r="I996" i="3"/>
  <c r="H996" i="3"/>
  <c r="H995" i="3"/>
  <c r="I995" i="3" s="1"/>
  <c r="H994" i="3"/>
  <c r="I994" i="3" s="1"/>
  <c r="H993" i="3"/>
  <c r="I993" i="3" s="1"/>
  <c r="I992" i="3"/>
  <c r="H992" i="3"/>
  <c r="H991" i="3"/>
  <c r="I991" i="3" s="1"/>
  <c r="I990" i="3"/>
  <c r="H990" i="3"/>
  <c r="I989" i="3"/>
  <c r="H989" i="3"/>
  <c r="I988" i="3"/>
  <c r="H988" i="3"/>
  <c r="I987" i="3"/>
  <c r="H987" i="3"/>
  <c r="I986" i="3"/>
  <c r="H986" i="3"/>
  <c r="I985" i="3"/>
  <c r="H985" i="3"/>
  <c r="I984" i="3"/>
  <c r="H984" i="3"/>
  <c r="I983" i="3"/>
  <c r="H983" i="3"/>
  <c r="I982" i="3"/>
  <c r="H982" i="3"/>
  <c r="I981" i="3"/>
  <c r="H981" i="3"/>
  <c r="I980" i="3"/>
  <c r="H980" i="3"/>
  <c r="I979" i="3"/>
  <c r="H979" i="3"/>
  <c r="I978" i="3"/>
  <c r="H978" i="3"/>
  <c r="I977" i="3"/>
  <c r="H977" i="3"/>
  <c r="I976" i="3"/>
  <c r="H976" i="3"/>
  <c r="I975" i="3"/>
  <c r="H975" i="3"/>
  <c r="I974" i="3"/>
  <c r="H974" i="3"/>
  <c r="I973" i="3"/>
  <c r="H973" i="3"/>
  <c r="I972" i="3"/>
  <c r="H972" i="3"/>
  <c r="I971" i="3"/>
  <c r="H971" i="3"/>
  <c r="I970" i="3"/>
  <c r="H970" i="3"/>
  <c r="I969" i="3"/>
  <c r="H969" i="3"/>
  <c r="I968" i="3"/>
  <c r="H968" i="3"/>
  <c r="I967" i="3"/>
  <c r="H967" i="3"/>
  <c r="I966" i="3"/>
  <c r="H966" i="3"/>
  <c r="I965" i="3"/>
  <c r="H965" i="3"/>
  <c r="I964" i="3"/>
  <c r="H964" i="3"/>
  <c r="I963" i="3"/>
  <c r="H963" i="3"/>
  <c r="I962" i="3"/>
  <c r="H962" i="3"/>
  <c r="I961" i="3"/>
  <c r="H961" i="3"/>
  <c r="I960" i="3"/>
  <c r="H960" i="3"/>
  <c r="I959" i="3"/>
  <c r="H959" i="3"/>
  <c r="I958" i="3"/>
  <c r="H958" i="3"/>
  <c r="I957" i="3"/>
  <c r="H957" i="3"/>
  <c r="I956" i="3"/>
  <c r="H956" i="3"/>
  <c r="I955" i="3"/>
  <c r="H955" i="3"/>
  <c r="I954" i="3"/>
  <c r="H954" i="3"/>
  <c r="I953" i="3"/>
  <c r="H953" i="3"/>
  <c r="I952" i="3"/>
  <c r="H952" i="3"/>
  <c r="I951" i="3"/>
  <c r="H951" i="3"/>
  <c r="I950" i="3"/>
  <c r="H950" i="3"/>
  <c r="I949" i="3"/>
  <c r="H949" i="3"/>
  <c r="I948" i="3"/>
  <c r="H948" i="3"/>
  <c r="I947" i="3"/>
  <c r="H947" i="3"/>
  <c r="I946" i="3"/>
  <c r="H946" i="3"/>
  <c r="I945" i="3"/>
  <c r="H945" i="3"/>
  <c r="I944" i="3"/>
  <c r="H944" i="3"/>
  <c r="I943" i="3"/>
  <c r="H943" i="3"/>
  <c r="I942" i="3"/>
  <c r="H942" i="3"/>
  <c r="I941" i="3"/>
  <c r="H941" i="3"/>
  <c r="I940" i="3"/>
  <c r="H940" i="3"/>
  <c r="I939" i="3"/>
  <c r="H939" i="3"/>
  <c r="I938" i="3"/>
  <c r="H938" i="3"/>
  <c r="I937" i="3"/>
  <c r="H937" i="3"/>
  <c r="I936" i="3"/>
  <c r="H936" i="3"/>
  <c r="I935" i="3"/>
  <c r="H935" i="3"/>
  <c r="I934" i="3"/>
  <c r="H934" i="3"/>
  <c r="I933" i="3"/>
  <c r="H933" i="3"/>
  <c r="I932" i="3"/>
  <c r="H932" i="3"/>
  <c r="I931" i="3"/>
  <c r="H931" i="3"/>
  <c r="I930" i="3"/>
  <c r="H930" i="3"/>
  <c r="I929" i="3"/>
  <c r="H929" i="3"/>
  <c r="I928" i="3"/>
  <c r="H928" i="3"/>
  <c r="I927" i="3"/>
  <c r="H927" i="3"/>
  <c r="I926" i="3"/>
  <c r="H926" i="3"/>
  <c r="I925" i="3"/>
  <c r="H925" i="3"/>
  <c r="I924" i="3"/>
  <c r="H924" i="3"/>
  <c r="I923" i="3"/>
  <c r="H923" i="3"/>
  <c r="I922" i="3"/>
  <c r="H922" i="3"/>
  <c r="I921" i="3"/>
  <c r="H921" i="3"/>
  <c r="I920" i="3"/>
  <c r="H920" i="3"/>
  <c r="I919" i="3"/>
  <c r="H919" i="3"/>
  <c r="I918" i="3"/>
  <c r="H918" i="3"/>
  <c r="I917" i="3"/>
  <c r="H917" i="3"/>
  <c r="I916" i="3"/>
  <c r="H916" i="3"/>
  <c r="I915" i="3"/>
  <c r="H915" i="3"/>
  <c r="I914" i="3"/>
  <c r="H914" i="3"/>
  <c r="I913" i="3"/>
  <c r="H913" i="3"/>
  <c r="I912" i="3"/>
  <c r="H912" i="3"/>
  <c r="I911" i="3"/>
  <c r="H911" i="3"/>
  <c r="I910" i="3"/>
  <c r="H910" i="3"/>
  <c r="I909" i="3"/>
  <c r="H909" i="3"/>
  <c r="I908" i="3"/>
  <c r="H908" i="3"/>
  <c r="I907" i="3"/>
  <c r="H907" i="3"/>
  <c r="I906" i="3"/>
  <c r="H906" i="3"/>
  <c r="I905" i="3"/>
  <c r="H905" i="3"/>
  <c r="I904" i="3"/>
  <c r="H904" i="3"/>
  <c r="I903" i="3"/>
  <c r="H903" i="3"/>
  <c r="I902" i="3"/>
  <c r="H902" i="3"/>
  <c r="I901" i="3"/>
  <c r="H901" i="3"/>
  <c r="I900" i="3"/>
  <c r="H900" i="3"/>
  <c r="I899" i="3"/>
  <c r="H899" i="3"/>
  <c r="I898" i="3"/>
  <c r="H898" i="3"/>
  <c r="I897" i="3"/>
  <c r="H897" i="3"/>
  <c r="I896" i="3"/>
  <c r="H896" i="3"/>
  <c r="I895" i="3"/>
  <c r="H895" i="3"/>
  <c r="I894" i="3"/>
  <c r="H894" i="3"/>
  <c r="I893" i="3"/>
  <c r="H893" i="3"/>
  <c r="I892" i="3"/>
  <c r="H892" i="3"/>
  <c r="I891" i="3"/>
  <c r="H891" i="3"/>
  <c r="I890" i="3"/>
  <c r="H890" i="3"/>
  <c r="I889" i="3"/>
  <c r="H889" i="3"/>
  <c r="I888" i="3"/>
  <c r="H888" i="3"/>
  <c r="I887" i="3"/>
  <c r="H887" i="3"/>
  <c r="I886" i="3"/>
  <c r="H886" i="3"/>
  <c r="I885" i="3"/>
  <c r="H885" i="3"/>
  <c r="I884" i="3"/>
  <c r="H884" i="3"/>
  <c r="I883" i="3"/>
  <c r="H883" i="3"/>
  <c r="I882" i="3"/>
  <c r="H882" i="3"/>
  <c r="I881" i="3"/>
  <c r="H881" i="3"/>
  <c r="I880" i="3"/>
  <c r="H880" i="3"/>
  <c r="I879" i="3"/>
  <c r="H879" i="3"/>
  <c r="I878" i="3"/>
  <c r="H878" i="3"/>
  <c r="I877" i="3"/>
  <c r="H877" i="3"/>
  <c r="I876" i="3"/>
  <c r="H876" i="3"/>
  <c r="I875" i="3"/>
  <c r="H875" i="3"/>
  <c r="I874" i="3"/>
  <c r="H874" i="3"/>
  <c r="I873" i="3"/>
  <c r="H873" i="3"/>
  <c r="I872" i="3"/>
  <c r="H872" i="3"/>
  <c r="I871" i="3"/>
  <c r="H871" i="3"/>
  <c r="I870" i="3"/>
  <c r="H870" i="3"/>
  <c r="I869" i="3"/>
  <c r="H869" i="3"/>
  <c r="I868" i="3"/>
  <c r="H868" i="3"/>
  <c r="I867" i="3"/>
  <c r="H867" i="3"/>
  <c r="I866" i="3"/>
  <c r="H866" i="3"/>
  <c r="I865" i="3"/>
  <c r="H865" i="3"/>
  <c r="I864" i="3"/>
  <c r="H864" i="3"/>
  <c r="I863" i="3"/>
  <c r="H863" i="3"/>
  <c r="I862" i="3"/>
  <c r="H862" i="3"/>
  <c r="I861" i="3"/>
  <c r="H861" i="3"/>
  <c r="I860" i="3"/>
  <c r="H860" i="3"/>
  <c r="I859" i="3"/>
  <c r="H859" i="3"/>
  <c r="I858" i="3"/>
  <c r="H858" i="3"/>
  <c r="I857" i="3"/>
  <c r="H857" i="3"/>
  <c r="I856" i="3"/>
  <c r="H856" i="3"/>
  <c r="I855" i="3"/>
  <c r="H855" i="3"/>
  <c r="I854" i="3"/>
  <c r="H854" i="3"/>
  <c r="I853" i="3"/>
  <c r="H853" i="3"/>
  <c r="I852" i="3"/>
  <c r="H852" i="3"/>
  <c r="I851" i="3"/>
  <c r="H851" i="3"/>
  <c r="I850" i="3"/>
  <c r="H850" i="3"/>
  <c r="I849" i="3"/>
  <c r="H849" i="3"/>
  <c r="I848" i="3"/>
  <c r="H848" i="3"/>
  <c r="I847" i="3"/>
  <c r="H847" i="3"/>
  <c r="I846" i="3"/>
  <c r="H846" i="3"/>
  <c r="I845" i="3"/>
  <c r="H845" i="3"/>
  <c r="I844" i="3"/>
  <c r="H844" i="3"/>
  <c r="I843" i="3"/>
  <c r="H843" i="3"/>
  <c r="I842" i="3"/>
  <c r="H842" i="3"/>
  <c r="I841" i="3"/>
  <c r="H841" i="3"/>
  <c r="I840" i="3"/>
  <c r="H840" i="3"/>
  <c r="I839" i="3"/>
  <c r="H839" i="3"/>
  <c r="I838" i="3"/>
  <c r="H838" i="3"/>
  <c r="I837" i="3"/>
  <c r="H837" i="3"/>
  <c r="I836" i="3"/>
  <c r="H836" i="3"/>
  <c r="I835" i="3"/>
  <c r="H835" i="3"/>
  <c r="I834" i="3"/>
  <c r="H834" i="3"/>
  <c r="I833" i="3"/>
  <c r="H833" i="3"/>
  <c r="I832" i="3"/>
  <c r="H832" i="3"/>
  <c r="I831" i="3"/>
  <c r="H831" i="3"/>
  <c r="I830" i="3"/>
  <c r="H830" i="3"/>
  <c r="I829" i="3"/>
  <c r="H829" i="3"/>
  <c r="I828" i="3"/>
  <c r="H828" i="3"/>
  <c r="I827" i="3"/>
  <c r="H827" i="3"/>
  <c r="I826" i="3"/>
  <c r="H826" i="3"/>
  <c r="I825" i="3"/>
  <c r="H825" i="3"/>
  <c r="I824" i="3"/>
  <c r="H824" i="3"/>
  <c r="I823" i="3"/>
  <c r="H823" i="3"/>
  <c r="I822" i="3"/>
  <c r="H822" i="3"/>
  <c r="I821" i="3"/>
  <c r="H821" i="3"/>
  <c r="I820" i="3"/>
  <c r="H820" i="3"/>
  <c r="I819" i="3"/>
  <c r="H819" i="3"/>
  <c r="I818" i="3"/>
  <c r="H818" i="3"/>
  <c r="I817" i="3"/>
  <c r="H817" i="3"/>
  <c r="I816" i="3"/>
  <c r="H816" i="3"/>
  <c r="I815" i="3"/>
  <c r="H815" i="3"/>
  <c r="I814" i="3"/>
  <c r="H814" i="3"/>
  <c r="I813" i="3"/>
  <c r="H813" i="3"/>
  <c r="I812" i="3"/>
  <c r="H812" i="3"/>
  <c r="I811" i="3"/>
  <c r="H811" i="3"/>
  <c r="I810" i="3"/>
  <c r="H810" i="3"/>
  <c r="I809" i="3"/>
  <c r="H809" i="3"/>
  <c r="I808" i="3"/>
  <c r="H808" i="3"/>
  <c r="I807" i="3"/>
  <c r="H807" i="3"/>
  <c r="I806" i="3"/>
  <c r="H806" i="3"/>
  <c r="I805" i="3"/>
  <c r="H805" i="3"/>
  <c r="I804" i="3"/>
  <c r="H804" i="3"/>
  <c r="I803" i="3"/>
  <c r="H803" i="3"/>
  <c r="I802" i="3"/>
  <c r="H802" i="3"/>
  <c r="I801" i="3"/>
  <c r="H801" i="3"/>
  <c r="I800" i="3"/>
  <c r="H800" i="3"/>
  <c r="I799" i="3"/>
  <c r="H799" i="3"/>
  <c r="I798" i="3"/>
  <c r="H798" i="3"/>
  <c r="I797" i="3"/>
  <c r="H797" i="3"/>
  <c r="I796" i="3"/>
  <c r="H796" i="3"/>
  <c r="I795" i="3"/>
  <c r="H795" i="3"/>
  <c r="I794" i="3"/>
  <c r="H794" i="3"/>
  <c r="I793" i="3"/>
  <c r="H793" i="3"/>
  <c r="I792" i="3"/>
  <c r="H792" i="3"/>
  <c r="I791" i="3"/>
  <c r="H791" i="3"/>
  <c r="I790" i="3"/>
  <c r="H790" i="3"/>
  <c r="I789" i="3"/>
  <c r="H789" i="3"/>
  <c r="I788" i="3"/>
  <c r="H788" i="3"/>
  <c r="I787" i="3"/>
  <c r="H787" i="3"/>
  <c r="I786" i="3"/>
  <c r="H786" i="3"/>
  <c r="I785" i="3"/>
  <c r="H785" i="3"/>
  <c r="I784" i="3"/>
  <c r="H784" i="3"/>
  <c r="I783" i="3"/>
  <c r="H783" i="3"/>
  <c r="I782" i="3"/>
  <c r="H782" i="3"/>
  <c r="I781" i="3"/>
  <c r="H781" i="3"/>
  <c r="I780" i="3"/>
  <c r="H780" i="3"/>
  <c r="I779" i="3"/>
  <c r="H779" i="3"/>
  <c r="I778" i="3"/>
  <c r="H778" i="3"/>
  <c r="I777" i="3"/>
  <c r="H777" i="3"/>
  <c r="I776" i="3"/>
  <c r="H776" i="3"/>
  <c r="I775" i="3"/>
  <c r="H775" i="3"/>
  <c r="I774" i="3"/>
  <c r="H774" i="3"/>
  <c r="I773" i="3"/>
  <c r="H773" i="3"/>
  <c r="I772" i="3"/>
  <c r="H772" i="3"/>
  <c r="I771" i="3"/>
  <c r="H771" i="3"/>
  <c r="I770" i="3"/>
  <c r="H770" i="3"/>
  <c r="I769" i="3"/>
  <c r="H769" i="3"/>
  <c r="I768" i="3"/>
  <c r="H768" i="3"/>
  <c r="I767" i="3"/>
  <c r="H767" i="3"/>
  <c r="I766" i="3"/>
  <c r="H766" i="3"/>
  <c r="I765" i="3"/>
  <c r="H765" i="3"/>
  <c r="I764" i="3"/>
  <c r="H764" i="3"/>
  <c r="I763" i="3"/>
  <c r="H763" i="3"/>
  <c r="I762" i="3"/>
  <c r="H762" i="3"/>
  <c r="I761" i="3"/>
  <c r="H761" i="3"/>
  <c r="I760" i="3"/>
  <c r="H760" i="3"/>
  <c r="I759" i="3"/>
  <c r="H759" i="3"/>
  <c r="I758" i="3"/>
  <c r="H758" i="3"/>
  <c r="I757" i="3"/>
  <c r="H757" i="3"/>
  <c r="I756" i="3"/>
  <c r="H756" i="3"/>
  <c r="I755" i="3"/>
  <c r="H755" i="3"/>
  <c r="I754" i="3"/>
  <c r="H754" i="3"/>
  <c r="I753" i="3"/>
  <c r="H753" i="3"/>
  <c r="I752" i="3"/>
  <c r="H752" i="3"/>
  <c r="I751" i="3"/>
  <c r="H751" i="3"/>
  <c r="I750" i="3"/>
  <c r="H750" i="3"/>
  <c r="I749" i="3"/>
  <c r="H749" i="3"/>
  <c r="I748" i="3"/>
  <c r="H748" i="3"/>
  <c r="I747" i="3"/>
  <c r="H747" i="3"/>
  <c r="I746" i="3"/>
  <c r="H746" i="3"/>
  <c r="I745" i="3"/>
  <c r="H745" i="3"/>
  <c r="I744" i="3"/>
  <c r="H744" i="3"/>
  <c r="I743" i="3"/>
  <c r="H743" i="3"/>
  <c r="I742" i="3"/>
  <c r="H742" i="3"/>
  <c r="I741" i="3"/>
  <c r="H741" i="3"/>
  <c r="I740" i="3"/>
  <c r="H740" i="3"/>
  <c r="I739" i="3"/>
  <c r="H739" i="3"/>
  <c r="I738" i="3"/>
  <c r="H738" i="3"/>
  <c r="I737" i="3"/>
  <c r="H737" i="3"/>
  <c r="I736" i="3"/>
  <c r="H736" i="3"/>
  <c r="I735" i="3"/>
  <c r="H735" i="3"/>
  <c r="I734" i="3"/>
  <c r="H734" i="3"/>
  <c r="I733" i="3"/>
  <c r="H733" i="3"/>
  <c r="I732" i="3"/>
  <c r="H732" i="3"/>
  <c r="I731" i="3"/>
  <c r="H731" i="3"/>
  <c r="I730" i="3"/>
  <c r="H730" i="3"/>
  <c r="I729" i="3"/>
  <c r="H729" i="3"/>
  <c r="I728" i="3"/>
  <c r="H728" i="3"/>
  <c r="I727" i="3"/>
  <c r="H727" i="3"/>
  <c r="I726" i="3"/>
  <c r="H726" i="3"/>
  <c r="I725" i="3"/>
  <c r="H725" i="3"/>
  <c r="I724" i="3"/>
  <c r="H724" i="3"/>
  <c r="I723" i="3"/>
  <c r="H723" i="3"/>
  <c r="I722" i="3"/>
  <c r="H722" i="3"/>
  <c r="I721" i="3"/>
  <c r="H721" i="3"/>
  <c r="I720" i="3"/>
  <c r="H720" i="3"/>
  <c r="I719" i="3"/>
  <c r="H719" i="3"/>
  <c r="I718" i="3"/>
  <c r="H718" i="3"/>
  <c r="I717" i="3"/>
  <c r="H717" i="3"/>
  <c r="I716" i="3"/>
  <c r="H716" i="3"/>
  <c r="I715" i="3"/>
  <c r="H715" i="3"/>
  <c r="I714" i="3"/>
  <c r="H714" i="3"/>
  <c r="I713" i="3"/>
  <c r="H713" i="3"/>
  <c r="I712" i="3"/>
  <c r="H712" i="3"/>
  <c r="I711" i="3"/>
  <c r="H711" i="3"/>
  <c r="I710" i="3"/>
  <c r="H710" i="3"/>
  <c r="I709" i="3"/>
  <c r="H709" i="3"/>
  <c r="I708" i="3"/>
  <c r="H708" i="3"/>
  <c r="I707" i="3"/>
  <c r="H707" i="3"/>
  <c r="I706" i="3"/>
  <c r="H706" i="3"/>
  <c r="I705" i="3"/>
  <c r="H705" i="3"/>
  <c r="I704" i="3"/>
  <c r="H704" i="3"/>
  <c r="I703" i="3"/>
  <c r="H703" i="3"/>
  <c r="I702" i="3"/>
  <c r="H702" i="3"/>
  <c r="I701" i="3"/>
  <c r="H701" i="3"/>
  <c r="I700" i="3"/>
  <c r="H700" i="3"/>
  <c r="I699" i="3"/>
  <c r="H699" i="3"/>
  <c r="I698" i="3"/>
  <c r="H698" i="3"/>
  <c r="I697" i="3"/>
  <c r="H697" i="3"/>
  <c r="I696" i="3"/>
  <c r="H696" i="3"/>
  <c r="I695" i="3"/>
  <c r="H695" i="3"/>
  <c r="I694" i="3"/>
  <c r="H694" i="3"/>
  <c r="I693" i="3"/>
  <c r="H693" i="3"/>
  <c r="I692" i="3"/>
  <c r="H692" i="3"/>
  <c r="I691" i="3"/>
  <c r="H691" i="3"/>
  <c r="I690" i="3"/>
  <c r="H690" i="3"/>
  <c r="I689" i="3"/>
  <c r="H689" i="3"/>
  <c r="I688" i="3"/>
  <c r="H688" i="3"/>
  <c r="I687" i="3"/>
  <c r="H687" i="3"/>
  <c r="I686" i="3"/>
  <c r="H686" i="3"/>
  <c r="I685" i="3"/>
  <c r="H685" i="3"/>
  <c r="I684" i="3"/>
  <c r="H684" i="3"/>
  <c r="I683" i="3"/>
  <c r="H683" i="3"/>
  <c r="I682" i="3"/>
  <c r="H682" i="3"/>
  <c r="I681" i="3"/>
  <c r="H681" i="3"/>
  <c r="I680" i="3"/>
  <c r="H680" i="3"/>
  <c r="I679" i="3"/>
  <c r="H679" i="3"/>
  <c r="I678" i="3"/>
  <c r="H678" i="3"/>
  <c r="I677" i="3"/>
  <c r="H677" i="3"/>
  <c r="I676" i="3"/>
  <c r="H676" i="3"/>
  <c r="I675" i="3"/>
  <c r="H675" i="3"/>
  <c r="I674" i="3"/>
  <c r="H674" i="3"/>
  <c r="I673" i="3"/>
  <c r="H673" i="3"/>
  <c r="I672" i="3"/>
  <c r="H672" i="3"/>
  <c r="I671" i="3"/>
  <c r="H671" i="3"/>
  <c r="I670" i="3"/>
  <c r="H670" i="3"/>
  <c r="I669" i="3"/>
  <c r="H669" i="3"/>
  <c r="I668" i="3"/>
  <c r="H668" i="3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I660" i="3"/>
  <c r="H660" i="3"/>
  <c r="I659" i="3"/>
  <c r="H659" i="3"/>
  <c r="I658" i="3"/>
  <c r="H658" i="3"/>
  <c r="I657" i="3"/>
  <c r="H657" i="3"/>
  <c r="I656" i="3"/>
  <c r="H656" i="3"/>
  <c r="I655" i="3"/>
  <c r="H655" i="3"/>
  <c r="I654" i="3"/>
  <c r="H654" i="3"/>
  <c r="I653" i="3"/>
  <c r="H653" i="3"/>
  <c r="I652" i="3"/>
  <c r="H652" i="3"/>
  <c r="I651" i="3"/>
  <c r="H651" i="3"/>
  <c r="I650" i="3"/>
  <c r="H650" i="3"/>
  <c r="I649" i="3"/>
  <c r="H649" i="3"/>
  <c r="I648" i="3"/>
  <c r="H648" i="3"/>
  <c r="I647" i="3"/>
  <c r="H647" i="3"/>
  <c r="I646" i="3"/>
  <c r="H646" i="3"/>
  <c r="I645" i="3"/>
  <c r="H645" i="3"/>
  <c r="I644" i="3"/>
  <c r="H644" i="3"/>
  <c r="I643" i="3"/>
  <c r="H643" i="3"/>
  <c r="I642" i="3"/>
  <c r="H642" i="3"/>
  <c r="I641" i="3"/>
  <c r="H641" i="3"/>
  <c r="I640" i="3"/>
  <c r="H640" i="3"/>
  <c r="I639" i="3"/>
  <c r="H639" i="3"/>
  <c r="I638" i="3"/>
  <c r="H638" i="3"/>
  <c r="I637" i="3"/>
  <c r="H637" i="3"/>
  <c r="I636" i="3"/>
  <c r="H636" i="3"/>
  <c r="I635" i="3"/>
  <c r="H635" i="3"/>
  <c r="I634" i="3"/>
  <c r="H634" i="3"/>
  <c r="I633" i="3"/>
  <c r="H633" i="3"/>
  <c r="I632" i="3"/>
  <c r="H632" i="3"/>
  <c r="I631" i="3"/>
  <c r="H631" i="3"/>
  <c r="I630" i="3"/>
  <c r="H630" i="3"/>
  <c r="I629" i="3"/>
  <c r="H629" i="3"/>
  <c r="I628" i="3"/>
  <c r="H628" i="3"/>
  <c r="I627" i="3"/>
  <c r="H627" i="3"/>
  <c r="I626" i="3"/>
  <c r="H626" i="3"/>
  <c r="I625" i="3"/>
  <c r="H625" i="3"/>
  <c r="I624" i="3"/>
  <c r="H624" i="3"/>
  <c r="I623" i="3"/>
  <c r="H623" i="3"/>
  <c r="I622" i="3"/>
  <c r="H622" i="3"/>
  <c r="I621" i="3"/>
  <c r="H621" i="3"/>
  <c r="I620" i="3"/>
  <c r="H620" i="3"/>
  <c r="I619" i="3"/>
  <c r="H619" i="3"/>
  <c r="I618" i="3"/>
  <c r="H618" i="3"/>
  <c r="I617" i="3"/>
  <c r="H617" i="3"/>
  <c r="I616" i="3"/>
  <c r="H616" i="3"/>
  <c r="I615" i="3"/>
  <c r="H615" i="3"/>
  <c r="I614" i="3"/>
  <c r="H614" i="3"/>
  <c r="I613" i="3"/>
  <c r="H613" i="3"/>
  <c r="I612" i="3"/>
  <c r="H612" i="3"/>
  <c r="I611" i="3"/>
  <c r="H611" i="3"/>
  <c r="I610" i="3"/>
  <c r="H610" i="3"/>
  <c r="I609" i="3"/>
  <c r="H609" i="3"/>
  <c r="I608" i="3"/>
  <c r="H608" i="3"/>
  <c r="I607" i="3"/>
  <c r="H607" i="3"/>
  <c r="I606" i="3"/>
  <c r="H606" i="3"/>
  <c r="I605" i="3"/>
  <c r="H605" i="3"/>
  <c r="I604" i="3"/>
  <c r="H604" i="3"/>
  <c r="I603" i="3"/>
  <c r="H603" i="3"/>
  <c r="I602" i="3"/>
  <c r="H602" i="3"/>
  <c r="I601" i="3"/>
  <c r="H601" i="3"/>
  <c r="I600" i="3"/>
  <c r="H600" i="3"/>
  <c r="I599" i="3"/>
  <c r="H599" i="3"/>
  <c r="I598" i="3"/>
  <c r="H598" i="3"/>
  <c r="I597" i="3"/>
  <c r="H597" i="3"/>
  <c r="I596" i="3"/>
  <c r="H596" i="3"/>
  <c r="I595" i="3"/>
  <c r="H595" i="3"/>
  <c r="I594" i="3"/>
  <c r="H594" i="3"/>
  <c r="I593" i="3"/>
  <c r="H593" i="3"/>
  <c r="I592" i="3"/>
  <c r="H592" i="3"/>
  <c r="I591" i="3"/>
  <c r="H591" i="3"/>
  <c r="I590" i="3"/>
  <c r="H590" i="3"/>
  <c r="I589" i="3"/>
  <c r="H589" i="3"/>
  <c r="I588" i="3"/>
  <c r="H588" i="3"/>
  <c r="I587" i="3"/>
  <c r="H587" i="3"/>
  <c r="I586" i="3"/>
  <c r="H586" i="3"/>
  <c r="I585" i="3"/>
  <c r="H585" i="3"/>
  <c r="I584" i="3"/>
  <c r="H584" i="3"/>
  <c r="I583" i="3"/>
  <c r="H583" i="3"/>
  <c r="I582" i="3"/>
  <c r="H582" i="3"/>
  <c r="I581" i="3"/>
  <c r="H581" i="3"/>
  <c r="I580" i="3"/>
  <c r="H580" i="3"/>
  <c r="I579" i="3"/>
  <c r="H579" i="3"/>
  <c r="I578" i="3"/>
  <c r="H578" i="3"/>
  <c r="I577" i="3"/>
  <c r="H577" i="3"/>
  <c r="I576" i="3"/>
  <c r="H576" i="3"/>
  <c r="I575" i="3"/>
  <c r="H575" i="3"/>
  <c r="I574" i="3"/>
  <c r="H574" i="3"/>
  <c r="I573" i="3"/>
  <c r="H573" i="3"/>
  <c r="I572" i="3"/>
  <c r="H572" i="3"/>
  <c r="I571" i="3"/>
  <c r="H571" i="3"/>
  <c r="I570" i="3"/>
  <c r="H570" i="3"/>
  <c r="I569" i="3"/>
  <c r="H569" i="3"/>
  <c r="I568" i="3"/>
  <c r="H568" i="3"/>
  <c r="I567" i="3"/>
  <c r="H567" i="3"/>
  <c r="I566" i="3"/>
  <c r="H566" i="3"/>
  <c r="I565" i="3"/>
  <c r="H565" i="3"/>
  <c r="I564" i="3"/>
  <c r="H564" i="3"/>
  <c r="I563" i="3"/>
  <c r="H563" i="3"/>
  <c r="I562" i="3"/>
  <c r="H562" i="3"/>
  <c r="I561" i="3"/>
  <c r="H561" i="3"/>
  <c r="I560" i="3"/>
  <c r="H560" i="3"/>
  <c r="I559" i="3"/>
  <c r="H559" i="3"/>
  <c r="I558" i="3"/>
  <c r="H558" i="3"/>
  <c r="I557" i="3"/>
  <c r="H557" i="3"/>
  <c r="I556" i="3"/>
  <c r="H556" i="3"/>
  <c r="I555" i="3"/>
  <c r="H555" i="3"/>
  <c r="I554" i="3"/>
  <c r="H554" i="3"/>
  <c r="I553" i="3"/>
  <c r="H553" i="3"/>
  <c r="I552" i="3"/>
  <c r="H552" i="3"/>
  <c r="I551" i="3"/>
  <c r="H551" i="3"/>
  <c r="I550" i="3"/>
  <c r="H550" i="3"/>
  <c r="I549" i="3"/>
  <c r="H549" i="3"/>
  <c r="I548" i="3"/>
  <c r="H548" i="3"/>
  <c r="I547" i="3"/>
  <c r="H547" i="3"/>
  <c r="I546" i="3"/>
  <c r="H546" i="3"/>
  <c r="I545" i="3"/>
  <c r="H545" i="3"/>
  <c r="I544" i="3"/>
  <c r="H544" i="3"/>
  <c r="I543" i="3"/>
  <c r="H543" i="3"/>
  <c r="I542" i="3"/>
  <c r="H542" i="3"/>
  <c r="I541" i="3"/>
  <c r="H541" i="3"/>
  <c r="I540" i="3"/>
  <c r="H540" i="3"/>
  <c r="I539" i="3"/>
  <c r="H539" i="3"/>
  <c r="I538" i="3"/>
  <c r="H538" i="3"/>
  <c r="I537" i="3"/>
  <c r="H537" i="3"/>
  <c r="I536" i="3"/>
  <c r="H536" i="3"/>
  <c r="I535" i="3"/>
  <c r="H535" i="3"/>
  <c r="I534" i="3"/>
  <c r="H534" i="3"/>
  <c r="I533" i="3"/>
  <c r="H533" i="3"/>
  <c r="I532" i="3"/>
  <c r="H532" i="3"/>
  <c r="I531" i="3"/>
  <c r="H531" i="3"/>
  <c r="I530" i="3"/>
  <c r="H530" i="3"/>
  <c r="I529" i="3"/>
  <c r="H529" i="3"/>
  <c r="I528" i="3"/>
  <c r="H528" i="3"/>
  <c r="I527" i="3"/>
  <c r="H527" i="3"/>
  <c r="I526" i="3"/>
  <c r="H526" i="3"/>
  <c r="I525" i="3"/>
  <c r="H525" i="3"/>
  <c r="I524" i="3"/>
  <c r="H524" i="3"/>
  <c r="I523" i="3"/>
  <c r="H523" i="3"/>
  <c r="I522" i="3"/>
  <c r="H522" i="3"/>
  <c r="I521" i="3"/>
  <c r="H521" i="3"/>
  <c r="I520" i="3"/>
  <c r="H520" i="3"/>
  <c r="I519" i="3"/>
  <c r="H519" i="3"/>
  <c r="I518" i="3"/>
  <c r="H518" i="3"/>
  <c r="I517" i="3"/>
  <c r="H517" i="3"/>
  <c r="I516" i="3"/>
  <c r="H516" i="3"/>
  <c r="I515" i="3"/>
  <c r="H515" i="3"/>
  <c r="I514" i="3"/>
  <c r="H514" i="3"/>
  <c r="I513" i="3"/>
  <c r="H513" i="3"/>
  <c r="I512" i="3"/>
  <c r="H512" i="3"/>
  <c r="I511" i="3"/>
  <c r="H511" i="3"/>
  <c r="I510" i="3"/>
  <c r="H510" i="3"/>
  <c r="I509" i="3"/>
  <c r="H509" i="3"/>
  <c r="I508" i="3"/>
  <c r="H508" i="3"/>
  <c r="I507" i="3"/>
  <c r="H507" i="3"/>
  <c r="I506" i="3"/>
  <c r="H506" i="3"/>
  <c r="I505" i="3"/>
  <c r="H505" i="3"/>
  <c r="I504" i="3"/>
  <c r="H504" i="3"/>
  <c r="I503" i="3"/>
  <c r="H503" i="3"/>
  <c r="I502" i="3"/>
  <c r="H502" i="3"/>
  <c r="I501" i="3"/>
  <c r="H501" i="3"/>
  <c r="I500" i="3"/>
  <c r="H500" i="3"/>
  <c r="I499" i="3"/>
  <c r="H499" i="3"/>
  <c r="I498" i="3"/>
  <c r="H498" i="3"/>
  <c r="I497" i="3"/>
  <c r="H497" i="3"/>
  <c r="I496" i="3"/>
  <c r="H496" i="3"/>
  <c r="I495" i="3"/>
  <c r="H495" i="3"/>
  <c r="I494" i="3"/>
  <c r="H494" i="3"/>
  <c r="I493" i="3"/>
  <c r="H493" i="3"/>
  <c r="I492" i="3"/>
  <c r="H492" i="3"/>
  <c r="I491" i="3"/>
  <c r="H491" i="3"/>
  <c r="I490" i="3"/>
  <c r="H490" i="3"/>
  <c r="I489" i="3"/>
  <c r="H489" i="3"/>
  <c r="I488" i="3"/>
  <c r="H488" i="3"/>
  <c r="I487" i="3"/>
  <c r="H487" i="3"/>
  <c r="I486" i="3"/>
  <c r="H486" i="3"/>
  <c r="I485" i="3"/>
  <c r="H485" i="3"/>
  <c r="I484" i="3"/>
  <c r="H484" i="3"/>
  <c r="I483" i="3"/>
  <c r="H483" i="3"/>
  <c r="I482" i="3"/>
  <c r="H482" i="3"/>
  <c r="I481" i="3"/>
  <c r="H481" i="3"/>
  <c r="I480" i="3"/>
  <c r="H480" i="3"/>
  <c r="I479" i="3"/>
  <c r="H479" i="3"/>
  <c r="I478" i="3"/>
  <c r="H478" i="3"/>
  <c r="I477" i="3"/>
  <c r="H477" i="3"/>
  <c r="I476" i="3"/>
  <c r="H476" i="3"/>
  <c r="I475" i="3"/>
  <c r="H475" i="3"/>
  <c r="I474" i="3"/>
  <c r="H474" i="3"/>
  <c r="I473" i="3"/>
  <c r="H473" i="3"/>
  <c r="I472" i="3"/>
  <c r="H472" i="3"/>
  <c r="I471" i="3"/>
  <c r="H471" i="3"/>
  <c r="I470" i="3"/>
  <c r="H470" i="3"/>
  <c r="I469" i="3"/>
  <c r="H469" i="3"/>
  <c r="I468" i="3"/>
  <c r="H468" i="3"/>
  <c r="I467" i="3"/>
  <c r="H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I292" i="3"/>
  <c r="H292" i="3"/>
  <c r="I291" i="3"/>
  <c r="H291" i="3"/>
  <c r="I290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I250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40" i="3"/>
  <c r="H240" i="3"/>
  <c r="I239" i="3"/>
  <c r="H239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232" i="3"/>
  <c r="H232" i="3"/>
  <c r="I231" i="3"/>
  <c r="H231" i="3"/>
  <c r="I230" i="3"/>
  <c r="H230" i="3"/>
  <c r="I229" i="3"/>
  <c r="H229" i="3"/>
  <c r="I228" i="3"/>
  <c r="H228" i="3"/>
  <c r="I227" i="3"/>
  <c r="H227" i="3"/>
  <c r="I226" i="3"/>
  <c r="H226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9" i="3"/>
  <c r="H219" i="3"/>
  <c r="I218" i="3"/>
  <c r="H218" i="3"/>
  <c r="I217" i="3"/>
  <c r="H217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</calcChain>
</file>

<file path=xl/sharedStrings.xml><?xml version="1.0" encoding="utf-8"?>
<sst xmlns="http://schemas.openxmlformats.org/spreadsheetml/2006/main" count="8976" uniqueCount="715">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</sst>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6.75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36" t="s">
        <v>34</v>
      </c>
      <c r="B1" s="37"/>
      <c r="C1" s="37"/>
      <c r="D1" s="37"/>
      <c r="E1" s="37"/>
      <c r="F1" s="37"/>
      <c r="G1" s="37"/>
      <c r="H1" s="37"/>
    </row>
    <row r="2" spans="1:17" ht="6.75" customHeight="1">
      <c r="A2" s="38" t="s">
        <v>35</v>
      </c>
      <c r="B2" s="37"/>
      <c r="C2" s="37"/>
      <c r="D2" s="37"/>
      <c r="E2" s="37"/>
      <c r="F2" s="37"/>
      <c r="G2" s="37"/>
      <c r="H2" s="37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36" t="s">
        <v>96</v>
      </c>
      <c r="B1" s="37"/>
      <c r="C1" s="37"/>
      <c r="D1" s="37"/>
      <c r="E1" s="37"/>
      <c r="F1" s="39"/>
      <c r="G1" s="39"/>
      <c r="H1" s="39"/>
      <c r="I1" s="37"/>
      <c r="J1" s="37"/>
    </row>
    <row r="2" spans="1:10" ht="6.75" customHeight="1">
      <c r="A2" s="38" t="s">
        <v>97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375</v>
      </c>
      <c r="H852" s="12">
        <f>tbl_base_ni_ri[[#This Row],[ni_total]]+tbl_base_ni_ri[[#This Row],[ri_total]]</f>
        <v>490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403</v>
      </c>
      <c r="H856" s="12">
        <f>tbl_base_ni_ri[[#This Row],[ni_total]]+tbl_base_ni_ri[[#This Row],[ri_total]]</f>
        <v>518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373</v>
      </c>
      <c r="H860" s="12">
        <f>tbl_base_ni_ri[[#This Row],[ni_total]]+tbl_base_ni_ri[[#This Row],[ri_total]]</f>
        <v>473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765</v>
      </c>
      <c r="H864" s="12">
        <f>tbl_base_ni_ri[[#This Row],[ni_total]]+tbl_base_ni_ri[[#This Row],[ri_total]]</f>
        <v>1045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260</v>
      </c>
      <c r="H868" s="12">
        <f>tbl_base_ni_ri[[#This Row],[ni_total]]+tbl_base_ni_ri[[#This Row],[ri_total]]</f>
        <v>365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775</v>
      </c>
      <c r="H872" s="12">
        <f>tbl_base_ni_ri[[#This Row],[ni_total]]+tbl_base_ni_ri[[#This Row],[ri_total]]</f>
        <v>1015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716</v>
      </c>
      <c r="H876" s="12">
        <f>tbl_base_ni_ri[[#This Row],[ni_total]]+tbl_base_ni_ri[[#This Row],[ri_total]]</f>
        <v>876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126</v>
      </c>
      <c r="H880" s="12">
        <f>tbl_base_ni_ri[[#This Row],[ni_total]]+tbl_base_ni_ri[[#This Row],[ri_total]]</f>
        <v>176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897</v>
      </c>
      <c r="H884" s="12">
        <f>tbl_base_ni_ri[[#This Row],[ni_total]]+tbl_base_ni_ri[[#This Row],[ri_total]]</f>
        <v>1155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355</v>
      </c>
      <c r="H888" s="12">
        <f>tbl_base_ni_ri[[#This Row],[ni_total]]+tbl_base_ni_ri[[#This Row],[ri_total]]</f>
        <v>460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205</v>
      </c>
      <c r="H896" s="12">
        <f>tbl_base_ni_ri[[#This Row],[ni_total]]+tbl_base_ni_ri[[#This Row],[ri_total]]</f>
        <v>255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486</v>
      </c>
      <c r="H900" s="12">
        <f>tbl_base_ni_ri[[#This Row],[ni_total]]+tbl_base_ni_ri[[#This Row],[ri_total]]</f>
        <v>646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2672</v>
      </c>
      <c r="H904" s="12">
        <f>tbl_base_ni_ri[[#This Row],[ni_total]]+tbl_base_ni_ri[[#This Row],[ri_total]]</f>
        <v>3397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125</v>
      </c>
      <c r="H908" s="12">
        <f>tbl_base_ni_ri[[#This Row],[ni_total]]+tbl_base_ni_ri[[#This Row],[ri_total]]</f>
        <v>161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413</v>
      </c>
      <c r="H912" s="12">
        <f>tbl_base_ni_ri[[#This Row],[ni_total]]+tbl_base_ni_ri[[#This Row],[ri_total]]</f>
        <v>544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158</v>
      </c>
      <c r="H916" s="12">
        <f>tbl_base_ni_ri[[#This Row],[ni_total]]+tbl_base_ni_ri[[#This Row],[ri_total]]</f>
        <v>218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223</v>
      </c>
      <c r="H920" s="12">
        <f>tbl_base_ni_ri[[#This Row],[ni_total]]+tbl_base_ni_ri[[#This Row],[ri_total]]</f>
        <v>293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377</v>
      </c>
      <c r="H924" s="12">
        <f>tbl_base_ni_ri[[#This Row],[ni_total]]+tbl_base_ni_ri[[#This Row],[ri_total]]</f>
        <v>517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280</v>
      </c>
      <c r="H928" s="12">
        <f>tbl_base_ni_ri[[#This Row],[ni_total]]+tbl_base_ni_ri[[#This Row],[ri_total]]</f>
        <v>355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413</v>
      </c>
      <c r="H932" s="12">
        <f>tbl_base_ni_ri[[#This Row],[ni_total]]+tbl_base_ni_ri[[#This Row],[ri_total]]</f>
        <v>538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411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1046</v>
      </c>
      <c r="H940" s="12">
        <f>tbl_base_ni_ri[[#This Row],[ni_total]]+tbl_base_ni_ri[[#This Row],[ri_total]]</f>
        <v>1326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561</v>
      </c>
      <c r="H944" s="12">
        <f>tbl_base_ni_ri[[#This Row],[ni_total]]+tbl_base_ni_ri[[#This Row],[ri_total]]</f>
        <v>746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215</v>
      </c>
      <c r="H948" s="12">
        <f>tbl_base_ni_ri[[#This Row],[ni_total]]+tbl_base_ni_ri[[#This Row],[ri_total]]</f>
        <v>275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350</v>
      </c>
      <c r="H952" s="12">
        <f>tbl_base_ni_ri[[#This Row],[ni_total]]+tbl_base_ni_ri[[#This Row],[ri_total]]</f>
        <v>465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414</v>
      </c>
      <c r="H956" s="12">
        <f>tbl_base_ni_ri[[#This Row],[ni_total]]+tbl_base_ni_ri[[#This Row],[ri_total]]</f>
        <v>514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96</v>
      </c>
      <c r="H960" s="12">
        <f>tbl_base_ni_ri[[#This Row],[ni_total]]+tbl_base_ni_ri[[#This Row],[ri_total]]</f>
        <v>148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49</v>
      </c>
      <c r="H964" s="12">
        <f>tbl_base_ni_ri[[#This Row],[ni_total]]+tbl_base_ni_ri[[#This Row],[ri_total]]</f>
        <v>149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117</v>
      </c>
      <c r="H968" s="12">
        <f>tbl_base_ni_ri[[#This Row],[ni_total]]+tbl_base_ni_ri[[#This Row],[ri_total]]</f>
        <v>197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36" t="s">
        <v>107</v>
      </c>
      <c r="B1" s="37"/>
      <c r="C1" s="37"/>
      <c r="D1" s="37"/>
      <c r="E1" s="37"/>
      <c r="F1" s="39"/>
      <c r="G1" s="40"/>
      <c r="H1" s="37"/>
      <c r="I1" s="37"/>
      <c r="J1" s="37"/>
    </row>
    <row r="2" spans="1:10" ht="6.75" customHeight="1">
      <c r="A2" s="38" t="s">
        <v>108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36" t="s">
        <v>113</v>
      </c>
      <c r="B1" s="37"/>
      <c r="C1" s="37"/>
      <c r="D1" s="37"/>
      <c r="E1" s="37"/>
      <c r="F1" s="37"/>
      <c r="G1" s="40"/>
      <c r="H1" s="37"/>
      <c r="I1" s="37"/>
      <c r="J1" s="37"/>
    </row>
    <row r="2" spans="1:10" ht="6.75" customHeight="1">
      <c r="A2" s="38" t="s">
        <v>114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36" t="s">
        <v>120</v>
      </c>
      <c r="B1" s="37"/>
      <c r="C1" s="37"/>
      <c r="D1" s="37"/>
      <c r="E1" s="41"/>
      <c r="F1" s="37"/>
      <c r="G1" s="37"/>
      <c r="H1" s="37"/>
    </row>
    <row r="2" spans="1:8" ht="6.75" customHeight="1">
      <c r="A2" s="38" t="s">
        <v>121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36" t="s">
        <v>124</v>
      </c>
      <c r="B1" s="37"/>
      <c r="C1" s="37"/>
      <c r="D1" s="37"/>
      <c r="E1" s="37"/>
      <c r="F1" s="40"/>
      <c r="G1" s="37"/>
      <c r="H1" s="37"/>
      <c r="I1" s="37"/>
    </row>
    <row r="2" spans="1:9" ht="6.75" customHeight="1">
      <c r="A2" s="38" t="s">
        <v>125</v>
      </c>
      <c r="B2" s="37"/>
      <c r="C2" s="37"/>
      <c r="D2" s="37"/>
      <c r="E2" s="37"/>
      <c r="F2" s="37"/>
      <c r="G2" s="37"/>
      <c r="H2" s="37"/>
      <c r="I2" s="37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36" t="s">
        <v>128</v>
      </c>
      <c r="B1" s="37"/>
      <c r="C1" s="37"/>
      <c r="D1" s="37"/>
      <c r="E1" s="37"/>
      <c r="F1" s="37"/>
      <c r="G1" s="37"/>
      <c r="H1" s="37"/>
    </row>
    <row r="2" spans="1:8" ht="6.75" customHeight="1">
      <c r="A2" s="38" t="s">
        <v>129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2" t="s">
        <v>145</v>
      </c>
      <c r="B1" s="43"/>
      <c r="C1" s="43"/>
      <c r="E1" s="29" t="s">
        <v>639</v>
      </c>
      <c r="F1" s="29"/>
      <c r="G1" s="29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0" t="s">
        <v>648</v>
      </c>
      <c r="F7" s="30"/>
      <c r="G7" s="30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1" t="s">
        <v>655</v>
      </c>
      <c r="F12" s="31"/>
      <c r="G12" s="31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2" t="s">
        <v>662</v>
      </c>
      <c r="F18" s="32"/>
      <c r="G18" s="32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3" t="s">
        <v>672</v>
      </c>
      <c r="F26" s="33"/>
      <c r="G26" s="33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4" t="s">
        <v>686</v>
      </c>
      <c r="F35" s="34"/>
      <c r="G35" s="34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5" t="s">
        <v>700</v>
      </c>
      <c r="F44" s="35"/>
      <c r="G44" s="35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44" t="s">
        <v>170</v>
      </c>
      <c r="B1" s="37"/>
      <c r="C1" s="37"/>
      <c r="D1" s="37"/>
      <c r="E1" s="37"/>
      <c r="F1" s="37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44" t="s">
        <v>343</v>
      </c>
      <c r="B1" s="37"/>
      <c r="C1" s="37"/>
      <c r="D1" s="37"/>
      <c r="E1" s="37"/>
      <c r="F1" s="37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44" t="s">
        <v>353</v>
      </c>
      <c r="B1" s="37"/>
      <c r="C1" s="37"/>
      <c r="D1" s="37"/>
      <c r="E1" s="37"/>
      <c r="F1" s="37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0"/>
  <sheetViews>
    <sheetView tabSelected="1" workbookViewId="0">
      <selection activeCell="D6" sqref="D6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44" t="s">
        <v>617</v>
      </c>
      <c r="B1" s="37"/>
      <c r="C1" s="37"/>
      <c r="D1" s="37"/>
      <c r="E1" s="37"/>
      <c r="F1" s="37"/>
      <c r="G1" s="37"/>
      <c r="H1" s="37"/>
      <c r="I1" s="37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17</v>
      </c>
      <c r="G4" s="19">
        <v>117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16</v>
      </c>
      <c r="G5">
        <v>117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15</v>
      </c>
      <c r="G6">
        <v>117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20</v>
      </c>
      <c r="G7">
        <v>117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21</v>
      </c>
      <c r="G8">
        <v>117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>
        <v>117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>
        <v>117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15</v>
      </c>
      <c r="G11">
        <v>123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21</v>
      </c>
      <c r="G12">
        <v>123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15</v>
      </c>
      <c r="G13">
        <v>123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19</v>
      </c>
      <c r="G14">
        <v>123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123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18</v>
      </c>
      <c r="G16">
        <v>123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15</v>
      </c>
      <c r="G17">
        <v>123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9</v>
      </c>
      <c r="G18">
        <v>123</v>
      </c>
      <c r="H18" s="14"/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34</v>
      </c>
      <c r="G19">
        <v>115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14</v>
      </c>
      <c r="G20">
        <v>115</v>
      </c>
      <c r="H20" s="14"/>
    </row>
    <row r="21" spans="1:8">
      <c r="A21" t="s">
        <v>62</v>
      </c>
      <c r="B21" t="s">
        <v>47</v>
      </c>
      <c r="C21" t="s">
        <v>51</v>
      </c>
      <c r="D21" t="s">
        <v>311</v>
      </c>
      <c r="E21">
        <v>2026</v>
      </c>
      <c r="F21">
        <v>16</v>
      </c>
      <c r="G21">
        <v>115</v>
      </c>
      <c r="H21" s="14"/>
    </row>
    <row r="22" spans="1:8">
      <c r="A22" t="s">
        <v>62</v>
      </c>
      <c r="B22" t="s">
        <v>47</v>
      </c>
      <c r="C22" t="s">
        <v>51</v>
      </c>
      <c r="D22" t="s">
        <v>322</v>
      </c>
      <c r="E22">
        <v>2026</v>
      </c>
      <c r="F22">
        <v>12</v>
      </c>
      <c r="G22">
        <v>115</v>
      </c>
      <c r="H22" s="14"/>
    </row>
    <row r="23" spans="1:8">
      <c r="A23" t="s">
        <v>62</v>
      </c>
      <c r="B23" t="s">
        <v>47</v>
      </c>
      <c r="C23" t="s">
        <v>51</v>
      </c>
      <c r="D23" t="s">
        <v>285</v>
      </c>
      <c r="E23">
        <v>2026</v>
      </c>
      <c r="F23">
        <v>19</v>
      </c>
      <c r="G23">
        <v>115</v>
      </c>
      <c r="H23" s="14"/>
    </row>
    <row r="24" spans="1:8">
      <c r="A24" t="s">
        <v>62</v>
      </c>
      <c r="B24" t="s">
        <v>47</v>
      </c>
      <c r="C24" t="s">
        <v>51</v>
      </c>
      <c r="D24" t="s">
        <v>333</v>
      </c>
      <c r="E24">
        <v>2026</v>
      </c>
      <c r="F24">
        <v>20</v>
      </c>
      <c r="G24">
        <v>115</v>
      </c>
      <c r="H24" s="14"/>
    </row>
    <row r="25" spans="1:8">
      <c r="A25" t="s">
        <v>64</v>
      </c>
      <c r="B25" t="s">
        <v>47</v>
      </c>
      <c r="C25" t="s">
        <v>51</v>
      </c>
      <c r="D25" t="s">
        <v>177</v>
      </c>
      <c r="E25">
        <v>2026</v>
      </c>
      <c r="F25">
        <v>32</v>
      </c>
      <c r="G25">
        <v>255</v>
      </c>
      <c r="H25" s="14"/>
    </row>
    <row r="26" spans="1:8">
      <c r="A26" t="s">
        <v>64</v>
      </c>
      <c r="B26" t="s">
        <v>47</v>
      </c>
      <c r="C26" t="s">
        <v>51</v>
      </c>
      <c r="D26" t="s">
        <v>208</v>
      </c>
      <c r="E26">
        <v>2026</v>
      </c>
      <c r="F26">
        <v>57</v>
      </c>
      <c r="G26">
        <v>255</v>
      </c>
      <c r="H26" s="14"/>
    </row>
    <row r="27" spans="1:8">
      <c r="A27" t="s">
        <v>64</v>
      </c>
      <c r="B27" t="s">
        <v>47</v>
      </c>
      <c r="C27" t="s">
        <v>51</v>
      </c>
      <c r="D27" t="s">
        <v>223</v>
      </c>
      <c r="E27">
        <v>2026</v>
      </c>
      <c r="F27">
        <v>14</v>
      </c>
      <c r="G27">
        <v>255</v>
      </c>
      <c r="H27" s="14"/>
    </row>
    <row r="28" spans="1:8">
      <c r="A28" t="s">
        <v>64</v>
      </c>
      <c r="B28" t="s">
        <v>47</v>
      </c>
      <c r="C28" t="s">
        <v>51</v>
      </c>
      <c r="D28" t="s">
        <v>241</v>
      </c>
      <c r="E28">
        <v>2026</v>
      </c>
      <c r="F28">
        <v>21</v>
      </c>
      <c r="G28">
        <v>255</v>
      </c>
      <c r="H28" s="14"/>
    </row>
    <row r="29" spans="1:8">
      <c r="A29" t="s">
        <v>64</v>
      </c>
      <c r="B29" t="s">
        <v>47</v>
      </c>
      <c r="C29" t="s">
        <v>51</v>
      </c>
      <c r="D29" t="s">
        <v>257</v>
      </c>
      <c r="E29">
        <v>2026</v>
      </c>
      <c r="F29">
        <v>37</v>
      </c>
      <c r="G29">
        <v>255</v>
      </c>
      <c r="H29" s="14"/>
    </row>
    <row r="30" spans="1:8">
      <c r="A30" t="s">
        <v>64</v>
      </c>
      <c r="B30" t="s">
        <v>47</v>
      </c>
      <c r="C30" t="s">
        <v>51</v>
      </c>
      <c r="D30" t="s">
        <v>311</v>
      </c>
      <c r="E30">
        <v>2026</v>
      </c>
      <c r="F30">
        <v>22</v>
      </c>
      <c r="G30">
        <v>255</v>
      </c>
      <c r="H30" s="14"/>
    </row>
    <row r="31" spans="1:8">
      <c r="A31" t="s">
        <v>64</v>
      </c>
      <c r="B31" t="s">
        <v>47</v>
      </c>
      <c r="C31" t="s">
        <v>51</v>
      </c>
      <c r="D31" t="s">
        <v>322</v>
      </c>
      <c r="E31">
        <v>2026</v>
      </c>
      <c r="F31">
        <v>25</v>
      </c>
      <c r="G31">
        <v>255</v>
      </c>
      <c r="H31" s="14"/>
    </row>
    <row r="32" spans="1:8">
      <c r="A32" t="s">
        <v>64</v>
      </c>
      <c r="B32" t="s">
        <v>47</v>
      </c>
      <c r="C32" t="s">
        <v>51</v>
      </c>
      <c r="D32" t="s">
        <v>285</v>
      </c>
      <c r="E32">
        <v>2026</v>
      </c>
      <c r="F32">
        <v>15</v>
      </c>
      <c r="G32">
        <v>255</v>
      </c>
      <c r="H32" s="14"/>
    </row>
    <row r="33" spans="1:8">
      <c r="A33" t="s">
        <v>64</v>
      </c>
      <c r="B33" t="s">
        <v>47</v>
      </c>
      <c r="C33" t="s">
        <v>51</v>
      </c>
      <c r="D33" t="s">
        <v>333</v>
      </c>
      <c r="E33">
        <v>2026</v>
      </c>
      <c r="F33">
        <v>32</v>
      </c>
      <c r="G33">
        <v>255</v>
      </c>
      <c r="H33" s="14"/>
    </row>
    <row r="34" spans="1:8">
      <c r="A34" t="s">
        <v>66</v>
      </c>
      <c r="B34" t="s">
        <v>47</v>
      </c>
      <c r="C34" t="s">
        <v>51</v>
      </c>
      <c r="D34" t="s">
        <v>177</v>
      </c>
      <c r="E34">
        <v>2026</v>
      </c>
      <c r="F34">
        <v>11</v>
      </c>
      <c r="G34">
        <v>82</v>
      </c>
      <c r="H34" s="14"/>
    </row>
    <row r="35" spans="1:8">
      <c r="A35" t="s">
        <v>66</v>
      </c>
      <c r="B35" t="s">
        <v>47</v>
      </c>
      <c r="C35" t="s">
        <v>51</v>
      </c>
      <c r="D35" t="s">
        <v>208</v>
      </c>
      <c r="E35">
        <v>2026</v>
      </c>
      <c r="F35">
        <v>20</v>
      </c>
      <c r="G35">
        <v>82</v>
      </c>
      <c r="H35" s="14"/>
    </row>
    <row r="36" spans="1:8">
      <c r="A36" t="s">
        <v>66</v>
      </c>
      <c r="B36" t="s">
        <v>47</v>
      </c>
      <c r="C36" t="s">
        <v>51</v>
      </c>
      <c r="D36" t="s">
        <v>257</v>
      </c>
      <c r="E36">
        <v>2026</v>
      </c>
      <c r="F36">
        <v>12</v>
      </c>
      <c r="G36">
        <v>82</v>
      </c>
      <c r="H36" s="14"/>
    </row>
    <row r="37" spans="1:8">
      <c r="A37" t="s">
        <v>66</v>
      </c>
      <c r="B37" t="s">
        <v>47</v>
      </c>
      <c r="C37" t="s">
        <v>51</v>
      </c>
      <c r="D37" t="s">
        <v>311</v>
      </c>
      <c r="E37">
        <v>2026</v>
      </c>
      <c r="F37">
        <v>4</v>
      </c>
      <c r="G37">
        <v>82</v>
      </c>
      <c r="H37" s="14"/>
    </row>
    <row r="38" spans="1:8">
      <c r="A38" t="s">
        <v>66</v>
      </c>
      <c r="B38" t="s">
        <v>47</v>
      </c>
      <c r="C38" t="s">
        <v>51</v>
      </c>
      <c r="D38" t="s">
        <v>322</v>
      </c>
      <c r="E38">
        <v>2026</v>
      </c>
      <c r="F38">
        <v>15</v>
      </c>
      <c r="G38">
        <v>82</v>
      </c>
      <c r="H38" s="14"/>
    </row>
    <row r="39" spans="1:8">
      <c r="A39" t="s">
        <v>66</v>
      </c>
      <c r="B39" t="s">
        <v>47</v>
      </c>
      <c r="C39" t="s">
        <v>51</v>
      </c>
      <c r="D39" t="s">
        <v>285</v>
      </c>
      <c r="E39">
        <v>2026</v>
      </c>
      <c r="F39">
        <v>6</v>
      </c>
      <c r="G39">
        <v>82</v>
      </c>
      <c r="H39" s="14"/>
    </row>
    <row r="40" spans="1:8">
      <c r="A40" t="s">
        <v>66</v>
      </c>
      <c r="B40" t="s">
        <v>47</v>
      </c>
      <c r="C40" t="s">
        <v>51</v>
      </c>
      <c r="D40" t="s">
        <v>333</v>
      </c>
      <c r="E40">
        <v>2026</v>
      </c>
      <c r="F40">
        <v>14</v>
      </c>
      <c r="G40">
        <v>82</v>
      </c>
      <c r="H40" s="14"/>
    </row>
    <row r="41" spans="1:8">
      <c r="A41" t="s">
        <v>68</v>
      </c>
      <c r="B41" t="s">
        <v>47</v>
      </c>
      <c r="C41" t="s">
        <v>51</v>
      </c>
      <c r="D41" t="s">
        <v>177</v>
      </c>
      <c r="E41">
        <v>2026</v>
      </c>
      <c r="F41">
        <v>35</v>
      </c>
      <c r="G41">
        <v>258</v>
      </c>
      <c r="H41" s="14"/>
    </row>
    <row r="42" spans="1:8">
      <c r="A42" t="s">
        <v>68</v>
      </c>
      <c r="B42" t="s">
        <v>47</v>
      </c>
      <c r="C42" t="s">
        <v>51</v>
      </c>
      <c r="D42" t="s">
        <v>208</v>
      </c>
      <c r="E42">
        <v>2026</v>
      </c>
      <c r="F42">
        <v>54</v>
      </c>
      <c r="G42">
        <v>258</v>
      </c>
      <c r="H42" s="14"/>
    </row>
    <row r="43" spans="1:8">
      <c r="A43" t="s">
        <v>68</v>
      </c>
      <c r="B43" t="s">
        <v>47</v>
      </c>
      <c r="C43" t="s">
        <v>51</v>
      </c>
      <c r="D43" t="s">
        <v>223</v>
      </c>
      <c r="E43">
        <v>2026</v>
      </c>
      <c r="F43">
        <v>47</v>
      </c>
      <c r="G43">
        <v>258</v>
      </c>
      <c r="H43" s="14"/>
    </row>
    <row r="44" spans="1:8">
      <c r="A44" t="s">
        <v>68</v>
      </c>
      <c r="B44" t="s">
        <v>47</v>
      </c>
      <c r="C44" t="s">
        <v>51</v>
      </c>
      <c r="D44" t="s">
        <v>257</v>
      </c>
      <c r="E44">
        <v>2026</v>
      </c>
      <c r="F44">
        <v>18</v>
      </c>
      <c r="G44">
        <v>258</v>
      </c>
      <c r="H44" s="14"/>
    </row>
    <row r="45" spans="1:8">
      <c r="A45" t="s">
        <v>68</v>
      </c>
      <c r="B45" t="s">
        <v>47</v>
      </c>
      <c r="C45" t="s">
        <v>51</v>
      </c>
      <c r="D45" t="s">
        <v>311</v>
      </c>
      <c r="E45">
        <v>2026</v>
      </c>
      <c r="F45">
        <v>35</v>
      </c>
      <c r="G45">
        <v>258</v>
      </c>
      <c r="H45" s="14"/>
    </row>
    <row r="46" spans="1:8">
      <c r="A46" t="s">
        <v>68</v>
      </c>
      <c r="B46" t="s">
        <v>47</v>
      </c>
      <c r="C46" t="s">
        <v>51</v>
      </c>
      <c r="D46" t="s">
        <v>285</v>
      </c>
      <c r="E46">
        <v>2026</v>
      </c>
      <c r="F46">
        <v>36</v>
      </c>
      <c r="G46">
        <v>258</v>
      </c>
      <c r="H46" s="14"/>
    </row>
    <row r="47" spans="1:8">
      <c r="A47" t="s">
        <v>68</v>
      </c>
      <c r="B47" t="s">
        <v>47</v>
      </c>
      <c r="C47" t="s">
        <v>51</v>
      </c>
      <c r="D47" t="s">
        <v>333</v>
      </c>
      <c r="E47">
        <v>2026</v>
      </c>
      <c r="F47">
        <v>33</v>
      </c>
      <c r="G47">
        <v>258</v>
      </c>
      <c r="H47" s="14"/>
    </row>
    <row r="48" spans="1:8">
      <c r="A48" t="s">
        <v>69</v>
      </c>
      <c r="B48" t="s">
        <v>47</v>
      </c>
      <c r="C48" t="s">
        <v>51</v>
      </c>
      <c r="D48" t="s">
        <v>177</v>
      </c>
      <c r="E48">
        <v>2026</v>
      </c>
      <c r="F48">
        <v>24</v>
      </c>
      <c r="G48">
        <v>185</v>
      </c>
      <c r="H48" s="14"/>
    </row>
    <row r="49" spans="1:8">
      <c r="A49" t="s">
        <v>69</v>
      </c>
      <c r="B49" t="s">
        <v>47</v>
      </c>
      <c r="C49" t="s">
        <v>51</v>
      </c>
      <c r="D49" t="s">
        <v>208</v>
      </c>
      <c r="E49">
        <v>2026</v>
      </c>
      <c r="F49">
        <v>38</v>
      </c>
      <c r="G49">
        <v>185</v>
      </c>
      <c r="H49" s="14"/>
    </row>
    <row r="50" spans="1:8">
      <c r="A50" t="s">
        <v>69</v>
      </c>
      <c r="B50" t="s">
        <v>47</v>
      </c>
      <c r="C50" t="s">
        <v>51</v>
      </c>
      <c r="D50" t="s">
        <v>257</v>
      </c>
      <c r="E50">
        <v>2026</v>
      </c>
      <c r="F50">
        <v>25</v>
      </c>
      <c r="G50">
        <v>185</v>
      </c>
      <c r="H50" s="14"/>
    </row>
    <row r="51" spans="1:8">
      <c r="A51" t="s">
        <v>69</v>
      </c>
      <c r="B51" t="s">
        <v>47</v>
      </c>
      <c r="C51" t="s">
        <v>51</v>
      </c>
      <c r="D51" t="s">
        <v>311</v>
      </c>
      <c r="E51">
        <v>2026</v>
      </c>
      <c r="F51">
        <v>15</v>
      </c>
      <c r="G51">
        <v>185</v>
      </c>
      <c r="H51" s="14"/>
    </row>
    <row r="52" spans="1:8">
      <c r="A52" t="s">
        <v>69</v>
      </c>
      <c r="B52" t="s">
        <v>47</v>
      </c>
      <c r="C52" t="s">
        <v>51</v>
      </c>
      <c r="D52" t="s">
        <v>285</v>
      </c>
      <c r="E52">
        <v>2026</v>
      </c>
      <c r="F52">
        <v>28</v>
      </c>
      <c r="G52">
        <v>185</v>
      </c>
      <c r="H52" s="14"/>
    </row>
    <row r="53" spans="1:8">
      <c r="A53" t="s">
        <v>69</v>
      </c>
      <c r="B53" t="s">
        <v>47</v>
      </c>
      <c r="C53" t="s">
        <v>51</v>
      </c>
      <c r="D53" t="s">
        <v>333</v>
      </c>
      <c r="E53">
        <v>2026</v>
      </c>
      <c r="F53">
        <v>23</v>
      </c>
      <c r="G53">
        <v>185</v>
      </c>
      <c r="H53" s="14"/>
    </row>
    <row r="54" spans="1:8">
      <c r="A54" t="s">
        <v>69</v>
      </c>
      <c r="B54" t="s">
        <v>47</v>
      </c>
      <c r="C54" t="s">
        <v>51</v>
      </c>
      <c r="D54" t="s">
        <v>351</v>
      </c>
      <c r="E54">
        <v>2026</v>
      </c>
      <c r="F54">
        <v>32</v>
      </c>
      <c r="G54">
        <v>185</v>
      </c>
      <c r="H54" s="14"/>
    </row>
    <row r="55" spans="1:8">
      <c r="A55" t="s">
        <v>71</v>
      </c>
      <c r="B55" t="s">
        <v>47</v>
      </c>
      <c r="C55" t="s">
        <v>51</v>
      </c>
      <c r="D55" t="s">
        <v>177</v>
      </c>
      <c r="E55">
        <v>2026</v>
      </c>
      <c r="F55">
        <v>18</v>
      </c>
      <c r="G55">
        <v>60</v>
      </c>
      <c r="H55" s="14"/>
    </row>
    <row r="56" spans="1:8">
      <c r="A56" t="s">
        <v>71</v>
      </c>
      <c r="B56" t="s">
        <v>47</v>
      </c>
      <c r="C56" t="s">
        <v>51</v>
      </c>
      <c r="D56" t="s">
        <v>208</v>
      </c>
      <c r="E56">
        <v>2026</v>
      </c>
      <c r="F56">
        <v>21</v>
      </c>
      <c r="G56">
        <v>60</v>
      </c>
      <c r="H56" s="14"/>
    </row>
    <row r="57" spans="1:8">
      <c r="A57" t="s">
        <v>71</v>
      </c>
      <c r="B57" t="s">
        <v>47</v>
      </c>
      <c r="C57" t="s">
        <v>51</v>
      </c>
      <c r="D57" t="s">
        <v>257</v>
      </c>
      <c r="E57">
        <v>2026</v>
      </c>
      <c r="F57">
        <v>7</v>
      </c>
      <c r="G57">
        <v>60</v>
      </c>
      <c r="H57" s="14"/>
    </row>
    <row r="58" spans="1:8">
      <c r="A58" t="s">
        <v>71</v>
      </c>
      <c r="B58" t="s">
        <v>47</v>
      </c>
      <c r="C58" t="s">
        <v>51</v>
      </c>
      <c r="D58" t="s">
        <v>285</v>
      </c>
      <c r="E58">
        <v>2026</v>
      </c>
      <c r="F58">
        <v>10</v>
      </c>
      <c r="G58">
        <v>60</v>
      </c>
      <c r="H58" s="14"/>
    </row>
    <row r="59" spans="1:8">
      <c r="A59" t="s">
        <v>71</v>
      </c>
      <c r="B59" t="s">
        <v>47</v>
      </c>
      <c r="C59" t="s">
        <v>51</v>
      </c>
      <c r="D59" t="s">
        <v>333</v>
      </c>
      <c r="E59">
        <v>2026</v>
      </c>
      <c r="F59">
        <v>4</v>
      </c>
      <c r="G59">
        <v>60</v>
      </c>
      <c r="H59" s="14"/>
    </row>
    <row r="60" spans="1:8">
      <c r="A60" t="s">
        <v>73</v>
      </c>
      <c r="B60" t="s">
        <v>47</v>
      </c>
      <c r="C60" t="s">
        <v>51</v>
      </c>
      <c r="D60" t="s">
        <v>177</v>
      </c>
      <c r="E60">
        <v>2026</v>
      </c>
      <c r="F60">
        <v>21</v>
      </c>
      <c r="G60">
        <v>279</v>
      </c>
      <c r="H60" s="14"/>
    </row>
    <row r="61" spans="1:8">
      <c r="A61" t="s">
        <v>73</v>
      </c>
      <c r="B61" t="s">
        <v>47</v>
      </c>
      <c r="C61" t="s">
        <v>51</v>
      </c>
      <c r="D61" t="s">
        <v>208</v>
      </c>
      <c r="E61">
        <v>2026</v>
      </c>
      <c r="F61">
        <v>35</v>
      </c>
      <c r="G61">
        <v>279</v>
      </c>
      <c r="H61" s="14"/>
    </row>
    <row r="62" spans="1:8">
      <c r="A62" t="s">
        <v>73</v>
      </c>
      <c r="B62" t="s">
        <v>47</v>
      </c>
      <c r="C62" t="s">
        <v>51</v>
      </c>
      <c r="D62" t="s">
        <v>223</v>
      </c>
      <c r="E62">
        <v>2026</v>
      </c>
      <c r="F62">
        <v>14</v>
      </c>
      <c r="G62">
        <v>279</v>
      </c>
      <c r="H62" s="14"/>
    </row>
    <row r="63" spans="1:8">
      <c r="A63" t="s">
        <v>73</v>
      </c>
      <c r="B63" t="s">
        <v>47</v>
      </c>
      <c r="C63" t="s">
        <v>51</v>
      </c>
      <c r="D63" t="s">
        <v>241</v>
      </c>
      <c r="E63">
        <v>2026</v>
      </c>
      <c r="F63">
        <v>16</v>
      </c>
      <c r="G63">
        <v>279</v>
      </c>
      <c r="H63" s="14"/>
    </row>
    <row r="64" spans="1:8">
      <c r="A64" t="s">
        <v>73</v>
      </c>
      <c r="B64" t="s">
        <v>47</v>
      </c>
      <c r="C64" t="s">
        <v>51</v>
      </c>
      <c r="D64" t="s">
        <v>257</v>
      </c>
      <c r="E64">
        <v>2026</v>
      </c>
      <c r="F64">
        <v>27</v>
      </c>
      <c r="G64">
        <v>279</v>
      </c>
      <c r="H64" s="14"/>
    </row>
    <row r="65" spans="1:8">
      <c r="A65" t="s">
        <v>73</v>
      </c>
      <c r="B65" t="s">
        <v>47</v>
      </c>
      <c r="C65" t="s">
        <v>51</v>
      </c>
      <c r="D65" t="s">
        <v>311</v>
      </c>
      <c r="E65">
        <v>2026</v>
      </c>
      <c r="F65">
        <v>14</v>
      </c>
      <c r="G65">
        <v>279</v>
      </c>
      <c r="H65" s="14"/>
    </row>
    <row r="66" spans="1:8">
      <c r="A66" t="s">
        <v>73</v>
      </c>
      <c r="B66" t="s">
        <v>47</v>
      </c>
      <c r="C66" t="s">
        <v>51</v>
      </c>
      <c r="D66" t="s">
        <v>322</v>
      </c>
      <c r="E66">
        <v>2026</v>
      </c>
      <c r="F66">
        <v>21</v>
      </c>
      <c r="G66">
        <v>279</v>
      </c>
      <c r="H66" s="14"/>
    </row>
    <row r="67" spans="1:8">
      <c r="A67" t="s">
        <v>73</v>
      </c>
      <c r="B67" t="s">
        <v>47</v>
      </c>
      <c r="C67" t="s">
        <v>51</v>
      </c>
      <c r="D67" t="s">
        <v>285</v>
      </c>
      <c r="E67">
        <v>2026</v>
      </c>
      <c r="F67">
        <v>44</v>
      </c>
      <c r="G67">
        <v>279</v>
      </c>
      <c r="H67" s="14"/>
    </row>
    <row r="68" spans="1:8">
      <c r="A68" t="s">
        <v>73</v>
      </c>
      <c r="B68" t="s">
        <v>47</v>
      </c>
      <c r="C68" t="s">
        <v>51</v>
      </c>
      <c r="D68" t="s">
        <v>333</v>
      </c>
      <c r="E68">
        <v>2026</v>
      </c>
      <c r="F68">
        <v>21</v>
      </c>
      <c r="G68">
        <v>279</v>
      </c>
      <c r="H68" s="14"/>
    </row>
    <row r="69" spans="1:8">
      <c r="A69" t="s">
        <v>73</v>
      </c>
      <c r="B69" t="s">
        <v>47</v>
      </c>
      <c r="C69" t="s">
        <v>51</v>
      </c>
      <c r="D69" t="s">
        <v>350</v>
      </c>
      <c r="E69">
        <v>2026</v>
      </c>
      <c r="F69">
        <v>21</v>
      </c>
      <c r="G69">
        <v>279</v>
      </c>
      <c r="H69" s="14"/>
    </row>
    <row r="70" spans="1:8">
      <c r="A70" t="s">
        <v>73</v>
      </c>
      <c r="B70" t="s">
        <v>47</v>
      </c>
      <c r="C70" t="s">
        <v>51</v>
      </c>
      <c r="D70" t="s">
        <v>351</v>
      </c>
      <c r="E70">
        <v>2026</v>
      </c>
      <c r="F70">
        <v>45</v>
      </c>
      <c r="G70">
        <v>279</v>
      </c>
      <c r="H70" s="14"/>
    </row>
    <row r="71" spans="1:8">
      <c r="A71" t="s">
        <v>74</v>
      </c>
      <c r="B71" t="s">
        <v>47</v>
      </c>
      <c r="C71" t="s">
        <v>51</v>
      </c>
      <c r="D71" t="s">
        <v>177</v>
      </c>
      <c r="E71">
        <v>2026</v>
      </c>
      <c r="F71">
        <v>10</v>
      </c>
      <c r="G71">
        <v>102</v>
      </c>
      <c r="H71" s="14"/>
    </row>
    <row r="72" spans="1:8">
      <c r="A72" t="s">
        <v>74</v>
      </c>
      <c r="B72" t="s">
        <v>47</v>
      </c>
      <c r="C72" t="s">
        <v>51</v>
      </c>
      <c r="D72" t="s">
        <v>208</v>
      </c>
      <c r="E72">
        <v>2026</v>
      </c>
      <c r="F72">
        <v>17</v>
      </c>
      <c r="G72">
        <v>102</v>
      </c>
      <c r="H72" s="14"/>
    </row>
    <row r="73" spans="1:8">
      <c r="A73" t="s">
        <v>74</v>
      </c>
      <c r="B73" t="s">
        <v>47</v>
      </c>
      <c r="C73" t="s">
        <v>51</v>
      </c>
      <c r="D73" t="s">
        <v>223</v>
      </c>
      <c r="E73">
        <v>2026</v>
      </c>
      <c r="F73">
        <v>11</v>
      </c>
      <c r="G73">
        <v>102</v>
      </c>
      <c r="H73" s="14"/>
    </row>
    <row r="74" spans="1:8">
      <c r="A74" t="s">
        <v>74</v>
      </c>
      <c r="B74" t="s">
        <v>47</v>
      </c>
      <c r="C74" t="s">
        <v>51</v>
      </c>
      <c r="D74" t="s">
        <v>311</v>
      </c>
      <c r="E74">
        <v>2026</v>
      </c>
      <c r="F74">
        <v>13</v>
      </c>
      <c r="G74">
        <v>102</v>
      </c>
      <c r="H74" s="14"/>
    </row>
    <row r="75" spans="1:8">
      <c r="A75" t="s">
        <v>74</v>
      </c>
      <c r="B75" t="s">
        <v>47</v>
      </c>
      <c r="C75" t="s">
        <v>51</v>
      </c>
      <c r="D75" t="s">
        <v>322</v>
      </c>
      <c r="E75">
        <v>2026</v>
      </c>
      <c r="F75">
        <v>15</v>
      </c>
      <c r="G75">
        <v>102</v>
      </c>
      <c r="H75" s="14"/>
    </row>
    <row r="76" spans="1:8">
      <c r="A76" t="s">
        <v>74</v>
      </c>
      <c r="B76" t="s">
        <v>47</v>
      </c>
      <c r="C76" t="s">
        <v>51</v>
      </c>
      <c r="D76" t="s">
        <v>285</v>
      </c>
      <c r="E76">
        <v>2026</v>
      </c>
      <c r="F76">
        <v>18</v>
      </c>
      <c r="G76">
        <v>102</v>
      </c>
      <c r="H76" s="14"/>
    </row>
    <row r="77" spans="1:8">
      <c r="A77" t="s">
        <v>74</v>
      </c>
      <c r="B77" t="s">
        <v>47</v>
      </c>
      <c r="C77" t="s">
        <v>51</v>
      </c>
      <c r="D77" t="s">
        <v>299</v>
      </c>
      <c r="E77">
        <v>2026</v>
      </c>
      <c r="F77">
        <v>10</v>
      </c>
      <c r="G77">
        <v>102</v>
      </c>
      <c r="H77" s="14"/>
    </row>
    <row r="78" spans="1:8">
      <c r="A78" t="s">
        <v>74</v>
      </c>
      <c r="B78" t="s">
        <v>47</v>
      </c>
      <c r="C78" t="s">
        <v>51</v>
      </c>
      <c r="D78" t="s">
        <v>333</v>
      </c>
      <c r="E78">
        <v>2026</v>
      </c>
      <c r="F78">
        <v>8</v>
      </c>
      <c r="G78">
        <v>102</v>
      </c>
      <c r="H78" s="14"/>
    </row>
    <row r="79" spans="1:8">
      <c r="A79" t="s">
        <v>75</v>
      </c>
      <c r="B79" t="s">
        <v>47</v>
      </c>
      <c r="C79" t="s">
        <v>51</v>
      </c>
      <c r="D79" t="s">
        <v>177</v>
      </c>
      <c r="E79">
        <v>2026</v>
      </c>
      <c r="F79">
        <v>32</v>
      </c>
      <c r="G79">
        <v>165</v>
      </c>
      <c r="H79" s="14"/>
    </row>
    <row r="80" spans="1:8">
      <c r="A80" t="s">
        <v>75</v>
      </c>
      <c r="B80" t="s">
        <v>47</v>
      </c>
      <c r="C80" t="s">
        <v>51</v>
      </c>
      <c r="D80" t="s">
        <v>208</v>
      </c>
      <c r="E80">
        <v>2026</v>
      </c>
      <c r="F80">
        <v>40</v>
      </c>
      <c r="G80">
        <v>165</v>
      </c>
      <c r="H80" s="14"/>
    </row>
    <row r="81" spans="1:8">
      <c r="A81" t="s">
        <v>75</v>
      </c>
      <c r="B81" t="s">
        <v>47</v>
      </c>
      <c r="C81" t="s">
        <v>51</v>
      </c>
      <c r="D81" t="s">
        <v>311</v>
      </c>
      <c r="E81">
        <v>2026</v>
      </c>
      <c r="F81">
        <v>30</v>
      </c>
      <c r="G81">
        <v>165</v>
      </c>
      <c r="H81" s="14"/>
    </row>
    <row r="82" spans="1:8">
      <c r="A82" t="s">
        <v>75</v>
      </c>
      <c r="B82" t="s">
        <v>47</v>
      </c>
      <c r="C82" t="s">
        <v>51</v>
      </c>
      <c r="D82" t="s">
        <v>322</v>
      </c>
      <c r="E82">
        <v>2026</v>
      </c>
      <c r="F82">
        <v>24</v>
      </c>
      <c r="G82">
        <v>165</v>
      </c>
      <c r="H82" s="14"/>
    </row>
    <row r="83" spans="1:8">
      <c r="A83" t="s">
        <v>75</v>
      </c>
      <c r="B83" t="s">
        <v>47</v>
      </c>
      <c r="C83" t="s">
        <v>51</v>
      </c>
      <c r="D83" t="s">
        <v>285</v>
      </c>
      <c r="E83">
        <v>2026</v>
      </c>
      <c r="F83">
        <v>23</v>
      </c>
      <c r="G83">
        <v>165</v>
      </c>
      <c r="H83" s="14"/>
    </row>
    <row r="84" spans="1:8">
      <c r="A84" t="s">
        <v>75</v>
      </c>
      <c r="B84" t="s">
        <v>47</v>
      </c>
      <c r="C84" t="s">
        <v>51</v>
      </c>
      <c r="D84" t="s">
        <v>333</v>
      </c>
      <c r="E84">
        <v>2026</v>
      </c>
      <c r="F84">
        <v>16</v>
      </c>
      <c r="G84">
        <v>165</v>
      </c>
      <c r="H84" s="14"/>
    </row>
    <row r="85" spans="1:8">
      <c r="A85" t="s">
        <v>76</v>
      </c>
      <c r="B85" t="s">
        <v>47</v>
      </c>
      <c r="C85" t="s">
        <v>51</v>
      </c>
      <c r="D85" t="s">
        <v>177</v>
      </c>
      <c r="E85">
        <v>2026</v>
      </c>
      <c r="F85">
        <v>7</v>
      </c>
      <c r="G85">
        <v>63</v>
      </c>
      <c r="H85" s="14"/>
    </row>
    <row r="86" spans="1:8">
      <c r="A86" t="s">
        <v>76</v>
      </c>
      <c r="B86" t="s">
        <v>47</v>
      </c>
      <c r="C86" t="s">
        <v>51</v>
      </c>
      <c r="D86" t="s">
        <v>208</v>
      </c>
      <c r="E86">
        <v>2026</v>
      </c>
      <c r="F86">
        <v>12</v>
      </c>
      <c r="G86">
        <v>63</v>
      </c>
      <c r="H86" s="14"/>
    </row>
    <row r="87" spans="1:8">
      <c r="A87" t="s">
        <v>76</v>
      </c>
      <c r="B87" t="s">
        <v>47</v>
      </c>
      <c r="C87" t="s">
        <v>51</v>
      </c>
      <c r="D87" t="s">
        <v>257</v>
      </c>
      <c r="E87">
        <v>2026</v>
      </c>
      <c r="F87">
        <v>17</v>
      </c>
      <c r="G87">
        <v>63</v>
      </c>
      <c r="H87" s="14"/>
    </row>
    <row r="88" spans="1:8">
      <c r="A88" t="s">
        <v>76</v>
      </c>
      <c r="B88" t="s">
        <v>47</v>
      </c>
      <c r="C88" t="s">
        <v>51</v>
      </c>
      <c r="D88" t="s">
        <v>311</v>
      </c>
      <c r="E88">
        <v>2026</v>
      </c>
      <c r="F88">
        <v>10</v>
      </c>
      <c r="G88">
        <v>63</v>
      </c>
      <c r="H88" s="14"/>
    </row>
    <row r="89" spans="1:8">
      <c r="A89" t="s">
        <v>76</v>
      </c>
      <c r="B89" t="s">
        <v>47</v>
      </c>
      <c r="C89" t="s">
        <v>51</v>
      </c>
      <c r="D89" t="s">
        <v>285</v>
      </c>
      <c r="E89">
        <v>2026</v>
      </c>
      <c r="F89">
        <v>2</v>
      </c>
      <c r="G89">
        <v>63</v>
      </c>
      <c r="H89" s="14"/>
    </row>
    <row r="90" spans="1:8">
      <c r="A90" t="s">
        <v>76</v>
      </c>
      <c r="B90" t="s">
        <v>47</v>
      </c>
      <c r="C90" t="s">
        <v>51</v>
      </c>
      <c r="D90" t="s">
        <v>333</v>
      </c>
      <c r="E90">
        <v>2026</v>
      </c>
      <c r="F90">
        <v>4</v>
      </c>
      <c r="G90">
        <v>63</v>
      </c>
      <c r="H90" s="14"/>
    </row>
    <row r="91" spans="1:8">
      <c r="A91" t="s">
        <v>76</v>
      </c>
      <c r="B91" t="s">
        <v>47</v>
      </c>
      <c r="C91" t="s">
        <v>51</v>
      </c>
      <c r="D91" t="s">
        <v>351</v>
      </c>
      <c r="E91">
        <v>2026</v>
      </c>
      <c r="F91">
        <v>11</v>
      </c>
      <c r="G91">
        <v>63</v>
      </c>
      <c r="H91" s="14"/>
    </row>
    <row r="92" spans="1:8">
      <c r="A92" t="s">
        <v>77</v>
      </c>
      <c r="B92" t="s">
        <v>47</v>
      </c>
      <c r="C92" t="s">
        <v>51</v>
      </c>
      <c r="D92" t="s">
        <v>177</v>
      </c>
      <c r="E92">
        <v>2026</v>
      </c>
      <c r="F92">
        <v>21</v>
      </c>
      <c r="G92">
        <v>143</v>
      </c>
      <c r="H92" s="14"/>
    </row>
    <row r="93" spans="1:8">
      <c r="A93" t="s">
        <v>77</v>
      </c>
      <c r="B93" t="s">
        <v>47</v>
      </c>
      <c r="C93" t="s">
        <v>51</v>
      </c>
      <c r="D93" t="s">
        <v>208</v>
      </c>
      <c r="E93">
        <v>2026</v>
      </c>
      <c r="F93">
        <v>29</v>
      </c>
      <c r="G93">
        <v>143</v>
      </c>
      <c r="H93" s="14"/>
    </row>
    <row r="94" spans="1:8">
      <c r="A94" t="s">
        <v>77</v>
      </c>
      <c r="B94" t="s">
        <v>47</v>
      </c>
      <c r="C94" t="s">
        <v>51</v>
      </c>
      <c r="D94" t="s">
        <v>257</v>
      </c>
      <c r="E94">
        <v>2026</v>
      </c>
      <c r="F94">
        <v>15</v>
      </c>
      <c r="G94">
        <v>143</v>
      </c>
      <c r="H94" s="14"/>
    </row>
    <row r="95" spans="1:8">
      <c r="A95" t="s">
        <v>77</v>
      </c>
      <c r="B95" t="s">
        <v>47</v>
      </c>
      <c r="C95" t="s">
        <v>51</v>
      </c>
      <c r="D95" t="s">
        <v>311</v>
      </c>
      <c r="E95">
        <v>2026</v>
      </c>
      <c r="F95">
        <v>25</v>
      </c>
      <c r="G95">
        <v>143</v>
      </c>
      <c r="H95" s="14"/>
    </row>
    <row r="96" spans="1:8">
      <c r="A96" t="s">
        <v>77</v>
      </c>
      <c r="B96" t="s">
        <v>47</v>
      </c>
      <c r="C96" t="s">
        <v>51</v>
      </c>
      <c r="D96" t="s">
        <v>322</v>
      </c>
      <c r="E96">
        <v>2026</v>
      </c>
      <c r="F96">
        <v>23</v>
      </c>
      <c r="G96">
        <v>143</v>
      </c>
      <c r="H96" s="14"/>
    </row>
    <row r="97" spans="1:8">
      <c r="A97" t="s">
        <v>77</v>
      </c>
      <c r="B97" t="s">
        <v>47</v>
      </c>
      <c r="C97" t="s">
        <v>51</v>
      </c>
      <c r="D97" t="s">
        <v>285</v>
      </c>
      <c r="E97">
        <v>2026</v>
      </c>
      <c r="F97">
        <v>27</v>
      </c>
      <c r="G97">
        <v>143</v>
      </c>
      <c r="H97" s="14"/>
    </row>
    <row r="98" spans="1:8">
      <c r="A98" t="s">
        <v>77</v>
      </c>
      <c r="B98" t="s">
        <v>47</v>
      </c>
      <c r="C98" t="s">
        <v>51</v>
      </c>
      <c r="D98" t="s">
        <v>299</v>
      </c>
      <c r="E98">
        <v>2026</v>
      </c>
      <c r="F98">
        <v>3</v>
      </c>
      <c r="G98">
        <v>143</v>
      </c>
      <c r="H98" s="14"/>
    </row>
    <row r="99" spans="1:8">
      <c r="A99" t="s">
        <v>78</v>
      </c>
      <c r="B99" t="s">
        <v>47</v>
      </c>
      <c r="C99" t="s">
        <v>51</v>
      </c>
      <c r="D99" t="s">
        <v>177</v>
      </c>
      <c r="E99">
        <v>2026</v>
      </c>
      <c r="F99">
        <v>50</v>
      </c>
      <c r="G99">
        <v>728</v>
      </c>
      <c r="H99" s="14"/>
    </row>
    <row r="100" spans="1:8">
      <c r="A100" t="s">
        <v>78</v>
      </c>
      <c r="B100" t="s">
        <v>47</v>
      </c>
      <c r="C100" t="s">
        <v>51</v>
      </c>
      <c r="D100" t="s">
        <v>208</v>
      </c>
      <c r="E100">
        <v>2026</v>
      </c>
      <c r="F100">
        <v>105</v>
      </c>
      <c r="G100">
        <v>728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223</v>
      </c>
      <c r="E101">
        <v>2026</v>
      </c>
      <c r="F101">
        <v>90</v>
      </c>
      <c r="G101">
        <v>728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241</v>
      </c>
      <c r="E102">
        <v>2026</v>
      </c>
      <c r="F102">
        <v>67</v>
      </c>
      <c r="G102">
        <v>728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257</v>
      </c>
      <c r="E103">
        <v>2026</v>
      </c>
      <c r="F103">
        <v>40</v>
      </c>
      <c r="G103">
        <v>728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352</v>
      </c>
      <c r="E104">
        <v>2026</v>
      </c>
      <c r="F104">
        <v>15</v>
      </c>
      <c r="G104">
        <v>728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271</v>
      </c>
      <c r="E105">
        <v>2026</v>
      </c>
      <c r="F105">
        <v>28</v>
      </c>
      <c r="G105">
        <v>728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311</v>
      </c>
      <c r="E106">
        <v>2026</v>
      </c>
      <c r="F106">
        <v>49</v>
      </c>
      <c r="G106">
        <v>728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322</v>
      </c>
      <c r="E107">
        <v>2026</v>
      </c>
      <c r="F107">
        <v>41</v>
      </c>
      <c r="G107">
        <v>728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53</v>
      </c>
      <c r="G108">
        <v>728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299</v>
      </c>
      <c r="E109">
        <v>2026</v>
      </c>
      <c r="F109">
        <v>25</v>
      </c>
      <c r="G109">
        <v>728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333</v>
      </c>
      <c r="E110">
        <v>2026</v>
      </c>
      <c r="F110">
        <v>55</v>
      </c>
      <c r="G110">
        <v>728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350</v>
      </c>
      <c r="E111">
        <v>2026</v>
      </c>
      <c r="F111">
        <v>32</v>
      </c>
      <c r="G111">
        <v>728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351</v>
      </c>
      <c r="E112">
        <v>2026</v>
      </c>
      <c r="F112">
        <v>78</v>
      </c>
      <c r="G112">
        <v>728</v>
      </c>
      <c r="H112" s="14"/>
    </row>
    <row r="113" spans="1:8">
      <c r="A113" t="s">
        <v>79</v>
      </c>
      <c r="B113" t="s">
        <v>47</v>
      </c>
      <c r="C113" t="s">
        <v>51</v>
      </c>
      <c r="D113" t="s">
        <v>177</v>
      </c>
      <c r="E113">
        <v>2026</v>
      </c>
      <c r="F113">
        <v>10</v>
      </c>
      <c r="G113">
        <v>34</v>
      </c>
      <c r="H113" s="14"/>
    </row>
    <row r="114" spans="1:8">
      <c r="A114" t="s">
        <v>79</v>
      </c>
      <c r="B114" t="s">
        <v>47</v>
      </c>
      <c r="C114" t="s">
        <v>51</v>
      </c>
      <c r="D114" t="s">
        <v>208</v>
      </c>
      <c r="E114">
        <v>2026</v>
      </c>
      <c r="F114">
        <v>8</v>
      </c>
      <c r="G114">
        <v>34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311</v>
      </c>
      <c r="E115">
        <v>2026</v>
      </c>
      <c r="F115">
        <v>10</v>
      </c>
      <c r="G115">
        <v>34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333</v>
      </c>
      <c r="E116">
        <v>2026</v>
      </c>
      <c r="F116">
        <v>6</v>
      </c>
      <c r="G116">
        <v>34</v>
      </c>
      <c r="H116" s="14"/>
    </row>
    <row r="117" spans="1:8">
      <c r="A117" t="s">
        <v>80</v>
      </c>
      <c r="B117" t="s">
        <v>47</v>
      </c>
      <c r="C117" t="s">
        <v>51</v>
      </c>
      <c r="D117" t="s">
        <v>177</v>
      </c>
      <c r="E117">
        <v>2026</v>
      </c>
      <c r="F117">
        <v>39</v>
      </c>
      <c r="G117">
        <v>131</v>
      </c>
      <c r="H117" s="14"/>
    </row>
    <row r="118" spans="1:8">
      <c r="A118" t="s">
        <v>80</v>
      </c>
      <c r="B118" t="s">
        <v>47</v>
      </c>
      <c r="C118" t="s">
        <v>51</v>
      </c>
      <c r="D118" t="s">
        <v>208</v>
      </c>
      <c r="E118">
        <v>2026</v>
      </c>
      <c r="F118">
        <v>30</v>
      </c>
      <c r="G118">
        <v>131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311</v>
      </c>
      <c r="E119">
        <v>2026</v>
      </c>
      <c r="F119">
        <v>33</v>
      </c>
      <c r="G119">
        <v>131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333</v>
      </c>
      <c r="E120">
        <v>2026</v>
      </c>
      <c r="F120">
        <v>29</v>
      </c>
      <c r="G120">
        <v>131</v>
      </c>
      <c r="H120" s="14"/>
    </row>
    <row r="121" spans="1:8">
      <c r="A121" t="s">
        <v>95</v>
      </c>
      <c r="B121" t="s">
        <v>47</v>
      </c>
      <c r="C121" t="s">
        <v>51</v>
      </c>
      <c r="D121" t="s">
        <v>177</v>
      </c>
      <c r="E121">
        <v>2026</v>
      </c>
      <c r="F121">
        <v>15</v>
      </c>
      <c r="G121">
        <v>73</v>
      </c>
      <c r="H121" s="14"/>
    </row>
    <row r="122" spans="1:8">
      <c r="A122" t="s">
        <v>95</v>
      </c>
      <c r="B122" t="s">
        <v>47</v>
      </c>
      <c r="C122" t="s">
        <v>51</v>
      </c>
      <c r="D122" t="s">
        <v>208</v>
      </c>
      <c r="E122">
        <v>2026</v>
      </c>
      <c r="F122">
        <v>10</v>
      </c>
      <c r="G122">
        <v>73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223</v>
      </c>
      <c r="E123">
        <v>2026</v>
      </c>
      <c r="F123">
        <v>10</v>
      </c>
      <c r="G123">
        <v>73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241</v>
      </c>
      <c r="E124">
        <v>2026</v>
      </c>
      <c r="F124">
        <v>7</v>
      </c>
      <c r="G124">
        <v>73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257</v>
      </c>
      <c r="E125">
        <v>2026</v>
      </c>
      <c r="F125">
        <v>7</v>
      </c>
      <c r="G125">
        <v>73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11</v>
      </c>
      <c r="G126">
        <v>73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322</v>
      </c>
      <c r="E127">
        <v>2026</v>
      </c>
      <c r="F127">
        <v>10</v>
      </c>
      <c r="G127">
        <v>73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285</v>
      </c>
      <c r="E128">
        <v>2026</v>
      </c>
      <c r="F128">
        <v>3</v>
      </c>
      <c r="G128">
        <v>73</v>
      </c>
      <c r="H128" s="14"/>
    </row>
    <row r="129" spans="1:8">
      <c r="A129" t="s">
        <v>81</v>
      </c>
      <c r="B129" t="s">
        <v>47</v>
      </c>
      <c r="C129" t="s">
        <v>51</v>
      </c>
      <c r="D129" t="s">
        <v>177</v>
      </c>
      <c r="E129">
        <v>2026</v>
      </c>
      <c r="F129">
        <v>11</v>
      </c>
      <c r="G129">
        <v>73</v>
      </c>
      <c r="H129" s="14"/>
    </row>
    <row r="130" spans="1:8">
      <c r="A130" t="s">
        <v>81</v>
      </c>
      <c r="B130" t="s">
        <v>47</v>
      </c>
      <c r="C130" t="s">
        <v>51</v>
      </c>
      <c r="D130" t="s">
        <v>208</v>
      </c>
      <c r="E130">
        <v>2026</v>
      </c>
      <c r="F130">
        <v>6</v>
      </c>
      <c r="G130">
        <v>73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223</v>
      </c>
      <c r="E131">
        <v>2026</v>
      </c>
      <c r="F131">
        <v>10</v>
      </c>
      <c r="G131">
        <v>73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257</v>
      </c>
      <c r="E132">
        <v>2026</v>
      </c>
      <c r="F132">
        <v>23</v>
      </c>
      <c r="G132">
        <v>73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311</v>
      </c>
      <c r="E133">
        <v>2026</v>
      </c>
      <c r="F133">
        <v>3</v>
      </c>
      <c r="G133">
        <v>73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322</v>
      </c>
      <c r="E134">
        <v>2026</v>
      </c>
      <c r="F134">
        <v>10</v>
      </c>
      <c r="G134">
        <v>73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10</v>
      </c>
      <c r="G135">
        <v>73</v>
      </c>
      <c r="H135" s="14"/>
    </row>
    <row r="136" spans="1:8">
      <c r="A136" t="s">
        <v>82</v>
      </c>
      <c r="B136" t="s">
        <v>47</v>
      </c>
      <c r="C136" t="s">
        <v>51</v>
      </c>
      <c r="D136" t="s">
        <v>177</v>
      </c>
      <c r="E136">
        <v>2026</v>
      </c>
      <c r="F136">
        <v>16</v>
      </c>
      <c r="G136">
        <v>77</v>
      </c>
      <c r="H136" s="14"/>
    </row>
    <row r="137" spans="1:8">
      <c r="A137" t="s">
        <v>82</v>
      </c>
      <c r="B137" t="s">
        <v>47</v>
      </c>
      <c r="C137" t="s">
        <v>51</v>
      </c>
      <c r="D137" t="s">
        <v>208</v>
      </c>
      <c r="E137">
        <v>2026</v>
      </c>
      <c r="F137">
        <v>23</v>
      </c>
      <c r="G137">
        <v>77</v>
      </c>
      <c r="H137" s="14"/>
    </row>
    <row r="138" spans="1:8">
      <c r="A138" t="s">
        <v>82</v>
      </c>
      <c r="B138" t="s">
        <v>47</v>
      </c>
      <c r="C138" t="s">
        <v>51</v>
      </c>
      <c r="D138" t="s">
        <v>257</v>
      </c>
      <c r="E138">
        <v>2026</v>
      </c>
      <c r="F138">
        <v>26</v>
      </c>
      <c r="G138">
        <v>77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311</v>
      </c>
      <c r="E139">
        <v>2026</v>
      </c>
      <c r="F139">
        <v>3</v>
      </c>
      <c r="G139">
        <v>77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333</v>
      </c>
      <c r="E140">
        <v>2026</v>
      </c>
      <c r="F140">
        <v>9</v>
      </c>
      <c r="G140">
        <v>77</v>
      </c>
      <c r="H140" s="14"/>
    </row>
    <row r="141" spans="1:8">
      <c r="A141" t="s">
        <v>84</v>
      </c>
      <c r="B141" t="s">
        <v>47</v>
      </c>
      <c r="C141" t="s">
        <v>51</v>
      </c>
      <c r="D141" t="s">
        <v>177</v>
      </c>
      <c r="E141">
        <v>2026</v>
      </c>
      <c r="F141">
        <v>13</v>
      </c>
      <c r="G141">
        <v>127</v>
      </c>
      <c r="H141" s="14"/>
    </row>
    <row r="142" spans="1:8">
      <c r="A142" t="s">
        <v>84</v>
      </c>
      <c r="B142" t="s">
        <v>47</v>
      </c>
      <c r="C142" t="s">
        <v>51</v>
      </c>
      <c r="D142" t="s">
        <v>208</v>
      </c>
      <c r="E142">
        <v>2026</v>
      </c>
      <c r="F142">
        <v>20</v>
      </c>
      <c r="G142">
        <v>127</v>
      </c>
      <c r="H142" s="14"/>
    </row>
    <row r="143" spans="1:8">
      <c r="A143" t="s">
        <v>84</v>
      </c>
      <c r="B143" t="s">
        <v>47</v>
      </c>
      <c r="C143" t="s">
        <v>51</v>
      </c>
      <c r="D143" t="s">
        <v>241</v>
      </c>
      <c r="E143">
        <v>2026</v>
      </c>
      <c r="F143">
        <v>14</v>
      </c>
      <c r="G143">
        <v>127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257</v>
      </c>
      <c r="E144">
        <v>2026</v>
      </c>
      <c r="F144">
        <v>13</v>
      </c>
      <c r="G144">
        <v>127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311</v>
      </c>
      <c r="E145">
        <v>2026</v>
      </c>
      <c r="F145">
        <v>15</v>
      </c>
      <c r="G145">
        <v>127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322</v>
      </c>
      <c r="E146">
        <v>2026</v>
      </c>
      <c r="F146">
        <v>17</v>
      </c>
      <c r="G146">
        <v>127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285</v>
      </c>
      <c r="E147">
        <v>2026</v>
      </c>
      <c r="F147">
        <v>20</v>
      </c>
      <c r="G147">
        <v>127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333</v>
      </c>
      <c r="E148">
        <v>2026</v>
      </c>
      <c r="F148">
        <v>15</v>
      </c>
      <c r="G148">
        <v>127</v>
      </c>
      <c r="H148" s="14"/>
    </row>
    <row r="149" spans="1:8">
      <c r="A149" t="s">
        <v>85</v>
      </c>
      <c r="B149" t="s">
        <v>47</v>
      </c>
      <c r="C149" t="s">
        <v>51</v>
      </c>
      <c r="D149" t="s">
        <v>177</v>
      </c>
      <c r="E149">
        <v>2026</v>
      </c>
      <c r="F149">
        <v>10</v>
      </c>
      <c r="G149">
        <v>79</v>
      </c>
      <c r="H149" s="14"/>
    </row>
    <row r="150" spans="1:8">
      <c r="A150" t="s">
        <v>85</v>
      </c>
      <c r="B150" t="s">
        <v>47</v>
      </c>
      <c r="C150" t="s">
        <v>51</v>
      </c>
      <c r="D150" t="s">
        <v>208</v>
      </c>
      <c r="E150">
        <v>2026</v>
      </c>
      <c r="F150">
        <v>12</v>
      </c>
      <c r="G150">
        <v>79</v>
      </c>
      <c r="H150" s="14"/>
    </row>
    <row r="151" spans="1:8">
      <c r="A151" t="s">
        <v>85</v>
      </c>
      <c r="B151" t="s">
        <v>47</v>
      </c>
      <c r="C151" t="s">
        <v>51</v>
      </c>
      <c r="D151" t="s">
        <v>257</v>
      </c>
      <c r="E151">
        <v>2026</v>
      </c>
      <c r="F151">
        <v>9</v>
      </c>
      <c r="G151">
        <v>79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311</v>
      </c>
      <c r="E152">
        <v>2026</v>
      </c>
      <c r="F152">
        <v>6</v>
      </c>
      <c r="G152">
        <v>79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322</v>
      </c>
      <c r="E153">
        <v>2026</v>
      </c>
      <c r="F153">
        <v>14</v>
      </c>
      <c r="G153">
        <v>79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285</v>
      </c>
      <c r="E154">
        <v>2026</v>
      </c>
      <c r="F154">
        <v>21</v>
      </c>
      <c r="G154">
        <v>79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333</v>
      </c>
      <c r="E155">
        <v>2026</v>
      </c>
      <c r="F155">
        <v>7</v>
      </c>
      <c r="G155">
        <v>79</v>
      </c>
      <c r="H155" s="14"/>
    </row>
    <row r="156" spans="1:8">
      <c r="A156" t="s">
        <v>86</v>
      </c>
      <c r="B156" t="s">
        <v>47</v>
      </c>
      <c r="C156" t="s">
        <v>51</v>
      </c>
      <c r="D156" t="s">
        <v>177</v>
      </c>
      <c r="E156">
        <v>2026</v>
      </c>
      <c r="F156">
        <v>17</v>
      </c>
      <c r="G156">
        <v>165</v>
      </c>
      <c r="H156" s="14"/>
    </row>
    <row r="157" spans="1:8">
      <c r="A157" t="s">
        <v>86</v>
      </c>
      <c r="B157" t="s">
        <v>47</v>
      </c>
      <c r="C157" t="s">
        <v>51</v>
      </c>
      <c r="D157" t="s">
        <v>208</v>
      </c>
      <c r="E157">
        <v>2026</v>
      </c>
      <c r="F157">
        <v>41</v>
      </c>
      <c r="G157">
        <v>165</v>
      </c>
      <c r="H157" s="14"/>
    </row>
    <row r="158" spans="1:8">
      <c r="A158" t="s">
        <v>86</v>
      </c>
      <c r="B158" t="s">
        <v>47</v>
      </c>
      <c r="C158" t="s">
        <v>51</v>
      </c>
      <c r="D158" t="s">
        <v>241</v>
      </c>
      <c r="E158">
        <v>2026</v>
      </c>
      <c r="F158">
        <v>13</v>
      </c>
      <c r="G158">
        <v>165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257</v>
      </c>
      <c r="E159">
        <v>2026</v>
      </c>
      <c r="F159">
        <v>25</v>
      </c>
      <c r="G159">
        <v>165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311</v>
      </c>
      <c r="E160">
        <v>2026</v>
      </c>
      <c r="F160">
        <v>14</v>
      </c>
      <c r="G160">
        <v>165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322</v>
      </c>
      <c r="E161">
        <v>2026</v>
      </c>
      <c r="F161">
        <v>22</v>
      </c>
      <c r="G161">
        <v>165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285</v>
      </c>
      <c r="E162">
        <v>2026</v>
      </c>
      <c r="F162">
        <v>23</v>
      </c>
      <c r="G162">
        <v>165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299</v>
      </c>
      <c r="E163">
        <v>2026</v>
      </c>
      <c r="F163">
        <v>10</v>
      </c>
      <c r="G163">
        <v>165</v>
      </c>
      <c r="H163" s="14"/>
    </row>
    <row r="164" spans="1:8">
      <c r="A164" t="s">
        <v>87</v>
      </c>
      <c r="B164" t="s">
        <v>47</v>
      </c>
      <c r="C164" t="s">
        <v>51</v>
      </c>
      <c r="D164" t="s">
        <v>177</v>
      </c>
      <c r="E164">
        <v>2026</v>
      </c>
      <c r="F164">
        <v>8</v>
      </c>
      <c r="G164">
        <v>121</v>
      </c>
      <c r="H164" s="14"/>
    </row>
    <row r="165" spans="1:8">
      <c r="A165" t="s">
        <v>87</v>
      </c>
      <c r="B165" t="s">
        <v>47</v>
      </c>
      <c r="C165" t="s">
        <v>51</v>
      </c>
      <c r="D165" t="s">
        <v>208</v>
      </c>
      <c r="E165">
        <v>2026</v>
      </c>
      <c r="F165">
        <v>32</v>
      </c>
      <c r="G165">
        <v>121</v>
      </c>
      <c r="H165" s="14"/>
    </row>
    <row r="166" spans="1:8">
      <c r="A166" t="s">
        <v>87</v>
      </c>
      <c r="B166" t="s">
        <v>47</v>
      </c>
      <c r="C166" t="s">
        <v>51</v>
      </c>
      <c r="D166" t="s">
        <v>223</v>
      </c>
      <c r="E166">
        <v>2026</v>
      </c>
      <c r="F166">
        <v>12</v>
      </c>
      <c r="G166">
        <v>121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257</v>
      </c>
      <c r="E167">
        <v>2026</v>
      </c>
      <c r="F167">
        <v>14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311</v>
      </c>
      <c r="E168">
        <v>2026</v>
      </c>
      <c r="F168">
        <v>14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322</v>
      </c>
      <c r="E169">
        <v>2026</v>
      </c>
      <c r="F169">
        <v>13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285</v>
      </c>
      <c r="E170">
        <v>2026</v>
      </c>
      <c r="F170">
        <v>15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333</v>
      </c>
      <c r="E171">
        <v>2026</v>
      </c>
      <c r="F171">
        <v>8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350</v>
      </c>
      <c r="E172">
        <v>2026</v>
      </c>
      <c r="F172">
        <v>5</v>
      </c>
      <c r="G172">
        <v>121</v>
      </c>
      <c r="H172" s="14"/>
    </row>
    <row r="173" spans="1:8">
      <c r="A173" t="s">
        <v>88</v>
      </c>
      <c r="B173" t="s">
        <v>47</v>
      </c>
      <c r="C173" t="s">
        <v>51</v>
      </c>
      <c r="D173" t="s">
        <v>177</v>
      </c>
      <c r="E173">
        <v>2026</v>
      </c>
      <c r="F173">
        <v>41</v>
      </c>
      <c r="G173">
        <v>291</v>
      </c>
      <c r="H173" s="14"/>
    </row>
    <row r="174" spans="1:8">
      <c r="A174" t="s">
        <v>88</v>
      </c>
      <c r="B174" t="s">
        <v>47</v>
      </c>
      <c r="C174" t="s">
        <v>51</v>
      </c>
      <c r="D174" t="s">
        <v>208</v>
      </c>
      <c r="E174">
        <v>2026</v>
      </c>
      <c r="F174">
        <v>57</v>
      </c>
      <c r="G174">
        <v>291</v>
      </c>
      <c r="H174" s="14"/>
    </row>
    <row r="175" spans="1:8">
      <c r="A175" t="s">
        <v>88</v>
      </c>
      <c r="B175" t="s">
        <v>47</v>
      </c>
      <c r="C175" t="s">
        <v>51</v>
      </c>
      <c r="D175" t="s">
        <v>257</v>
      </c>
      <c r="E175">
        <v>2026</v>
      </c>
      <c r="F175">
        <v>26</v>
      </c>
      <c r="G175">
        <v>291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311</v>
      </c>
      <c r="E176">
        <v>2026</v>
      </c>
      <c r="F176">
        <v>55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285</v>
      </c>
      <c r="E177">
        <v>2026</v>
      </c>
      <c r="F177">
        <v>66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333</v>
      </c>
      <c r="E178">
        <v>2026</v>
      </c>
      <c r="F178">
        <v>33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350</v>
      </c>
      <c r="E179">
        <v>2026</v>
      </c>
      <c r="F179">
        <v>13</v>
      </c>
      <c r="G179">
        <v>291</v>
      </c>
      <c r="H179" s="14"/>
    </row>
    <row r="180" spans="1:8">
      <c r="A180" t="s">
        <v>94</v>
      </c>
      <c r="B180" t="s">
        <v>47</v>
      </c>
      <c r="C180" t="s">
        <v>51</v>
      </c>
      <c r="D180" t="s">
        <v>177</v>
      </c>
      <c r="E180">
        <v>2026</v>
      </c>
      <c r="F180">
        <v>6</v>
      </c>
      <c r="G180">
        <v>43</v>
      </c>
      <c r="H180" s="14"/>
    </row>
    <row r="181" spans="1:8">
      <c r="A181" t="s">
        <v>94</v>
      </c>
      <c r="B181" t="s">
        <v>47</v>
      </c>
      <c r="C181" t="s">
        <v>51</v>
      </c>
      <c r="D181" t="s">
        <v>223</v>
      </c>
      <c r="E181">
        <v>2026</v>
      </c>
      <c r="F181">
        <v>10</v>
      </c>
      <c r="G181">
        <v>43</v>
      </c>
      <c r="H181" s="14"/>
    </row>
    <row r="182" spans="1:8">
      <c r="A182" t="s">
        <v>94</v>
      </c>
      <c r="B182" t="s">
        <v>47</v>
      </c>
      <c r="C182" t="s">
        <v>51</v>
      </c>
      <c r="D182" t="s">
        <v>311</v>
      </c>
      <c r="E182">
        <v>2026</v>
      </c>
      <c r="F182">
        <v>4</v>
      </c>
      <c r="G182">
        <v>43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322</v>
      </c>
      <c r="E183">
        <v>2026</v>
      </c>
      <c r="F183">
        <v>10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299</v>
      </c>
      <c r="E184">
        <v>2026</v>
      </c>
      <c r="F184">
        <v>3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333</v>
      </c>
      <c r="E185">
        <v>2026</v>
      </c>
      <c r="F185">
        <v>10</v>
      </c>
      <c r="G185">
        <v>43</v>
      </c>
      <c r="H185" s="14"/>
    </row>
    <row r="186" spans="1:8">
      <c r="A186" t="s">
        <v>89</v>
      </c>
      <c r="B186" t="s">
        <v>47</v>
      </c>
      <c r="C186" t="s">
        <v>51</v>
      </c>
      <c r="D186" t="s">
        <v>177</v>
      </c>
      <c r="E186">
        <v>2026</v>
      </c>
      <c r="F186">
        <v>17</v>
      </c>
      <c r="G186">
        <v>175</v>
      </c>
      <c r="H186" s="14"/>
    </row>
    <row r="187" spans="1:8">
      <c r="A187" t="s">
        <v>89</v>
      </c>
      <c r="B187" t="s">
        <v>47</v>
      </c>
      <c r="C187" t="s">
        <v>51</v>
      </c>
      <c r="D187" t="s">
        <v>208</v>
      </c>
      <c r="E187">
        <v>2026</v>
      </c>
      <c r="F187">
        <v>29</v>
      </c>
      <c r="G187">
        <v>175</v>
      </c>
      <c r="H187" s="14"/>
    </row>
    <row r="188" spans="1:8">
      <c r="A188" t="s">
        <v>89</v>
      </c>
      <c r="B188" t="s">
        <v>47</v>
      </c>
      <c r="C188" t="s">
        <v>51</v>
      </c>
      <c r="D188" t="s">
        <v>241</v>
      </c>
      <c r="E188">
        <v>2026</v>
      </c>
      <c r="F188">
        <v>4</v>
      </c>
      <c r="G188">
        <v>175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257</v>
      </c>
      <c r="E189">
        <v>2026</v>
      </c>
      <c r="F189">
        <v>13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311</v>
      </c>
      <c r="E190">
        <v>2026</v>
      </c>
      <c r="F190">
        <v>24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322</v>
      </c>
      <c r="E191">
        <v>2026</v>
      </c>
      <c r="F191">
        <v>30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285</v>
      </c>
      <c r="E192">
        <v>2026</v>
      </c>
      <c r="F192">
        <v>25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333</v>
      </c>
      <c r="E193">
        <v>2026</v>
      </c>
      <c r="F193">
        <v>16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351</v>
      </c>
      <c r="E194">
        <v>2026</v>
      </c>
      <c r="F194">
        <v>17</v>
      </c>
      <c r="G194">
        <v>175</v>
      </c>
      <c r="H194" s="14"/>
    </row>
    <row r="195" spans="1:8">
      <c r="A195" t="s">
        <v>90</v>
      </c>
      <c r="B195" t="s">
        <v>47</v>
      </c>
      <c r="C195" t="s">
        <v>51</v>
      </c>
      <c r="D195" t="s">
        <v>177</v>
      </c>
      <c r="E195">
        <v>2026</v>
      </c>
      <c r="F195">
        <v>10</v>
      </c>
      <c r="G195">
        <v>73</v>
      </c>
      <c r="H195" s="14"/>
    </row>
    <row r="196" spans="1:8">
      <c r="A196" t="s">
        <v>90</v>
      </c>
      <c r="B196" t="s">
        <v>47</v>
      </c>
      <c r="C196" t="s">
        <v>51</v>
      </c>
      <c r="D196" t="s">
        <v>208</v>
      </c>
      <c r="E196">
        <v>2026</v>
      </c>
      <c r="F196">
        <v>11</v>
      </c>
      <c r="G196">
        <v>73</v>
      </c>
      <c r="H196" s="14"/>
    </row>
    <row r="197" spans="1:8">
      <c r="A197" t="s">
        <v>90</v>
      </c>
      <c r="B197" t="s">
        <v>47</v>
      </c>
      <c r="C197" t="s">
        <v>51</v>
      </c>
      <c r="D197" t="s">
        <v>241</v>
      </c>
      <c r="E197">
        <v>2026</v>
      </c>
      <c r="F197">
        <v>5</v>
      </c>
      <c r="G197">
        <v>73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257</v>
      </c>
      <c r="E198">
        <v>2026</v>
      </c>
      <c r="F198">
        <v>11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311</v>
      </c>
      <c r="E199">
        <v>2026</v>
      </c>
      <c r="F199">
        <v>6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322</v>
      </c>
      <c r="E200">
        <v>2026</v>
      </c>
      <c r="F200">
        <v>12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285</v>
      </c>
      <c r="E201">
        <v>2026</v>
      </c>
      <c r="F201">
        <v>12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333</v>
      </c>
      <c r="E202">
        <v>2026</v>
      </c>
      <c r="F202">
        <v>6</v>
      </c>
      <c r="G202">
        <v>73</v>
      </c>
      <c r="H202" s="14"/>
    </row>
    <row r="203" spans="1:8">
      <c r="A203" t="s">
        <v>91</v>
      </c>
      <c r="B203" t="s">
        <v>47</v>
      </c>
      <c r="C203" t="s">
        <v>51</v>
      </c>
      <c r="D203" t="s">
        <v>177</v>
      </c>
      <c r="E203">
        <v>2026</v>
      </c>
      <c r="F203">
        <v>16</v>
      </c>
      <c r="G203">
        <v>117</v>
      </c>
      <c r="H203" s="14"/>
    </row>
    <row r="204" spans="1:8">
      <c r="A204" t="s">
        <v>91</v>
      </c>
      <c r="B204" t="s">
        <v>47</v>
      </c>
      <c r="C204" t="s">
        <v>51</v>
      </c>
      <c r="D204" t="s">
        <v>208</v>
      </c>
      <c r="E204">
        <v>2026</v>
      </c>
      <c r="F204">
        <v>26</v>
      </c>
      <c r="G204">
        <v>117</v>
      </c>
      <c r="H204" s="14"/>
    </row>
    <row r="205" spans="1:8">
      <c r="A205" t="s">
        <v>91</v>
      </c>
      <c r="B205" t="s">
        <v>47</v>
      </c>
      <c r="C205" t="s">
        <v>51</v>
      </c>
      <c r="D205" t="s">
        <v>257</v>
      </c>
      <c r="E205">
        <v>2026</v>
      </c>
      <c r="F205">
        <v>19</v>
      </c>
      <c r="G205">
        <v>117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311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322</v>
      </c>
      <c r="E207">
        <v>2026</v>
      </c>
      <c r="F207">
        <v>21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285</v>
      </c>
      <c r="E208">
        <v>2026</v>
      </c>
      <c r="F208">
        <v>19</v>
      </c>
      <c r="G208">
        <v>117</v>
      </c>
      <c r="H208" s="14"/>
    </row>
    <row r="209" spans="1:8">
      <c r="A209" t="s">
        <v>93</v>
      </c>
      <c r="B209" t="s">
        <v>47</v>
      </c>
      <c r="C209" t="s">
        <v>51</v>
      </c>
      <c r="D209" t="s">
        <v>177</v>
      </c>
      <c r="E209">
        <v>2026</v>
      </c>
      <c r="F209">
        <v>4</v>
      </c>
      <c r="G209">
        <v>55</v>
      </c>
      <c r="H209" s="14"/>
    </row>
    <row r="210" spans="1:8">
      <c r="A210" t="s">
        <v>93</v>
      </c>
      <c r="B210" t="s">
        <v>47</v>
      </c>
      <c r="C210" t="s">
        <v>51</v>
      </c>
      <c r="D210" t="s">
        <v>208</v>
      </c>
      <c r="E210">
        <v>2026</v>
      </c>
      <c r="F210">
        <v>3</v>
      </c>
      <c r="G210">
        <v>55</v>
      </c>
      <c r="H210" s="14"/>
    </row>
    <row r="211" spans="1:8">
      <c r="A211" t="s">
        <v>93</v>
      </c>
      <c r="B211" t="s">
        <v>47</v>
      </c>
      <c r="C211" t="s">
        <v>51</v>
      </c>
      <c r="D211" t="s">
        <v>223</v>
      </c>
      <c r="E211">
        <v>2026</v>
      </c>
      <c r="F211">
        <v>6</v>
      </c>
      <c r="G211">
        <v>55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232</v>
      </c>
      <c r="E212">
        <v>2026</v>
      </c>
      <c r="F212">
        <v>17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241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311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285</v>
      </c>
      <c r="E215">
        <v>2026</v>
      </c>
      <c r="F215">
        <v>10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333</v>
      </c>
      <c r="E216">
        <v>2026</v>
      </c>
      <c r="F216">
        <v>6</v>
      </c>
      <c r="G216">
        <v>55</v>
      </c>
      <c r="H216" s="14"/>
    </row>
    <row r="217" spans="1:8">
      <c r="A217" t="s">
        <v>92</v>
      </c>
      <c r="B217" t="s">
        <v>47</v>
      </c>
      <c r="C217" t="s">
        <v>51</v>
      </c>
      <c r="D217" t="s">
        <v>177</v>
      </c>
      <c r="E217">
        <v>2026</v>
      </c>
      <c r="F217">
        <v>21</v>
      </c>
      <c r="G217">
        <v>112</v>
      </c>
      <c r="H217" s="14"/>
    </row>
    <row r="218" spans="1:8">
      <c r="A218" t="s">
        <v>92</v>
      </c>
      <c r="B218" t="s">
        <v>47</v>
      </c>
      <c r="C218" t="s">
        <v>51</v>
      </c>
      <c r="D218" t="s">
        <v>208</v>
      </c>
      <c r="E218">
        <v>2026</v>
      </c>
      <c r="F218">
        <v>24</v>
      </c>
      <c r="G218">
        <v>112</v>
      </c>
      <c r="H218" s="14"/>
    </row>
    <row r="219" spans="1:8">
      <c r="A219" t="s">
        <v>92</v>
      </c>
      <c r="B219" t="s">
        <v>47</v>
      </c>
      <c r="C219" t="s">
        <v>51</v>
      </c>
      <c r="D219" t="s">
        <v>257</v>
      </c>
      <c r="E219">
        <v>2026</v>
      </c>
      <c r="F219">
        <v>13</v>
      </c>
      <c r="G219">
        <v>112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311</v>
      </c>
      <c r="E220">
        <v>2026</v>
      </c>
      <c r="F220">
        <v>16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285</v>
      </c>
      <c r="E221">
        <v>2026</v>
      </c>
      <c r="F221">
        <v>22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333</v>
      </c>
      <c r="E222">
        <v>2026</v>
      </c>
      <c r="F222">
        <v>16</v>
      </c>
      <c r="G222">
        <v>112</v>
      </c>
      <c r="H222" s="14"/>
    </row>
    <row r="223" spans="1:8">
      <c r="A223" t="s">
        <v>56</v>
      </c>
      <c r="B223" t="s">
        <v>47</v>
      </c>
      <c r="C223" t="s">
        <v>51</v>
      </c>
      <c r="D223" t="s">
        <v>257</v>
      </c>
      <c r="E223">
        <v>2026</v>
      </c>
      <c r="F223" s="19">
        <v>7</v>
      </c>
      <c r="G223">
        <v>83</v>
      </c>
      <c r="H223" s="14"/>
    </row>
    <row r="224" spans="1:8">
      <c r="A224" t="s">
        <v>56</v>
      </c>
      <c r="B224" t="s">
        <v>47</v>
      </c>
      <c r="C224" t="s">
        <v>51</v>
      </c>
      <c r="D224" t="s">
        <v>241</v>
      </c>
      <c r="E224">
        <v>2026</v>
      </c>
      <c r="F224">
        <v>3</v>
      </c>
      <c r="G224">
        <v>83</v>
      </c>
      <c r="H224" s="14"/>
    </row>
    <row r="225" spans="1:8">
      <c r="A225" t="s">
        <v>56</v>
      </c>
      <c r="B225" t="s">
        <v>47</v>
      </c>
      <c r="C225" t="s">
        <v>51</v>
      </c>
      <c r="D225" t="s">
        <v>285</v>
      </c>
      <c r="E225">
        <v>2026</v>
      </c>
      <c r="F225">
        <v>19</v>
      </c>
      <c r="G225">
        <v>83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333</v>
      </c>
      <c r="E226">
        <v>2026</v>
      </c>
      <c r="F226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177</v>
      </c>
      <c r="E227">
        <v>2026</v>
      </c>
      <c r="F227">
        <v>5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208</v>
      </c>
      <c r="E228">
        <v>2026</v>
      </c>
      <c r="F228">
        <v>14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223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299</v>
      </c>
      <c r="E230">
        <v>2026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322</v>
      </c>
      <c r="E231">
        <v>2026</v>
      </c>
      <c r="F231">
        <v>9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311</v>
      </c>
      <c r="E232">
        <v>2026</v>
      </c>
      <c r="F232">
        <v>12</v>
      </c>
      <c r="G232">
        <v>83</v>
      </c>
      <c r="H232" s="14"/>
    </row>
    <row r="233" spans="1:8">
      <c r="H233" s="14"/>
    </row>
    <row r="234" spans="1:8">
      <c r="H234" s="14"/>
    </row>
    <row r="235" spans="1:8"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29" t="s">
        <v>639</v>
      </c>
      <c r="I1" s="29"/>
      <c r="J1" s="29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2026-07-27T13:50:00Z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