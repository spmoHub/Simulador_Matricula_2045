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8E763923-C294-429C-84FF-94FDB24C1960}" xr6:coauthVersionLast="47" xr6:coauthVersionMax="47" xr10:uidLastSave="{00000000-0000-0000-0000-000000000000}"/>
  <bookViews>
    <workbookView xWindow="-110" yWindow="-110" windowWidth="19420" windowHeight="10300" firstSheet="63" activeTab="63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  <sheet name="LEEME_v114_pos_ejec" sheetId="29" r:id="rId29"/>
    <sheet name="LEEME_v115_pos_ejec" sheetId="30" r:id="rId30"/>
    <sheet name="LEEME_v116_pos_ejec" sheetId="31" r:id="rId31"/>
    <sheet name="LEEME_v117_pos_ejec" sheetId="32" r:id="rId32"/>
    <sheet name="LEEME_v118_pos_ejec" sheetId="33" r:id="rId33"/>
    <sheet name="LEEME_v119_pos_ejec" sheetId="34" r:id="rId34"/>
    <sheet name="LEEME_v120_pos_ejec" sheetId="35" r:id="rId35"/>
    <sheet name="LEEME_v121_pos_ejec" sheetId="36" r:id="rId36"/>
    <sheet name="reparto_ni_anual_pos_ejec" sheetId="37" r:id="rId37"/>
    <sheet name="LEEME_v122_pos_ejec" sheetId="38" r:id="rId38"/>
    <sheet name="LEEME_v123_pos_ejec" sheetId="39" r:id="rId39"/>
    <sheet name="crecimiento_bloques_pos_ejec" sheetId="40" r:id="rId40"/>
    <sheet name="tetra_historica_pos_ejec" sheetId="41" r:id="rId41"/>
    <sheet name="LEEME_v124_pos_ejec" sheetId="42" r:id="rId42"/>
    <sheet name="LEEME_v125_pos_ejec" sheetId="43" r:id="rId43"/>
    <sheet name="pmp_mt_pos_ejec" sheetId="44" r:id="rId44"/>
    <sheet name="LEEME_v127_pos_ejec" sheetId="45" r:id="rId45"/>
    <sheet name="caso_base_fijo_3pct" sheetId="46" r:id="rId46"/>
    <sheet name="instrucciones_tasas_reales" sheetId="47" r:id="rId47"/>
    <sheet name="LEEME_v129_pos_ejec" sheetId="48" r:id="rId48"/>
    <sheet name="LEEME_v136_pos_ejec" sheetId="49" r:id="rId49"/>
    <sheet name="mt_pos_ejec" sheetId="50" r:id="rId50"/>
    <sheet name="LEEME_v137_pos_ejec" sheetId="51" r:id="rId51"/>
    <sheet name="internacional_base" sheetId="52" r:id="rId52"/>
    <sheet name="internacional_crecimiento" sheetId="53" r:id="rId53"/>
    <sheet name="LEEME_v138_pos_ejec" sheetId="54" r:id="rId54"/>
    <sheet name="internacional_bimestres" sheetId="55" r:id="rId55"/>
    <sheet name="LEEME_v139_internacional" sheetId="56" r:id="rId56"/>
    <sheet name="internacional_agosto" sheetId="57" r:id="rId57"/>
    <sheet name="caso_base_meta_2036" sheetId="58" r:id="rId58"/>
    <sheet name="espacio_connect" sheetId="59" r:id="rId59"/>
    <sheet name="LEEME_v140" sheetId="60" r:id="rId60"/>
    <sheet name="LEEME_v141" sheetId="61" r:id="rId61"/>
    <sheet name="caso_base_formato_v142" sheetId="62" r:id="rId62"/>
    <sheet name="LEEME_v142" sheetId="63" r:id="rId63"/>
    <sheet name="ri_bimestral_pos_ejec" sheetId="64" r:id="rId64"/>
    <sheet name="mt_tetra_historica_pos_ejec" sheetId="73" r:id="rId65"/>
    <sheet name="ni_iniciativas_pos_ejec" sheetId="74" r:id="rId66"/>
    <sheet name="calculo_tetra_pmp_pos_ejec" sheetId="65" r:id="rId67"/>
    <sheet name="INSTRUCCIONES_captura_PMP_RI" sheetId="66" r:id="rId68"/>
    <sheet name="LEEME_v143_captura" sheetId="67" r:id="rId69"/>
    <sheet name="LEEME_v145" sheetId="68" r:id="rId70"/>
    <sheet name="LEEME_v146" sheetId="69" r:id="rId71"/>
    <sheet name="LEEME_v147" sheetId="70" r:id="rId72"/>
    <sheet name="LEEME_v150" sheetId="71" r:id="rId73"/>
    <sheet name="LEEME_v152" sheetId="72" r:id="rId74"/>
  </sheets>
  <definedNames>
    <definedName name="_xlnm._FilterDatabase" localSheetId="64" hidden="1">mt_tetra_historica_pos_ejec!$A$1:$E$25</definedName>
    <definedName name="_xlnm._FilterDatabase" localSheetId="17" hidden="1">ni_bimestral_pos_ejec!$A$1:$F$86</definedName>
    <definedName name="_xlnm._FilterDatabase" localSheetId="63" hidden="1">ri_bimestral_pos_ejec!$A$1:$G$81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65" l="1"/>
  <c r="J81" i="65" s="1"/>
  <c r="G81" i="65"/>
  <c r="F81" i="65"/>
  <c r="H80" i="65"/>
  <c r="J80" i="65" s="1"/>
  <c r="G80" i="65"/>
  <c r="F80" i="65"/>
  <c r="H79" i="65"/>
  <c r="J79" i="65" s="1"/>
  <c r="G79" i="65"/>
  <c r="F79" i="65"/>
  <c r="H78" i="65"/>
  <c r="J78" i="65" s="1"/>
  <c r="G78" i="65"/>
  <c r="F78" i="65"/>
  <c r="H77" i="65"/>
  <c r="J77" i="65" s="1"/>
  <c r="G77" i="65"/>
  <c r="F77" i="65"/>
  <c r="H76" i="65"/>
  <c r="J76" i="65" s="1"/>
  <c r="G76" i="65"/>
  <c r="F76" i="65"/>
  <c r="H75" i="65"/>
  <c r="J75" i="65" s="1"/>
  <c r="G75" i="65"/>
  <c r="F75" i="65"/>
  <c r="H74" i="65"/>
  <c r="J74" i="65" s="1"/>
  <c r="G74" i="65"/>
  <c r="F74" i="65"/>
  <c r="H73" i="65"/>
  <c r="J73" i="65" s="1"/>
  <c r="G73" i="65"/>
  <c r="F73" i="65"/>
  <c r="H72" i="65"/>
  <c r="J72" i="65" s="1"/>
  <c r="G72" i="65"/>
  <c r="F72" i="65"/>
  <c r="H71" i="65"/>
  <c r="J71" i="65" s="1"/>
  <c r="G71" i="65"/>
  <c r="F71" i="65"/>
  <c r="H70" i="65"/>
  <c r="I70" i="65" s="1"/>
  <c r="G70" i="65"/>
  <c r="F70" i="65"/>
  <c r="H69" i="65"/>
  <c r="J69" i="65" s="1"/>
  <c r="G69" i="65"/>
  <c r="F69" i="65"/>
  <c r="H68" i="65"/>
  <c r="J68" i="65" s="1"/>
  <c r="G68" i="65"/>
  <c r="F68" i="65"/>
  <c r="H67" i="65"/>
  <c r="J67" i="65" s="1"/>
  <c r="G67" i="65"/>
  <c r="F67" i="65"/>
  <c r="H66" i="65"/>
  <c r="G66" i="65"/>
  <c r="F66" i="65"/>
  <c r="H65" i="65"/>
  <c r="G65" i="65"/>
  <c r="F65" i="65"/>
  <c r="H64" i="65"/>
  <c r="G64" i="65"/>
  <c r="F64" i="65"/>
  <c r="H63" i="65"/>
  <c r="G63" i="65"/>
  <c r="F63" i="65"/>
  <c r="H62" i="65"/>
  <c r="G62" i="65"/>
  <c r="F62" i="65"/>
  <c r="H61" i="65"/>
  <c r="J61" i="65" s="1"/>
  <c r="G61" i="65"/>
  <c r="F61" i="65"/>
  <c r="H60" i="65"/>
  <c r="J60" i="65" s="1"/>
  <c r="G60" i="65"/>
  <c r="F60" i="65"/>
  <c r="H59" i="65"/>
  <c r="J59" i="65" s="1"/>
  <c r="G59" i="65"/>
  <c r="F59" i="65"/>
  <c r="H58" i="65"/>
  <c r="I58" i="65" s="1"/>
  <c r="G58" i="65"/>
  <c r="F58" i="65"/>
  <c r="H57" i="65"/>
  <c r="J57" i="65" s="1"/>
  <c r="G57" i="65"/>
  <c r="F57" i="65"/>
  <c r="H56" i="65"/>
  <c r="J56" i="65" s="1"/>
  <c r="G56" i="65"/>
  <c r="F56" i="65"/>
  <c r="H55" i="65"/>
  <c r="J55" i="65" s="1"/>
  <c r="G55" i="65"/>
  <c r="F55" i="65"/>
  <c r="H54" i="65"/>
  <c r="J54" i="65" s="1"/>
  <c r="G54" i="65"/>
  <c r="F54" i="65"/>
  <c r="H53" i="65"/>
  <c r="J53" i="65" s="1"/>
  <c r="G53" i="65"/>
  <c r="F53" i="65"/>
  <c r="H52" i="65"/>
  <c r="J52" i="65" s="1"/>
  <c r="G52" i="65"/>
  <c r="F52" i="65"/>
  <c r="H51" i="65"/>
  <c r="J51" i="65" s="1"/>
  <c r="G51" i="65"/>
  <c r="F51" i="65"/>
  <c r="H50" i="65"/>
  <c r="J50" i="65" s="1"/>
  <c r="G50" i="65"/>
  <c r="F50" i="65"/>
  <c r="H49" i="65"/>
  <c r="J49" i="65" s="1"/>
  <c r="G49" i="65"/>
  <c r="F49" i="65"/>
  <c r="H48" i="65"/>
  <c r="J48" i="65" s="1"/>
  <c r="G48" i="65"/>
  <c r="F48" i="65"/>
  <c r="H47" i="65"/>
  <c r="J47" i="65" s="1"/>
  <c r="G47" i="65"/>
  <c r="F47" i="65"/>
  <c r="H46" i="65"/>
  <c r="J46" i="65" s="1"/>
  <c r="G46" i="65"/>
  <c r="F46" i="65"/>
  <c r="H45" i="65"/>
  <c r="G45" i="65"/>
  <c r="F45" i="65"/>
  <c r="H44" i="65"/>
  <c r="G44" i="65"/>
  <c r="F44" i="65"/>
  <c r="H43" i="65"/>
  <c r="G43" i="65"/>
  <c r="F43" i="65"/>
  <c r="H42" i="65"/>
  <c r="G42" i="65"/>
  <c r="F42" i="65"/>
  <c r="H41" i="65"/>
  <c r="J41" i="65" s="1"/>
  <c r="G41" i="65"/>
  <c r="F41" i="65"/>
  <c r="H40" i="65"/>
  <c r="J40" i="65" s="1"/>
  <c r="G40" i="65"/>
  <c r="F40" i="65"/>
  <c r="H39" i="65"/>
  <c r="J39" i="65" s="1"/>
  <c r="G39" i="65"/>
  <c r="F39" i="65"/>
  <c r="H38" i="65"/>
  <c r="J38" i="65" s="1"/>
  <c r="G38" i="65"/>
  <c r="F38" i="65"/>
  <c r="H37" i="65"/>
  <c r="J37" i="65" s="1"/>
  <c r="G37" i="65"/>
  <c r="F37" i="65"/>
  <c r="H36" i="65"/>
  <c r="J36" i="65" s="1"/>
  <c r="G36" i="65"/>
  <c r="F36" i="65"/>
  <c r="H35" i="65"/>
  <c r="J35" i="65" s="1"/>
  <c r="G35" i="65"/>
  <c r="F35" i="65"/>
  <c r="H34" i="65"/>
  <c r="I34" i="65" s="1"/>
  <c r="G34" i="65"/>
  <c r="F34" i="65"/>
  <c r="H33" i="65"/>
  <c r="J33" i="65" s="1"/>
  <c r="G33" i="65"/>
  <c r="F33" i="65"/>
  <c r="H32" i="65"/>
  <c r="J32" i="65" s="1"/>
  <c r="G32" i="65"/>
  <c r="F32" i="65"/>
  <c r="H31" i="65"/>
  <c r="J31" i="65" s="1"/>
  <c r="G31" i="65"/>
  <c r="F31" i="65"/>
  <c r="H30" i="65"/>
  <c r="J30" i="65" s="1"/>
  <c r="G30" i="65"/>
  <c r="F30" i="65"/>
  <c r="H29" i="65"/>
  <c r="J29" i="65" s="1"/>
  <c r="G29" i="65"/>
  <c r="F29" i="65"/>
  <c r="H28" i="65"/>
  <c r="J28" i="65" s="1"/>
  <c r="G28" i="65"/>
  <c r="F28" i="65"/>
  <c r="H27" i="65"/>
  <c r="J27" i="65" s="1"/>
  <c r="G27" i="65"/>
  <c r="F27" i="65"/>
  <c r="H26" i="65"/>
  <c r="J26" i="65" s="1"/>
  <c r="G26" i="65"/>
  <c r="F26" i="65"/>
  <c r="H25" i="65"/>
  <c r="G25" i="65"/>
  <c r="F25" i="65"/>
  <c r="H24" i="65"/>
  <c r="G24" i="65"/>
  <c r="F24" i="65"/>
  <c r="H23" i="65"/>
  <c r="G23" i="65"/>
  <c r="F23" i="65"/>
  <c r="H22" i="65"/>
  <c r="G22" i="65"/>
  <c r="F22" i="65"/>
  <c r="H21" i="65"/>
  <c r="J21" i="65" s="1"/>
  <c r="G21" i="65"/>
  <c r="F21" i="65"/>
  <c r="H20" i="65"/>
  <c r="J20" i="65" s="1"/>
  <c r="G20" i="65"/>
  <c r="F20" i="65"/>
  <c r="H19" i="65"/>
  <c r="J19" i="65" s="1"/>
  <c r="G19" i="65"/>
  <c r="F19" i="65"/>
  <c r="H18" i="65"/>
  <c r="J18" i="65" s="1"/>
  <c r="G18" i="65"/>
  <c r="F18" i="65"/>
  <c r="H17" i="65"/>
  <c r="J17" i="65" s="1"/>
  <c r="G17" i="65"/>
  <c r="F17" i="65"/>
  <c r="H16" i="65"/>
  <c r="J16" i="65" s="1"/>
  <c r="G16" i="65"/>
  <c r="F16" i="65"/>
  <c r="H15" i="65"/>
  <c r="G15" i="65"/>
  <c r="F15" i="65"/>
  <c r="H14" i="65"/>
  <c r="J14" i="65" s="1"/>
  <c r="G14" i="65"/>
  <c r="F14" i="65"/>
  <c r="H13" i="65"/>
  <c r="J13" i="65" s="1"/>
  <c r="G13" i="65"/>
  <c r="F13" i="65"/>
  <c r="H12" i="65"/>
  <c r="J12" i="65" s="1"/>
  <c r="G12" i="65"/>
  <c r="F12" i="65"/>
  <c r="H11" i="65"/>
  <c r="G11" i="65"/>
  <c r="F11" i="65"/>
  <c r="H10" i="65"/>
  <c r="G10" i="65"/>
  <c r="F10" i="65"/>
  <c r="H9" i="65"/>
  <c r="J9" i="65" s="1"/>
  <c r="G9" i="65"/>
  <c r="F9" i="65"/>
  <c r="H8" i="65"/>
  <c r="J8" i="65" s="1"/>
  <c r="G8" i="65"/>
  <c r="F8" i="65"/>
  <c r="H7" i="65"/>
  <c r="G7" i="65"/>
  <c r="F7" i="65"/>
  <c r="H6" i="65"/>
  <c r="J6" i="65" s="1"/>
  <c r="G6" i="65"/>
  <c r="F6" i="65"/>
  <c r="H5" i="65"/>
  <c r="G5" i="65"/>
  <c r="F5" i="65"/>
  <c r="H4" i="65"/>
  <c r="G4" i="65"/>
  <c r="F4" i="65"/>
  <c r="H3" i="65"/>
  <c r="G3" i="65"/>
  <c r="F3" i="65"/>
  <c r="H2" i="65"/>
  <c r="G2" i="65"/>
  <c r="F2" i="65"/>
  <c r="C21" i="57"/>
  <c r="C20" i="57"/>
  <c r="C19" i="57"/>
  <c r="C18" i="57"/>
  <c r="C17" i="57"/>
  <c r="C16" i="57"/>
  <c r="E15" i="57"/>
  <c r="C15" i="57"/>
  <c r="C14" i="57"/>
  <c r="D13" i="57"/>
  <c r="C13" i="57"/>
  <c r="F12" i="57"/>
  <c r="E12" i="57"/>
  <c r="E13" i="57" s="1"/>
  <c r="E14" i="57" s="1"/>
  <c r="D12" i="57"/>
  <c r="C12" i="57"/>
  <c r="E11" i="57"/>
  <c r="D11" i="57"/>
  <c r="F11" i="57" s="1"/>
  <c r="C11" i="57"/>
  <c r="F10" i="57"/>
  <c r="E10" i="57"/>
  <c r="G10" i="57" s="1"/>
  <c r="D10" i="57"/>
  <c r="C10" i="57"/>
  <c r="F9" i="57"/>
  <c r="E9" i="57"/>
  <c r="G9" i="57" s="1"/>
  <c r="H9" i="57" s="1"/>
  <c r="D9" i="57"/>
  <c r="C9" i="57"/>
  <c r="G8" i="57"/>
  <c r="E8" i="57"/>
  <c r="D8" i="57"/>
  <c r="F8" i="57" s="1"/>
  <c r="H8" i="57" s="1"/>
  <c r="C8" i="57"/>
  <c r="E7" i="57"/>
  <c r="D7" i="57"/>
  <c r="F7" i="57" s="1"/>
  <c r="C7" i="57"/>
  <c r="E6" i="57"/>
  <c r="D6" i="57"/>
  <c r="F6" i="57" s="1"/>
  <c r="C6" i="57"/>
  <c r="H5" i="57"/>
  <c r="G5" i="57"/>
  <c r="F5" i="57"/>
  <c r="E5" i="57"/>
  <c r="D5" i="57"/>
  <c r="C5" i="57"/>
  <c r="F4" i="57"/>
  <c r="E4" i="57"/>
  <c r="D4" i="57"/>
  <c r="C4" i="57"/>
  <c r="E3" i="57"/>
  <c r="D3" i="57"/>
  <c r="F3" i="57" s="1"/>
  <c r="C3" i="57"/>
  <c r="G2" i="57"/>
  <c r="F2" i="57"/>
  <c r="E2" i="57"/>
  <c r="D2" i="57"/>
  <c r="C2" i="57"/>
  <c r="C12" i="52"/>
  <c r="C11" i="52"/>
  <c r="C10" i="52"/>
  <c r="C9" i="52"/>
  <c r="C8" i="52"/>
  <c r="C7" i="52"/>
  <c r="C6" i="52"/>
  <c r="C5" i="52"/>
  <c r="C4" i="52"/>
  <c r="C3" i="52"/>
  <c r="C2" i="52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I976" i="3"/>
  <c r="H976" i="3"/>
  <c r="I975" i="3"/>
  <c r="H975" i="3"/>
  <c r="I974" i="3"/>
  <c r="H974" i="3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I964" i="3"/>
  <c r="H964" i="3"/>
  <c r="I963" i="3"/>
  <c r="H963" i="3"/>
  <c r="H962" i="3"/>
  <c r="I962" i="3" s="1"/>
  <c r="H961" i="3"/>
  <c r="I961" i="3" s="1"/>
  <c r="H960" i="3"/>
  <c r="I960" i="3" s="1"/>
  <c r="I959" i="3"/>
  <c r="H959" i="3"/>
  <c r="H958" i="3"/>
  <c r="I958" i="3" s="1"/>
  <c r="H957" i="3"/>
  <c r="I957" i="3" s="1"/>
  <c r="H956" i="3"/>
  <c r="I956" i="3" s="1"/>
  <c r="I955" i="3"/>
  <c r="H955" i="3"/>
  <c r="I954" i="3"/>
  <c r="H954" i="3"/>
  <c r="I953" i="3"/>
  <c r="H953" i="3"/>
  <c r="H952" i="3"/>
  <c r="I952" i="3" s="1"/>
  <c r="I951" i="3"/>
  <c r="H951" i="3"/>
  <c r="H950" i="3"/>
  <c r="I950" i="3" s="1"/>
  <c r="I949" i="3"/>
  <c r="H949" i="3"/>
  <c r="I948" i="3"/>
  <c r="H948" i="3"/>
  <c r="H947" i="3"/>
  <c r="I947" i="3" s="1"/>
  <c r="H946" i="3"/>
  <c r="I946" i="3" s="1"/>
  <c r="I945" i="3"/>
  <c r="H945" i="3"/>
  <c r="H944" i="3"/>
  <c r="I944" i="3" s="1"/>
  <c r="I943" i="3"/>
  <c r="H943" i="3"/>
  <c r="H942" i="3"/>
  <c r="I942" i="3" s="1"/>
  <c r="H941" i="3"/>
  <c r="I941" i="3" s="1"/>
  <c r="H940" i="3"/>
  <c r="I940" i="3" s="1"/>
  <c r="H939" i="3"/>
  <c r="I939" i="3" s="1"/>
  <c r="I938" i="3"/>
  <c r="H938" i="3"/>
  <c r="I937" i="3"/>
  <c r="H937" i="3"/>
  <c r="H936" i="3"/>
  <c r="I936" i="3" s="1"/>
  <c r="I935" i="3"/>
  <c r="H935" i="3"/>
  <c r="H934" i="3"/>
  <c r="I934" i="3" s="1"/>
  <c r="I933" i="3"/>
  <c r="H933" i="3"/>
  <c r="H932" i="3"/>
  <c r="I932" i="3" s="1"/>
  <c r="H931" i="3"/>
  <c r="I931" i="3" s="1"/>
  <c r="H930" i="3"/>
  <c r="I930" i="3" s="1"/>
  <c r="I929" i="3"/>
  <c r="H929" i="3"/>
  <c r="H928" i="3"/>
  <c r="I928" i="3" s="1"/>
  <c r="I927" i="3"/>
  <c r="H927" i="3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I919" i="3"/>
  <c r="H919" i="3"/>
  <c r="I918" i="3"/>
  <c r="H918" i="3"/>
  <c r="H917" i="3"/>
  <c r="I917" i="3" s="1"/>
  <c r="I916" i="3"/>
  <c r="H916" i="3"/>
  <c r="I915" i="3"/>
  <c r="H915" i="3"/>
  <c r="H914" i="3"/>
  <c r="I914" i="3" s="1"/>
  <c r="I913" i="3"/>
  <c r="H913" i="3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I904" i="3"/>
  <c r="H904" i="3"/>
  <c r="I903" i="3"/>
  <c r="H903" i="3"/>
  <c r="H902" i="3"/>
  <c r="I902" i="3" s="1"/>
  <c r="H901" i="3"/>
  <c r="I901" i="3" s="1"/>
  <c r="H900" i="3"/>
  <c r="I900" i="3" s="1"/>
  <c r="H899" i="3"/>
  <c r="I899" i="3" s="1"/>
  <c r="I898" i="3"/>
  <c r="H898" i="3"/>
  <c r="I897" i="3"/>
  <c r="H897" i="3"/>
  <c r="I896" i="3"/>
  <c r="H896" i="3"/>
  <c r="I895" i="3"/>
  <c r="H895" i="3"/>
  <c r="I894" i="3"/>
  <c r="H894" i="3"/>
  <c r="I893" i="3"/>
  <c r="H893" i="3"/>
  <c r="H892" i="3"/>
  <c r="I892" i="3" s="1"/>
  <c r="H891" i="3"/>
  <c r="I891" i="3" s="1"/>
  <c r="H890" i="3"/>
  <c r="I890" i="3" s="1"/>
  <c r="H889" i="3"/>
  <c r="I889" i="3" s="1"/>
  <c r="H888" i="3"/>
  <c r="I888" i="3" s="1"/>
  <c r="I887" i="3"/>
  <c r="H887" i="3"/>
  <c r="I886" i="3"/>
  <c r="H886" i="3"/>
  <c r="I885" i="3"/>
  <c r="H885" i="3"/>
  <c r="H884" i="3"/>
  <c r="I884" i="3" s="1"/>
  <c r="I883" i="3"/>
  <c r="H883" i="3"/>
  <c r="I882" i="3"/>
  <c r="H882" i="3"/>
  <c r="H881" i="3"/>
  <c r="I881" i="3" s="1"/>
  <c r="H880" i="3"/>
  <c r="I880" i="3" s="1"/>
  <c r="H879" i="3"/>
  <c r="I879" i="3" s="1"/>
  <c r="H878" i="3"/>
  <c r="I878" i="3" s="1"/>
  <c r="I877" i="3"/>
  <c r="H877" i="3"/>
  <c r="H876" i="3"/>
  <c r="I876" i="3" s="1"/>
  <c r="I875" i="3"/>
  <c r="H875" i="3"/>
  <c r="I874" i="3"/>
  <c r="H874" i="3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I866" i="3"/>
  <c r="H866" i="3"/>
  <c r="I865" i="3"/>
  <c r="H865" i="3"/>
  <c r="I864" i="3"/>
  <c r="H864" i="3"/>
  <c r="I863" i="3"/>
  <c r="H863" i="3"/>
  <c r="I862" i="3"/>
  <c r="H862" i="3"/>
  <c r="I861" i="3"/>
  <c r="H861" i="3"/>
  <c r="H860" i="3"/>
  <c r="I860" i="3" s="1"/>
  <c r="H859" i="3"/>
  <c r="I859" i="3" s="1"/>
  <c r="H858" i="3"/>
  <c r="I858" i="3" s="1"/>
  <c r="H857" i="3"/>
  <c r="I857" i="3" s="1"/>
  <c r="I856" i="3"/>
  <c r="H856" i="3"/>
  <c r="I855" i="3"/>
  <c r="H855" i="3"/>
  <c r="H854" i="3"/>
  <c r="I854" i="3" s="1"/>
  <c r="I853" i="3"/>
  <c r="H853" i="3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I844" i="3"/>
  <c r="H844" i="3"/>
  <c r="I843" i="3"/>
  <c r="H843" i="3"/>
  <c r="H842" i="3"/>
  <c r="I842" i="3" s="1"/>
  <c r="I841" i="3"/>
  <c r="H841" i="3"/>
  <c r="H840" i="3"/>
  <c r="I840" i="3" s="1"/>
  <c r="H839" i="3"/>
  <c r="I839" i="3" s="1"/>
  <c r="H838" i="3"/>
  <c r="I838" i="3" s="1"/>
  <c r="H837" i="3"/>
  <c r="I837" i="3" s="1"/>
  <c r="H836" i="3"/>
  <c r="I836" i="3" s="1"/>
  <c r="I835" i="3"/>
  <c r="H835" i="3"/>
  <c r="H834" i="3"/>
  <c r="I834" i="3" s="1"/>
  <c r="I833" i="3"/>
  <c r="H833" i="3"/>
  <c r="I832" i="3"/>
  <c r="H832" i="3"/>
  <c r="H831" i="3"/>
  <c r="I831" i="3" s="1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I824" i="3"/>
  <c r="H824" i="3"/>
  <c r="I823" i="3"/>
  <c r="H823" i="3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I815" i="3"/>
  <c r="H815" i="3"/>
  <c r="I814" i="3"/>
  <c r="H814" i="3"/>
  <c r="I813" i="3"/>
  <c r="H813" i="3"/>
  <c r="H812" i="3"/>
  <c r="I812" i="3" s="1"/>
  <c r="I811" i="3"/>
  <c r="H811" i="3"/>
  <c r="H810" i="3"/>
  <c r="I810" i="3" s="1"/>
  <c r="I809" i="3"/>
  <c r="H809" i="3"/>
  <c r="I808" i="3"/>
  <c r="H808" i="3"/>
  <c r="H807" i="3"/>
  <c r="I807" i="3" s="1"/>
  <c r="H806" i="3"/>
  <c r="I806" i="3" s="1"/>
  <c r="I805" i="3"/>
  <c r="H805" i="3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H796" i="3"/>
  <c r="I796" i="3" s="1"/>
  <c r="I795" i="3"/>
  <c r="H795" i="3"/>
  <c r="I794" i="3"/>
  <c r="H794" i="3"/>
  <c r="I793" i="3"/>
  <c r="H793" i="3"/>
  <c r="H792" i="3"/>
  <c r="I792" i="3" s="1"/>
  <c r="H791" i="3"/>
  <c r="I791" i="3" s="1"/>
  <c r="H790" i="3"/>
  <c r="I790" i="3" s="1"/>
  <c r="H789" i="3"/>
  <c r="I789" i="3" s="1"/>
  <c r="I788" i="3"/>
  <c r="H788" i="3"/>
  <c r="I787" i="3"/>
  <c r="H787" i="3"/>
  <c r="H786" i="3"/>
  <c r="I786" i="3" s="1"/>
  <c r="I785" i="3"/>
  <c r="H785" i="3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I775" i="3"/>
  <c r="H775" i="3"/>
  <c r="H774" i="3"/>
  <c r="I774" i="3" s="1"/>
  <c r="I773" i="3"/>
  <c r="H773" i="3"/>
  <c r="I772" i="3"/>
  <c r="H772" i="3"/>
  <c r="H771" i="3"/>
  <c r="I771" i="3" s="1"/>
  <c r="H770" i="3"/>
  <c r="I770" i="3" s="1"/>
  <c r="I769" i="3"/>
  <c r="H769" i="3"/>
  <c r="H768" i="3"/>
  <c r="I768" i="3" s="1"/>
  <c r="I767" i="3"/>
  <c r="H767" i="3"/>
  <c r="I766" i="3"/>
  <c r="H766" i="3"/>
  <c r="I765" i="3"/>
  <c r="H765" i="3"/>
  <c r="H764" i="3"/>
  <c r="I764" i="3" s="1"/>
  <c r="I763" i="3"/>
  <c r="H763" i="3"/>
  <c r="H762" i="3"/>
  <c r="I762" i="3" s="1"/>
  <c r="I761" i="3"/>
  <c r="H761" i="3"/>
  <c r="H760" i="3"/>
  <c r="I760" i="3" s="1"/>
  <c r="H759" i="3"/>
  <c r="I759" i="3" s="1"/>
  <c r="I758" i="3"/>
  <c r="H758" i="3"/>
  <c r="H757" i="3"/>
  <c r="I757" i="3" s="1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I746" i="3"/>
  <c r="H746" i="3"/>
  <c r="I745" i="3"/>
  <c r="H745" i="3"/>
  <c r="H744" i="3"/>
  <c r="I744" i="3" s="1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I737" i="3"/>
  <c r="H737" i="3"/>
  <c r="H736" i="3"/>
  <c r="I736" i="3" s="1"/>
  <c r="I735" i="3"/>
  <c r="H735" i="3"/>
  <c r="H734" i="3"/>
  <c r="I734" i="3" s="1"/>
  <c r="I733" i="3"/>
  <c r="H733" i="3"/>
  <c r="H732" i="3"/>
  <c r="I732" i="3" s="1"/>
  <c r="I731" i="3"/>
  <c r="H731" i="3"/>
  <c r="H730" i="3"/>
  <c r="I730" i="3" s="1"/>
  <c r="I729" i="3"/>
  <c r="H729" i="3"/>
  <c r="I728" i="3"/>
  <c r="H728" i="3"/>
  <c r="I727" i="3"/>
  <c r="H727" i="3"/>
  <c r="H726" i="3"/>
  <c r="I726" i="3" s="1"/>
  <c r="I725" i="3"/>
  <c r="H725" i="3"/>
  <c r="I724" i="3"/>
  <c r="H724" i="3"/>
  <c r="I723" i="3"/>
  <c r="H723" i="3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I715" i="3"/>
  <c r="H715" i="3"/>
  <c r="H714" i="3"/>
  <c r="I714" i="3" s="1"/>
  <c r="I713" i="3"/>
  <c r="H713" i="3"/>
  <c r="H712" i="3"/>
  <c r="I712" i="3" s="1"/>
  <c r="H711" i="3"/>
  <c r="I711" i="3" s="1"/>
  <c r="H710" i="3"/>
  <c r="I710" i="3" s="1"/>
  <c r="H709" i="3"/>
  <c r="I709" i="3" s="1"/>
  <c r="I708" i="3"/>
  <c r="H708" i="3"/>
  <c r="I707" i="3"/>
  <c r="H707" i="3"/>
  <c r="I706" i="3"/>
  <c r="H706" i="3"/>
  <c r="I705" i="3"/>
  <c r="H705" i="3"/>
  <c r="I704" i="3"/>
  <c r="H704" i="3"/>
  <c r="I703" i="3"/>
  <c r="H703" i="3"/>
  <c r="H702" i="3"/>
  <c r="I702" i="3" s="1"/>
  <c r="H701" i="3"/>
  <c r="I701" i="3" s="1"/>
  <c r="H700" i="3"/>
  <c r="I700" i="3" s="1"/>
  <c r="I699" i="3"/>
  <c r="H699" i="3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I675" i="3"/>
  <c r="H675" i="3"/>
  <c r="I674" i="3"/>
  <c r="H674" i="3"/>
  <c r="I673" i="3"/>
  <c r="H673" i="3"/>
  <c r="H672" i="3"/>
  <c r="I672" i="3" s="1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H660" i="3"/>
  <c r="I660" i="3" s="1"/>
  <c r="H659" i="3"/>
  <c r="I659" i="3" s="1"/>
  <c r="H658" i="3"/>
  <c r="I658" i="3" s="1"/>
  <c r="H657" i="3"/>
  <c r="I657" i="3" s="1"/>
  <c r="I656" i="3"/>
  <c r="H656" i="3"/>
  <c r="I655" i="3"/>
  <c r="H655" i="3"/>
  <c r="H654" i="3"/>
  <c r="I654" i="3" s="1"/>
  <c r="I653" i="3"/>
  <c r="H653" i="3"/>
  <c r="H652" i="3"/>
  <c r="I652" i="3" s="1"/>
  <c r="H651" i="3"/>
  <c r="I651" i="3" s="1"/>
  <c r="H650" i="3"/>
  <c r="I650" i="3" s="1"/>
  <c r="H649" i="3"/>
  <c r="I649" i="3" s="1"/>
  <c r="H648" i="3"/>
  <c r="I648" i="3" s="1"/>
  <c r="I647" i="3"/>
  <c r="H647" i="3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I633" i="3"/>
  <c r="H633" i="3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I623" i="3"/>
  <c r="H623" i="3"/>
  <c r="I622" i="3"/>
  <c r="H622" i="3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I615" i="3"/>
  <c r="H615" i="3"/>
  <c r="I614" i="3"/>
  <c r="H614" i="3"/>
  <c r="I613" i="3"/>
  <c r="H613" i="3"/>
  <c r="H612" i="3"/>
  <c r="I612" i="3" s="1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I605" i="3"/>
  <c r="H605" i="3"/>
  <c r="H604" i="3"/>
  <c r="I604" i="3" s="1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I585" i="3"/>
  <c r="H585" i="3"/>
  <c r="H584" i="3"/>
  <c r="I584" i="3" s="1"/>
  <c r="I583" i="3"/>
  <c r="H583" i="3"/>
  <c r="I582" i="3"/>
  <c r="H582" i="3"/>
  <c r="I581" i="3"/>
  <c r="H581" i="3"/>
  <c r="H580" i="3"/>
  <c r="I580" i="3" s="1"/>
  <c r="I579" i="3"/>
  <c r="H579" i="3"/>
  <c r="H578" i="3"/>
  <c r="I578" i="3" s="1"/>
  <c r="H577" i="3"/>
  <c r="I577" i="3" s="1"/>
  <c r="H576" i="3"/>
  <c r="I576" i="3" s="1"/>
  <c r="I575" i="3"/>
  <c r="H575" i="3"/>
  <c r="H574" i="3"/>
  <c r="I574" i="3" s="1"/>
  <c r="I573" i="3"/>
  <c r="H573" i="3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I565" i="3"/>
  <c r="H565" i="3"/>
  <c r="H564" i="3"/>
  <c r="I564" i="3" s="1"/>
  <c r="I563" i="3"/>
  <c r="H563" i="3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H556" i="3"/>
  <c r="I556" i="3" s="1"/>
  <c r="I555" i="3"/>
  <c r="H555" i="3"/>
  <c r="H554" i="3"/>
  <c r="I554" i="3" s="1"/>
  <c r="I553" i="3"/>
  <c r="H553" i="3"/>
  <c r="H552" i="3"/>
  <c r="I552" i="3" s="1"/>
  <c r="I551" i="3"/>
  <c r="H551" i="3"/>
  <c r="H550" i="3"/>
  <c r="I550" i="3" s="1"/>
  <c r="I549" i="3"/>
  <c r="H549" i="3"/>
  <c r="I548" i="3"/>
  <c r="H548" i="3"/>
  <c r="H547" i="3"/>
  <c r="I547" i="3" s="1"/>
  <c r="I546" i="3"/>
  <c r="H546" i="3"/>
  <c r="I545" i="3"/>
  <c r="H545" i="3"/>
  <c r="H544" i="3"/>
  <c r="I544" i="3" s="1"/>
  <c r="I543" i="3"/>
  <c r="H543" i="3"/>
  <c r="H542" i="3"/>
  <c r="I542" i="3" s="1"/>
  <c r="H541" i="3"/>
  <c r="I541" i="3" s="1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H532" i="3"/>
  <c r="I532" i="3" s="1"/>
  <c r="H531" i="3"/>
  <c r="I531" i="3" s="1"/>
  <c r="H530" i="3"/>
  <c r="I530" i="3" s="1"/>
  <c r="I529" i="3"/>
  <c r="H529" i="3"/>
  <c r="I528" i="3"/>
  <c r="H528" i="3"/>
  <c r="I527" i="3"/>
  <c r="H527" i="3"/>
  <c r="H526" i="3"/>
  <c r="I526" i="3" s="1"/>
  <c r="I525" i="3"/>
  <c r="H525" i="3"/>
  <c r="I524" i="3"/>
  <c r="H524" i="3"/>
  <c r="I523" i="3"/>
  <c r="H523" i="3"/>
  <c r="H522" i="3"/>
  <c r="I522" i="3" s="1"/>
  <c r="H521" i="3"/>
  <c r="I521" i="3" s="1"/>
  <c r="H520" i="3"/>
  <c r="I520" i="3" s="1"/>
  <c r="I519" i="3"/>
  <c r="H519" i="3"/>
  <c r="H518" i="3"/>
  <c r="I518" i="3" s="1"/>
  <c r="H517" i="3"/>
  <c r="I517" i="3" s="1"/>
  <c r="I516" i="3"/>
  <c r="H516" i="3"/>
  <c r="I515" i="3"/>
  <c r="H515" i="3"/>
  <c r="H514" i="3"/>
  <c r="I514" i="3" s="1"/>
  <c r="I513" i="3"/>
  <c r="H513" i="3"/>
  <c r="H512" i="3"/>
  <c r="I512" i="3" s="1"/>
  <c r="H511" i="3"/>
  <c r="I511" i="3" s="1"/>
  <c r="H510" i="3"/>
  <c r="I510" i="3" s="1"/>
  <c r="H509" i="3"/>
  <c r="I509" i="3" s="1"/>
  <c r="I508" i="3"/>
  <c r="H508" i="3"/>
  <c r="I507" i="3"/>
  <c r="H507" i="3"/>
  <c r="I506" i="3"/>
  <c r="H506" i="3"/>
  <c r="I505" i="3"/>
  <c r="H505" i="3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H491" i="3"/>
  <c r="I491" i="3" s="1"/>
  <c r="H490" i="3"/>
  <c r="I490" i="3" s="1"/>
  <c r="H489" i="3"/>
  <c r="I489" i="3" s="1"/>
  <c r="H488" i="3"/>
  <c r="I488" i="3" s="1"/>
  <c r="I487" i="3"/>
  <c r="H487" i="3"/>
  <c r="I486" i="3"/>
  <c r="H486" i="3"/>
  <c r="I485" i="3"/>
  <c r="H485" i="3"/>
  <c r="H484" i="3"/>
  <c r="I484" i="3" s="1"/>
  <c r="I483" i="3"/>
  <c r="H483" i="3"/>
  <c r="I482" i="3"/>
  <c r="H482" i="3"/>
  <c r="H481" i="3"/>
  <c r="I481" i="3" s="1"/>
  <c r="H480" i="3"/>
  <c r="I480" i="3" s="1"/>
  <c r="H479" i="3"/>
  <c r="I479" i="3" s="1"/>
  <c r="H478" i="3"/>
  <c r="I478" i="3" s="1"/>
  <c r="I477" i="3"/>
  <c r="H477" i="3"/>
  <c r="H476" i="3"/>
  <c r="I476" i="3" s="1"/>
  <c r="I475" i="3"/>
  <c r="H475" i="3"/>
  <c r="I474" i="3"/>
  <c r="H474" i="3"/>
  <c r="I473" i="3"/>
  <c r="H473" i="3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I466" i="3"/>
  <c r="H466" i="3"/>
  <c r="I465" i="3"/>
  <c r="H465" i="3"/>
  <c r="I464" i="3"/>
  <c r="H464" i="3"/>
  <c r="I463" i="3"/>
  <c r="H463" i="3"/>
  <c r="I462" i="3"/>
  <c r="H462" i="3"/>
  <c r="I461" i="3"/>
  <c r="H461" i="3"/>
  <c r="H460" i="3"/>
  <c r="I460" i="3" s="1"/>
  <c r="H459" i="3"/>
  <c r="I459" i="3" s="1"/>
  <c r="H458" i="3"/>
  <c r="I458" i="3" s="1"/>
  <c r="H457" i="3"/>
  <c r="I457" i="3" s="1"/>
  <c r="I456" i="3"/>
  <c r="H456" i="3"/>
  <c r="I455" i="3"/>
  <c r="H455" i="3"/>
  <c r="H454" i="3"/>
  <c r="I454" i="3" s="1"/>
  <c r="I453" i="3"/>
  <c r="H453" i="3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I444" i="3"/>
  <c r="H444" i="3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H437" i="3"/>
  <c r="I437" i="3" s="1"/>
  <c r="H436" i="3"/>
  <c r="I436" i="3" s="1"/>
  <c r="I435" i="3"/>
  <c r="H435" i="3"/>
  <c r="H434" i="3"/>
  <c r="I434" i="3" s="1"/>
  <c r="I433" i="3"/>
  <c r="H433" i="3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I423" i="3"/>
  <c r="H423" i="3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I415" i="3"/>
  <c r="H415" i="3"/>
  <c r="I414" i="3"/>
  <c r="H414" i="3"/>
  <c r="I413" i="3"/>
  <c r="H413" i="3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I405" i="3"/>
  <c r="H405" i="3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I394" i="3"/>
  <c r="H394" i="3"/>
  <c r="I393" i="3"/>
  <c r="H393" i="3"/>
  <c r="H392" i="3"/>
  <c r="I392" i="3" s="1"/>
  <c r="H391" i="3"/>
  <c r="I391" i="3" s="1"/>
  <c r="H390" i="3"/>
  <c r="I390" i="3" s="1"/>
  <c r="H389" i="3"/>
  <c r="I389" i="3" s="1"/>
  <c r="I388" i="3"/>
  <c r="H388" i="3"/>
  <c r="I387" i="3"/>
  <c r="H387" i="3"/>
  <c r="H386" i="3"/>
  <c r="I386" i="3" s="1"/>
  <c r="I385" i="3"/>
  <c r="H385" i="3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I375" i="3"/>
  <c r="H375" i="3"/>
  <c r="H374" i="3"/>
  <c r="I374" i="3" s="1"/>
  <c r="I373" i="3"/>
  <c r="H373" i="3"/>
  <c r="I372" i="3"/>
  <c r="H372" i="3"/>
  <c r="H371" i="3"/>
  <c r="I371" i="3" s="1"/>
  <c r="H370" i="3"/>
  <c r="I370" i="3" s="1"/>
  <c r="I369" i="3"/>
  <c r="H369" i="3"/>
  <c r="H368" i="3"/>
  <c r="I368" i="3" s="1"/>
  <c r="H367" i="3"/>
  <c r="I367" i="3" s="1"/>
  <c r="H366" i="3"/>
  <c r="I366" i="3" s="1"/>
  <c r="I365" i="3"/>
  <c r="H365" i="3"/>
  <c r="H364" i="3"/>
  <c r="I364" i="3" s="1"/>
  <c r="I363" i="3"/>
  <c r="H363" i="3"/>
  <c r="I362" i="3"/>
  <c r="H362" i="3"/>
  <c r="H361" i="3"/>
  <c r="I361" i="3" s="1"/>
  <c r="H360" i="3"/>
  <c r="I360" i="3" s="1"/>
  <c r="I359" i="3"/>
  <c r="H359" i="3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I343" i="3"/>
  <c r="H343" i="3"/>
  <c r="I342" i="3"/>
  <c r="H342" i="3"/>
  <c r="H341" i="3"/>
  <c r="I341" i="3" s="1"/>
  <c r="H340" i="3"/>
  <c r="I340" i="3" s="1"/>
  <c r="I339" i="3"/>
  <c r="H339" i="3"/>
  <c r="H338" i="3"/>
  <c r="I338" i="3" s="1"/>
  <c r="H337" i="3"/>
  <c r="I337" i="3" s="1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H327" i="3"/>
  <c r="I327" i="3" s="1"/>
  <c r="H326" i="3"/>
  <c r="I326" i="3" s="1"/>
  <c r="I325" i="3"/>
  <c r="H325" i="3"/>
  <c r="H324" i="3"/>
  <c r="I324" i="3" s="1"/>
  <c r="I323" i="3"/>
  <c r="H323" i="3"/>
  <c r="I322" i="3"/>
  <c r="H322" i="3"/>
  <c r="H321" i="3"/>
  <c r="I321" i="3" s="1"/>
  <c r="H320" i="3"/>
  <c r="I320" i="3" s="1"/>
  <c r="I319" i="3"/>
  <c r="H319" i="3"/>
  <c r="H318" i="3"/>
  <c r="I318" i="3" s="1"/>
  <c r="H317" i="3"/>
  <c r="I317" i="3" s="1"/>
  <c r="H316" i="3"/>
  <c r="I316" i="3" s="1"/>
  <c r="I315" i="3"/>
  <c r="H315" i="3"/>
  <c r="H314" i="3"/>
  <c r="I314" i="3" s="1"/>
  <c r="I313" i="3"/>
  <c r="H313" i="3"/>
  <c r="I312" i="3"/>
  <c r="H312" i="3"/>
  <c r="H311" i="3"/>
  <c r="I311" i="3" s="1"/>
  <c r="H310" i="3"/>
  <c r="I310" i="3" s="1"/>
  <c r="I309" i="3"/>
  <c r="H309" i="3"/>
  <c r="H308" i="3"/>
  <c r="I308" i="3" s="1"/>
  <c r="H307" i="3"/>
  <c r="I307" i="3" s="1"/>
  <c r="H306" i="3"/>
  <c r="I306" i="3" s="1"/>
  <c r="I305" i="3"/>
  <c r="H305" i="3"/>
  <c r="H304" i="3"/>
  <c r="I304" i="3" s="1"/>
  <c r="I303" i="3"/>
  <c r="H303" i="3"/>
  <c r="I302" i="3"/>
  <c r="H302" i="3"/>
  <c r="H301" i="3"/>
  <c r="I301" i="3" s="1"/>
  <c r="H300" i="3"/>
  <c r="I300" i="3" s="1"/>
  <c r="I299" i="3"/>
  <c r="H299" i="3"/>
  <c r="H298" i="3"/>
  <c r="I298" i="3" s="1"/>
  <c r="H297" i="3"/>
  <c r="I297" i="3" s="1"/>
  <c r="H296" i="3"/>
  <c r="I296" i="3" s="1"/>
  <c r="I295" i="3"/>
  <c r="H295" i="3"/>
  <c r="H294" i="3"/>
  <c r="I294" i="3" s="1"/>
  <c r="I293" i="3"/>
  <c r="H293" i="3"/>
  <c r="I292" i="3"/>
  <c r="H292" i="3"/>
  <c r="H291" i="3"/>
  <c r="I291" i="3" s="1"/>
  <c r="H290" i="3"/>
  <c r="I290" i="3" s="1"/>
  <c r="I289" i="3"/>
  <c r="H289" i="3"/>
  <c r="H288" i="3"/>
  <c r="I288" i="3" s="1"/>
  <c r="H287" i="3"/>
  <c r="I287" i="3" s="1"/>
  <c r="H286" i="3"/>
  <c r="I286" i="3" s="1"/>
  <c r="I285" i="3"/>
  <c r="H285" i="3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I272" i="3"/>
  <c r="H272" i="3"/>
  <c r="H271" i="3"/>
  <c r="I271" i="3" s="1"/>
  <c r="H270" i="3"/>
  <c r="I270" i="3" s="1"/>
  <c r="I269" i="3"/>
  <c r="H269" i="3"/>
  <c r="H268" i="3"/>
  <c r="I268" i="3" s="1"/>
  <c r="H267" i="3"/>
  <c r="I267" i="3" s="1"/>
  <c r="H266" i="3"/>
  <c r="I266" i="3" s="1"/>
  <c r="I265" i="3"/>
  <c r="H265" i="3"/>
  <c r="H264" i="3"/>
  <c r="I264" i="3" s="1"/>
  <c r="I263" i="3"/>
  <c r="H263" i="3"/>
  <c r="I262" i="3"/>
  <c r="H262" i="3"/>
  <c r="H261" i="3"/>
  <c r="I261" i="3" s="1"/>
  <c r="H260" i="3"/>
  <c r="I260" i="3" s="1"/>
  <c r="I259" i="3"/>
  <c r="H259" i="3"/>
  <c r="H258" i="3"/>
  <c r="I258" i="3" s="1"/>
  <c r="H257" i="3"/>
  <c r="I257" i="3" s="1"/>
  <c r="H256" i="3"/>
  <c r="I256" i="3" s="1"/>
  <c r="I255" i="3"/>
  <c r="H255" i="3"/>
  <c r="H254" i="3"/>
  <c r="I254" i="3" s="1"/>
  <c r="I253" i="3"/>
  <c r="H253" i="3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H240" i="3"/>
  <c r="I240" i="3" s="1"/>
  <c r="I239" i="3"/>
  <c r="H239" i="3"/>
  <c r="H238" i="3"/>
  <c r="I238" i="3" s="1"/>
  <c r="H237" i="3"/>
  <c r="I237" i="3" s="1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H224" i="3"/>
  <c r="I224" i="3" s="1"/>
  <c r="H223" i="3"/>
  <c r="I223" i="3" s="1"/>
  <c r="I222" i="3"/>
  <c r="H222" i="3"/>
  <c r="H221" i="3"/>
  <c r="I221" i="3" s="1"/>
  <c r="H220" i="3"/>
  <c r="I220" i="3" s="1"/>
  <c r="I219" i="3"/>
  <c r="H219" i="3"/>
  <c r="H218" i="3"/>
  <c r="I218" i="3" s="1"/>
  <c r="H217" i="3"/>
  <c r="I217" i="3" s="1"/>
  <c r="H216" i="3"/>
  <c r="I216" i="3" s="1"/>
  <c r="I215" i="3"/>
  <c r="H215" i="3"/>
  <c r="H214" i="3"/>
  <c r="I214" i="3" s="1"/>
  <c r="H213" i="3"/>
  <c r="I213" i="3" s="1"/>
  <c r="I212" i="3"/>
  <c r="H212" i="3"/>
  <c r="H211" i="3"/>
  <c r="I211" i="3" s="1"/>
  <c r="H210" i="3"/>
  <c r="I210" i="3" s="1"/>
  <c r="I209" i="3"/>
  <c r="H209" i="3"/>
  <c r="H208" i="3"/>
  <c r="I208" i="3" s="1"/>
  <c r="H207" i="3"/>
  <c r="I207" i="3" s="1"/>
  <c r="H206" i="3"/>
  <c r="I206" i="3" s="1"/>
  <c r="I205" i="3"/>
  <c r="H205" i="3"/>
  <c r="H204" i="3"/>
  <c r="I204" i="3" s="1"/>
  <c r="H203" i="3"/>
  <c r="I203" i="3" s="1"/>
  <c r="I202" i="3"/>
  <c r="H202" i="3"/>
  <c r="H201" i="3"/>
  <c r="I201" i="3" s="1"/>
  <c r="H200" i="3"/>
  <c r="I200" i="3" s="1"/>
  <c r="I199" i="3"/>
  <c r="H199" i="3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H191" i="3"/>
  <c r="I191" i="3" s="1"/>
  <c r="H190" i="3"/>
  <c r="I190" i="3" s="1"/>
  <c r="I189" i="3"/>
  <c r="H189" i="3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H177" i="3"/>
  <c r="I177" i="3" s="1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H170" i="3"/>
  <c r="I170" i="3" s="1"/>
  <c r="I169" i="3"/>
  <c r="H169" i="3"/>
  <c r="H168" i="3"/>
  <c r="I168" i="3" s="1"/>
  <c r="H167" i="3"/>
  <c r="I167" i="3" s="1"/>
  <c r="H166" i="3"/>
  <c r="I166" i="3" s="1"/>
  <c r="I165" i="3"/>
  <c r="H165" i="3"/>
  <c r="H164" i="3"/>
  <c r="I164" i="3" s="1"/>
  <c r="H163" i="3"/>
  <c r="I163" i="3" s="1"/>
  <c r="I162" i="3"/>
  <c r="H162" i="3"/>
  <c r="H161" i="3"/>
  <c r="I161" i="3" s="1"/>
  <c r="H160" i="3"/>
  <c r="I160" i="3" s="1"/>
  <c r="I159" i="3"/>
  <c r="H159" i="3"/>
  <c r="H158" i="3"/>
  <c r="I158" i="3" s="1"/>
  <c r="H157" i="3"/>
  <c r="I157" i="3" s="1"/>
  <c r="H156" i="3"/>
  <c r="I156" i="3" s="1"/>
  <c r="I155" i="3"/>
  <c r="H155" i="3"/>
  <c r="H154" i="3"/>
  <c r="I154" i="3" s="1"/>
  <c r="I153" i="3"/>
  <c r="H153" i="3"/>
  <c r="I152" i="3"/>
  <c r="H152" i="3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H143" i="3"/>
  <c r="I143" i="3" s="1"/>
  <c r="I142" i="3"/>
  <c r="H142" i="3"/>
  <c r="H141" i="3"/>
  <c r="I141" i="3" s="1"/>
  <c r="H140" i="3"/>
  <c r="I140" i="3" s="1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I132" i="3"/>
  <c r="H132" i="3"/>
  <c r="H131" i="3"/>
  <c r="I131" i="3" s="1"/>
  <c r="H130" i="3"/>
  <c r="I130" i="3" s="1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H123" i="3"/>
  <c r="I123" i="3" s="1"/>
  <c r="I122" i="3"/>
  <c r="H122" i="3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H113" i="3"/>
  <c r="I113" i="3" s="1"/>
  <c r="I112" i="3"/>
  <c r="H112" i="3"/>
  <c r="H111" i="3"/>
  <c r="I111" i="3" s="1"/>
  <c r="H110" i="3"/>
  <c r="I110" i="3" s="1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H103" i="3"/>
  <c r="I103" i="3" s="1"/>
  <c r="I102" i="3"/>
  <c r="H102" i="3"/>
  <c r="H101" i="3"/>
  <c r="I101" i="3" s="1"/>
  <c r="H100" i="3"/>
  <c r="I100" i="3" s="1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H91" i="3"/>
  <c r="I91" i="3" s="1"/>
  <c r="H90" i="3"/>
  <c r="I90" i="3" s="1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H81" i="3"/>
  <c r="I81" i="3" s="1"/>
  <c r="H80" i="3"/>
  <c r="I80" i="3" s="1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I72" i="3"/>
  <c r="H72" i="3"/>
  <c r="H71" i="3"/>
  <c r="I71" i="3" s="1"/>
  <c r="H70" i="3"/>
  <c r="I70" i="3" s="1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I62" i="3"/>
  <c r="H62" i="3"/>
  <c r="H61" i="3"/>
  <c r="I61" i="3" s="1"/>
  <c r="H60" i="3"/>
  <c r="I60" i="3" s="1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H43" i="3"/>
  <c r="I43" i="3" s="1"/>
  <c r="I42" i="3"/>
  <c r="H42" i="3"/>
  <c r="H41" i="3"/>
  <c r="I41" i="3" s="1"/>
  <c r="H40" i="3"/>
  <c r="I40" i="3" s="1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H33" i="3"/>
  <c r="I33" i="3" s="1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H23" i="3"/>
  <c r="I23" i="3" s="1"/>
  <c r="I22" i="3"/>
  <c r="H22" i="3"/>
  <c r="H21" i="3"/>
  <c r="I21" i="3" s="1"/>
  <c r="H20" i="3"/>
  <c r="I20" i="3" s="1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I5" i="3"/>
  <c r="H5" i="3"/>
  <c r="I76" i="65" l="1"/>
  <c r="J70" i="65"/>
  <c r="I60" i="65"/>
  <c r="I18" i="65"/>
  <c r="J58" i="65"/>
  <c r="I46" i="65"/>
  <c r="I14" i="65"/>
  <c r="I72" i="65"/>
  <c r="I2" i="65"/>
  <c r="J2" i="65" s="1"/>
  <c r="I52" i="65"/>
  <c r="I6" i="65"/>
  <c r="I54" i="65"/>
  <c r="I48" i="65"/>
  <c r="I56" i="65"/>
  <c r="I68" i="65"/>
  <c r="I26" i="65"/>
  <c r="I44" i="65"/>
  <c r="J44" i="65" s="1"/>
  <c r="H2" i="57"/>
  <c r="H4" i="57"/>
  <c r="J66" i="65"/>
  <c r="I66" i="65"/>
  <c r="H3" i="57"/>
  <c r="J10" i="65"/>
  <c r="I10" i="65"/>
  <c r="I38" i="65"/>
  <c r="H6" i="57"/>
  <c r="J15" i="65"/>
  <c r="I15" i="65"/>
  <c r="H7" i="57"/>
  <c r="H12" i="57"/>
  <c r="I3" i="65"/>
  <c r="J3" i="65" s="1"/>
  <c r="G3" i="57"/>
  <c r="G7" i="57"/>
  <c r="J11" i="65"/>
  <c r="I11" i="65"/>
  <c r="J34" i="65"/>
  <c r="I78" i="65"/>
  <c r="I62" i="65"/>
  <c r="J62" i="65" s="1"/>
  <c r="G6" i="57"/>
  <c r="I22" i="65"/>
  <c r="J22" i="65" s="1"/>
  <c r="E16" i="57"/>
  <c r="I50" i="65"/>
  <c r="G11" i="57"/>
  <c r="H11" i="57" s="1"/>
  <c r="H10" i="57"/>
  <c r="G4" i="57"/>
  <c r="G12" i="57"/>
  <c r="J7" i="65"/>
  <c r="I7" i="65"/>
  <c r="I30" i="65"/>
  <c r="I74" i="65"/>
  <c r="I64" i="65"/>
  <c r="J64" i="65" s="1"/>
  <c r="I42" i="65"/>
  <c r="J42" i="65" s="1"/>
  <c r="D14" i="57"/>
  <c r="F13" i="57"/>
  <c r="I19" i="65"/>
  <c r="I23" i="65"/>
  <c r="J23" i="65" s="1"/>
  <c r="I27" i="65"/>
  <c r="I31" i="65"/>
  <c r="I35" i="65"/>
  <c r="I39" i="65"/>
  <c r="I43" i="65"/>
  <c r="J43" i="65" s="1"/>
  <c r="I47" i="65"/>
  <c r="I51" i="65"/>
  <c r="I55" i="65"/>
  <c r="I59" i="65"/>
  <c r="I63" i="65"/>
  <c r="J63" i="65" s="1"/>
  <c r="I67" i="65"/>
  <c r="I71" i="65"/>
  <c r="I75" i="65"/>
  <c r="I79" i="65"/>
  <c r="I4" i="65"/>
  <c r="J4" i="65" s="1"/>
  <c r="I8" i="65"/>
  <c r="I12" i="65"/>
  <c r="I16" i="65"/>
  <c r="I20" i="65"/>
  <c r="I24" i="65"/>
  <c r="J24" i="65" s="1"/>
  <c r="I28" i="65"/>
  <c r="I32" i="65"/>
  <c r="I36" i="65"/>
  <c r="I40" i="65"/>
  <c r="I80" i="65"/>
  <c r="I5" i="65"/>
  <c r="J5" i="65" s="1"/>
  <c r="I9" i="65"/>
  <c r="I13" i="65"/>
  <c r="I17" i="65"/>
  <c r="I21" i="65"/>
  <c r="I25" i="65"/>
  <c r="J25" i="65" s="1"/>
  <c r="I29" i="65"/>
  <c r="I33" i="65"/>
  <c r="I37" i="65"/>
  <c r="I41" i="65"/>
  <c r="I45" i="65"/>
  <c r="J45" i="65" s="1"/>
  <c r="I49" i="65"/>
  <c r="I53" i="65"/>
  <c r="I57" i="65"/>
  <c r="I61" i="65"/>
  <c r="I65" i="65"/>
  <c r="J65" i="65" s="1"/>
  <c r="I69" i="65"/>
  <c r="I73" i="65"/>
  <c r="I77" i="65"/>
  <c r="I81" i="65"/>
  <c r="E17" i="57" l="1"/>
  <c r="D15" i="57"/>
  <c r="F14" i="57"/>
  <c r="G13" i="57"/>
  <c r="H13" i="57" s="1"/>
  <c r="F15" i="57" l="1"/>
  <c r="D16" i="57"/>
  <c r="G14" i="57"/>
  <c r="H14" i="57" s="1"/>
  <c r="E18" i="57"/>
  <c r="D17" i="57" l="1"/>
  <c r="F16" i="57"/>
  <c r="H15" i="57"/>
  <c r="G15" i="57"/>
  <c r="E19" i="57"/>
  <c r="F17" i="57" l="1"/>
  <c r="D18" i="57"/>
  <c r="H16" i="57"/>
  <c r="G16" i="57"/>
  <c r="E20" i="57"/>
  <c r="E21" i="57" l="1"/>
  <c r="F18" i="57"/>
  <c r="D19" i="57"/>
  <c r="G17" i="57"/>
  <c r="H17" i="57" s="1"/>
  <c r="D20" i="57" l="1"/>
  <c r="F19" i="57"/>
  <c r="G18" i="57"/>
  <c r="H18" i="57" s="1"/>
  <c r="G19" i="57" l="1"/>
  <c r="H19" i="57" s="1"/>
  <c r="D21" i="57"/>
  <c r="F21" i="57" s="1"/>
  <c r="F20" i="57"/>
  <c r="G20" i="57" l="1"/>
  <c r="H20" i="57" s="1"/>
  <c r="G21" i="57"/>
  <c r="H21" i="57" s="1"/>
</calcChain>
</file>

<file path=xl/sharedStrings.xml><?xml version="1.0" encoding="utf-8"?>
<sst xmlns="http://schemas.openxmlformats.org/spreadsheetml/2006/main" count="13850" uniqueCount="1452">
  <si>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</si>
  <si>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</si>
  <si>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</si>
  <si>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</si>
  <si>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</si>
  <si>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</si>
  <si>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</si>
  <si>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</si>
  <si>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</si>
  <si>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</si>
  <si>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</si>
  <si>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</si>
  <si>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</si>
  <si>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</si>
  <si>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</si>
  <si>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</si>
  <si>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</si>
  <si>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</si>
  <si>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</si>
  <si>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</si>
  <si>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</si>
  <si>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</si>
  <si>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</si>
  <si>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</si>
  <si>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</si>
  <si>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</si>
  <si>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</si>
  <si>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</si>
  <si>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</si>
  <si>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</si>
  <si>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</si>
  <si>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</si>
  <si>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</si>
  <si>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</si>
  <si>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</si>
  <si>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</si>
  <si>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</si>
  <si>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</si>
  <si>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</si>
  <si>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</si>
  <si>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</si>
  <si>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</si>
  <si>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</si>
  <si>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</si>
  <si>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</si>
  <si>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</si>
  <si>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</si>
  <si>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</si>
  <si>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</si>
  <si>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</si>
  <si>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</si>
  <si>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</si>
  <si>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</si>
  <si>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</si>
  <si>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</si>
  <si>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</si>
  <si>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</si>
  <si>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</si>
  <si>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</si>
  <si>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</si>
  <si>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</si>
  <si>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</si>
  <si>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</si>
  <si>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</si>
  <si>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</si>
  <si>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</si>
  <si>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</si>
  <si>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</si>
  <si>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</si>
  <si>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</si>
  <si>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</si>
  <si>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</si>
  <si>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</si>
  <si>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</si>
  <si>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</si>
  <si>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</si>
  <si>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</si>
  <si>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</si>
  <si>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</si>
  <si>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</si>
  <si>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</si>
  <si>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</si>
  <si>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</si>
  <si>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</si>
  <si>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</si>
  <si>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</si>
  <si>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</si>
  <si>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</si>
  <si>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</si>
  <si>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</si>
  <si>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</si>
  <si>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</si>
  <si>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</si>
  <si>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</si>
  <si>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</si>
  <si>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</si>
  <si>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</si>
  <si>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</si>
  <si>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</si>
  <si>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</si>
  <si>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</si>
  <si>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</si>
  <si>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</si>
  <si>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</si>
  <si>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</si>
  <si>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</si>
  <si>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</si>
  <si>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</si>
  <si>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</si>
  <si>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</si>
  <si>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</si>
  <si>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</si>
  <si>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</si>
  <si>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</si>
  <si>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</si>
  <si>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</si>
  <si>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</si>
  <si>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</si>
  <si>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</si>
  <si>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</si>
  <si>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</si>
  <si>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</si>
  <si>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</si>
  <si>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</si>
  <si>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</si>
  <si>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</si>
  <si>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</si>
  <si>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</si>
  <si>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</si>
  <si>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</si>
  <si>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</si>
  <si>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</si>
  <si>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</si>
  <si>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</si>
  <si>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</si>
  <si>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</si>
  <si>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</si>
  <si>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</si>
  <si>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</si>
  <si>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</si>
  <si>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</si>
  <si>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</si>
  <si>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</si>
  <si>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</si>
  <si>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</si>
  <si>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</si>
  <si>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</si>
  <si>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</si>
  <si>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</si>
  <si>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</si>
  <si>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</si>
  <si>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</si>
  <si>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</si>
  <si>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</si>
  <si>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</si>
  <si>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</si>
  <si>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</si>
  <si>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</si>
  <si>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</si>
  <si>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</si>
  <si>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</si>
  <si>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</si>
  <si>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</si>
  <si>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</si>
  <si>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</si>
  <si>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</si>
  <si>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</si>
  <si>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</si>
  <si>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</si>
  <si>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</si>
  <si>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</si>
  <si>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</si>
  <si>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</si>
  <si>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</si>
  <si>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</si>
  <si>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</si>
  <si>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</si>
  <si>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</si>
  <si>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</si>
  <si>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</si>
  <si>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</si>
  <si>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</si>
  <si>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</si>
  <si>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</si>
  <si>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</si>
  <si>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</si>
  <si>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</si>
  <si>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</si>
  <si>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</si>
  <si>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</si>
  <si>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</si>
  <si>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</si>
  <si>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</si>
  <si>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</si>
  <si>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</si>
  <si>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</si>
  <si>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</si>
  <si>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</si>
  <si>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</si>
  <si>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</si>
  <si>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</si>
  <si>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</si>
  <si>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</si>
  <si>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</si>
  <si>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</si>
  <si>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</si>
  <si>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</si>
  <si>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</si>
  <si>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</si>
  <si>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</si>
  <si>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</si>
  <si>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</si>
  <si>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</si>
  <si>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</si>
  <si>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</si>
  <si>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</si>
  <si>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</si>
  <si>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</si>
  <si>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</si>
  <si>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</si>
  <si>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</si>
  <si>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</si>
  <si>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</si>
  <si>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</si>
  <si>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</si>
  <si>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</si>
  <si>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</si>
  <si>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</si>
  <si>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</si>
  <si>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</si>
  <si>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</si>
  <si>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</si>
  <si>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</si>
  <si>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</si>
  <si>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</si>
  <si>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</si>
  <si>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</si>
  <si>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</si>
  <si>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</si>
  <si>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</si>
  <si>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</si>
  <si>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</si>
  <si>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</si>
  <si>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</si>
  <si>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</si>
  <si>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</si>
  <si>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</si>
  <si>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</si>
  <si>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</si>
  <si>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</si>
  <si>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</si>
  <si>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</si>
  <si>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</si>
  <si>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</si>
  <si>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</si>
  <si>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</si>
  <si>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</si>
  <si>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</si>
  <si>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</si>
  <si>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</si>
  <si>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</si>
  <si>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</si>
  <si>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</si>
  <si>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</si>
  <si>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</si>
  <si>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</si>
  <si>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</si>
  <si>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</si>
  <si>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</si>
  <si>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</si>
  <si>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</si>
  <si>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</si>
  <si>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</si>
  <si>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</si>
  <si>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</si>
  <si>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</si>
  <si>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</si>
  <si>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</si>
  <si>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</si>
  <si>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</si>
  <si>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</si>
  <si>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</si>
  <si>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</si>
  <si>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</si>
  <si>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</si>
  <si>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</si>
  <si>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</si>
  <si>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</si>
  <si>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</si>
  <si>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</si>
  <si>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</si>
  <si>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</si>
  <si>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</si>
  <si>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</si>
  <si>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</si>
  <si>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</si>
  <si>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</si>
  <si>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</si>
  <si>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</si>
  <si>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</si>
  <si>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</si>
  <si>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</si>
  <si>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</si>
  <si>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</si>
  <si>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</si>
  <si>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</si>
  <si>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</si>
  <si>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</si>
  <si>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</si>
  <si>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</si>
  <si>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</si>
  <si>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</si>
  <si>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</si>
  <si>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</si>
  <si>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</si>
  <si>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</si>
  <si>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</si>
  <si>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</si>
  <si>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</si>
  <si>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</si>
  <si>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</si>
  <si>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</si>
  <si>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</si>
  <si>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</si>
  <si>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</si>
  <si>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</si>
  <si>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</si>
  <si>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</si>
  <si>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</si>
  <si>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</si>
  <si>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</si>
  <si>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</si>
  <si>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</si>
  <si>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</si>
  <si>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</si>
  <si>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</si>
  <si>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</si>
  <si>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</si>
  <si>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</si>
  <si>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</si>
  <si>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</si>
  <si>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</si>
  <si>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</si>
  <si>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</si>
  <si>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</si>
  <si>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</si>
  <si>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</si>
  <si>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</si>
  <si>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</si>
  <si>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</si>
  <si>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</si>
  <si>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</si>
  <si>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</si>
  <si>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</si>
  <si>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</si>
  <si>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</si>
  <si>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</si>
  <si>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</si>
  <si>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</si>
  <si>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</si>
  <si>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</si>
  <si>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</si>
  <si>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</si>
  <si>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</si>
  <si>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</si>
  <si>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</si>
  <si>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</si>
  <si>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</si>
  <si>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</si>
  <si>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</si>
  <si>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</si>
  <si>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</si>
  <si>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</si>
  <si>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</si>
  <si>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</si>
  <si>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</si>
  <si>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</si>
  <si>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</si>
  <si>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</si>
  <si>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</si>
  <si>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</si>
  <si>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</si>
  <si>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</si>
  <si>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</si>
  <si>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</si>
  <si>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</si>
  <si>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</si>
  <si>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</si>
  <si>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</si>
  <si>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</si>
  <si>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</si>
  <si>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</si>
  <si>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</si>
  <si>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</si>
  <si>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</si>
  <si>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</si>
  <si>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</si>
  <si>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</si>
  <si>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</si>
  <si>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</si>
  <si>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</si>
  <si>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</si>
  <si>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</si>
  <si>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</si>
  <si>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</si>
  <si>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</si>
  <si>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</si>
  <si>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</si>
  <si>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</si>
  <si>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</si>
  <si>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</si>
  <si>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</si>
  <si>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</si>
  <si>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</si>
  <si>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</si>
  <si>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</si>
  <si>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</si>
  <si>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</si>
  <si>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</si>
  <si>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</si>
  <si>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</si>
  <si>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</si>
  <si>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</si>
  <si>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</si>
  <si>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</si>
  <si>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</si>
  <si>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</si>
  <si>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</si>
  <si>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</si>
  <si>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</si>
  <si>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</si>
  <si>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</si>
  <si>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</si>
  <si>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</si>
  <si>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</si>
  <si>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</si>
  <si>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</si>
  <si>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</si>
  <si>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</si>
  <si>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</si>
  <si>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</si>
  <si>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</si>
  <si>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</si>
  <si>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</si>
  <si>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</si>
  <si>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</si>
  <si>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</si>
  <si>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</si>
  <si>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</si>
  <si>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</si>
  <si>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</si>
  <si>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</si>
  <si>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</si>
  <si>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</si>
  <si>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</si>
  <si>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</si>
  <si>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</si>
  <si>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</si>
  <si>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</si>
  <si>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</si>
  <si>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</si>
  <si>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</si>
  <si>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</si>
  <si>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</si>
  <si>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</si>
  <si>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</si>
  <si>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</si>
  <si>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</si>
  <si>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</si>
  <si>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</si>
  <si>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</si>
  <si>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</si>
  <si>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</si>
  <si>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</si>
  <si>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</si>
  <si>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</si>
  <si>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</si>
  <si>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</si>
  <si>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</si>
  <si>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</si>
  <si>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</si>
  <si>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</si>
  <si>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</si>
  <si>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</si>
  <si>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</si>
  <si>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</si>
  <si>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</si>
  <si>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</si>
  <si>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</si>
  <si>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</si>
  <si>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</si>
  <si>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</si>
  <si>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</si>
  <si>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</si>
  <si>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</si>
  <si>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</si>
  <si>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</si>
  <si>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</si>
  <si>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</si>
  <si>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</si>
  <si>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</si>
  <si>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</si>
  <si>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</si>
  <si>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</si>
  <si>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</si>
  <si>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</si>
  <si>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</si>
  <si>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</si>
  <si>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</si>
  <si>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</si>
  <si>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</si>
  <si>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</si>
  <si>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</si>
  <si>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</si>
  <si>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</si>
  <si>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</si>
  <si>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</si>
  <si>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</si>
  <si>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</si>
  <si>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</si>
  <si>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</si>
  <si>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</si>
  <si>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</si>
  <si>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</si>
  <si>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</si>
  <si>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</si>
  <si>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</si>
  <si>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</si>
  <si>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</si>
  <si>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</si>
  <si>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</si>
  <si>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</si>
  <si>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</si>
  <si>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</si>
  <si>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</si>
  <si>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</si>
  <si>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</si>
  <si>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</si>
  <si>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</si>
  <si>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</si>
  <si>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</si>
  <si>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</si>
  <si>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</si>
  <si>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</si>
  <si>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</si>
  <si>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</si>
  <si>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</si>
  <si>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</si>
  <si>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</si>
  <si>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</si>
  <si>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</si>
  <si>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</si>
  <si>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</si>
  <si>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</si>
  <si>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</si>
  <si>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</si>
  <si>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</si>
  <si>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</si>
  <si>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</si>
  <si>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</si>
  <si>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</si>
  <si>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</si>
  <si>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</si>
  <si>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</si>
  <si>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</si>
  <si>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</si>
  <si>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</si>
  <si>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</si>
  <si>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</si>
  <si>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</si>
  <si>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</si>
  <si>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</si>
  <si>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</si>
  <si>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</si>
  <si>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</si>
  <si>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</si>
  <si>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</si>
  <si>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</si>
  <si>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</si>
  <si>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</si>
  <si>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</si>
  <si>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</si>
  <si>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</si>
  <si>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</si>
  <si>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</si>
  <si>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</si>
  <si>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</si>
  <si>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</si>
  <si>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</si>
  <si>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</si>
  <si>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</si>
  <si>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</si>
  <si>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</si>
  <si>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</si>
  <si>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</si>
  <si>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</si>
  <si>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</si>
  <si>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</si>
  <si>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</si>
  <si>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</si>
  <si>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</si>
  <si>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</si>
  <si>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</si>
  <si>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</si>
  <si>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</si>
  <si>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</si>
  <si>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</si>
  <si>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</si>
  <si>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</si>
  <si>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</si>
  <si>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</si>
  <si>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</si>
  <si>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</si>
  <si>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</si>
  <si>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</si>
  <si>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</si>
  <si>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</si>
  <si>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</si>
  <si>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</si>
  <si>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</si>
  <si>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</si>
  <si>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</si>
  <si>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</si>
  <si>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</si>
  <si>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</si>
  <si>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</si>
  <si>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</si>
  <si>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</si>
  <si>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</si>
  <si>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</si>
  <si>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</si>
  <si>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</si>
  <si>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</si>
  <si>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</si>
  <si>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</si>
  <si>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</si>
  <si>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</si>
  <si>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</si>
  <si>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</si>
  <si>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</si>
  <si>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</si>
  <si>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</si>
  <si>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</si>
  <si>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</si>
  <si>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</si>
  <si>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</si>
  <si>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</si>
  <si>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</si>
  <si>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</si>
  <si>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</si>
  <si>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</si>
  <si>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</si>
  <si>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</si>
  <si>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</si>
  <si>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</si>
  <si>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</si>
  <si>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</si>
  <si>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</si>
  <si>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</si>
  <si>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</si>
  <si>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</si>
  <si>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</si>
  <si>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</si>
  <si>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</si>
  <si>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</si>
  <si>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</si>
  <si>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</si>
  <si>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</si>
  <si>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</si>
  <si>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</si>
  <si>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</si>
  <si>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</si>
  <si>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</si>
  <si>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</si>
  <si>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</si>
  <si>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</si>
  <si>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</si>
  <si>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</si>
  <si>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</si>
  <si>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</si>
  <si>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</si>
  <si>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</si>
  <si>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</si>
  <si>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</si>
  <si>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</si>
  <si>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</si>
  <si>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</si>
  <si>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</si>
  <si>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</si>
  <si>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</si>
  <si>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</si>
  <si>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</si>
  <si>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</si>
  <si>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</si>
  <si>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</si>
  <si>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</si>
  <si>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</si>
  <si>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</si>
  <si>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</si>
  <si>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</si>
  <si>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</si>
  <si>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</si>
  <si>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</si>
  <si>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</si>
  <si>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</si>
  <si>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</si>
  <si>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</si>
  <si>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</si>
  <si>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</si>
  <si>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</si>
  <si>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</si>
  <si>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</si>
  <si>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</si>
  <si>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</si>
  <si>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</si>
  <si>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</si>
  <si>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</si>
  <si>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</si>
  <si>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</si>
  <si>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</si>
  <si>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</si>
  <si>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</si>
  <si>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</si>
  <si>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</si>
  <si>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</si>
  <si>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</si>
  <si>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</si>
  <si>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</si>
  <si>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</si>
  <si>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</si>
  <si>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</si>
  <si>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</si>
  <si>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</si>
  <si>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</si>
  <si>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</si>
  <si>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</si>
  <si>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</si>
  <si>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</si>
  <si>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</si>
  <si>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</si>
  <si>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</si>
  <si>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</si>
  <si>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</si>
  <si>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</si>
  <si>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</si>
  <si>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</si>
  <si>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</si>
  <si>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</si>
  <si>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</si>
  <si>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</si>
  <si>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</si>
  <si>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</si>
  <si>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</si>
  <si>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</si>
  <si>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</si>
  <si>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</si>
  <si>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</si>
  <si>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</si>
  <si>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</si>
  <si>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</si>
  <si>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</si>
  <si>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</si>
  <si>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</si>
  <si>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</si>
  <si>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</si>
  <si>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</si>
  <si>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</si>
  <si>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</si>
  <si>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</si>
  <si>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</si>
  <si>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</si>
  <si>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</si>
  <si>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</si>
  <si>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</si>
  <si>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</si>
  <si>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</si>
  <si>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</si>
  <si>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</si>
  <si>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</si>
  <si>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</si>
  <si>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</si>
  <si>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</si>
  <si>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</si>
  <si>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</si>
  <si>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</si>
  <si>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</si>
  <si>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</si>
  <si>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</si>
  <si>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</si>
  <si>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</si>
  <si>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</si>
  <si>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</si>
  <si>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</si>
  <si>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</si>
  <si>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</si>
  <si>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</si>
  <si>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</si>
  <si>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</si>
  <si>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3%</t>
  </si>
  <si>
    <t>Crecimiento anual del NI total de Posgrado antes de repartir entre modalidades.</t>
  </si>
  <si>
    <t>Default v114: 3% anual desde la base de cada periodo 2029.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</si>
  <si>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</si>
  <si>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</si>
  <si>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</si>
  <si>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</si>
  <si>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</si>
  <si>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</si>
  <si>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</si>
  <si>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</si>
  <si>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</si>
  <si>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</si>
  <si>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</si>
  <si>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</si>
  <si>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</si>
  <si>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</si>
  <si>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anio_meta_pos_ejec</t>
  </si>
  <si>
    <t>Año en que se quiere llegar a la meta MT.</t>
  </si>
  <si>
    <t>Editable en el simulador.</t>
  </si>
  <si>
    <t>meta_mt_total</t>
  </si>
  <si>
    <t>Meta MT total Posgrado + Ejecutivo.</t>
  </si>
  <si>
    <t>Default 43,000.</t>
  </si>
  <si>
    <t>modo_crecimiento_pos_ejec</t>
  </si>
  <si>
    <t>Resolver meta, Manual por bloques</t>
  </si>
  <si>
    <t>Define si el simulador calcula el crecimiento requerido o usa bloques manuales por nivel.</t>
  </si>
  <si>
    <t>Default v125: Resolver meta.</t>
  </si>
  <si>
    <t>anio_pasar_mt_sincrono_a_asincrono</t>
  </si>
  <si>
    <t>Nunca</t>
  </si>
  <si>
    <t>Nunca, 2027-2045</t>
  </si>
  <si>
    <t>Año en que se reclasifica la MT Síncrona viva como Asíncrona.</t>
  </si>
  <si>
    <t>No cambia la MT total; cambia la modalidad.</t>
  </si>
  <si>
    <t>pmp_mt_pos_ejec</t>
  </si>
  <si>
    <t>Hoja editable</t>
  </si>
  <si>
    <t>Insumo</t>
  </si>
  <si>
    <t>Captura MT PMP oficial hasta 2029.</t>
  </si>
  <si>
    <t>El simulador usa esa MT hasta 2029; desde Enero 2030 proyecta con crecimientos.</t>
  </si>
  <si>
    <t>inicio_crecimiento_proyectado</t>
  </si>
  <si>
    <t>Enero 2030</t>
  </si>
  <si>
    <t>Regla</t>
  </si>
  <si>
    <t>Inicio de crecimiento manual o resuelto.</t>
  </si>
  <si>
    <t>Las capturas PMP cubren hasta 2029.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</si>
  <si>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</si>
  <si>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</si>
  <si>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</si>
  <si>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</si>
  <si>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</si>
  <si>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</si>
  <si>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</si>
  <si>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</si>
  <si>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</si>
  <si>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</si>
  <si>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</si>
  <si>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</si>
  <si>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</si>
  <si>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</si>
  <si>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</si>
  <si>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</si>
  <si>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</si>
  <si>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</si>
  <si>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</si>
  <si>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</si>
  <si>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</si>
  <si>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</si>
  <si>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</si>
  <si>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</si>
  <si>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</si>
  <si>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</si>
  <si>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</si>
  <si>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</si>
  <si>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</si>
  <si>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</si>
  <si>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</si>
  <si>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</si>
  <si>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</si>
  <si>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</si>
  <si>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</si>
  <si>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</si>
  <si>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</si>
  <si>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</si>
  <si>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</si>
  <si>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</si>
  <si>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</si>
  <si>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</si>
  <si>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</si>
  <si>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</si>
  <si>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</si>
  <si>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</si>
  <si>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</si>
  <si>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</si>
  <si>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</si>
  <si>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</si>
  <si>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</si>
  <si>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</si>
  <si>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</si>
  <si>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</si>
  <si>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</si>
  <si>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</si>
  <si>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</si>
  <si>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</si>
  <si>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</si>
  <si>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</si>
  <si>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</si>
  <si>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</si>
  <si>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</si>
  <si>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</si>
  <si>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</si>
  <si>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</si>
  <si>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</si>
  <si>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</si>
  <si>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</si>
  <si>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</si>
  <si>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</si>
  <si>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</si>
  <si>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</si>
  <si>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</si>
  <si>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</si>
  <si>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</si>
  <si>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</si>
  <si>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</si>
  <si>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</si>
  <si>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</si>
  <si>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</si>
  <si>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</si>
  <si>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</si>
  <si>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</si>
  <si>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</si>
  <si>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</si>
  <si>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tipo_programa</t>
  </si>
  <si>
    <t>Bimestral</t>
  </si>
  <si>
    <t>Ejemplo: reparte aquí los ~6100 RI tetra por bimestre académico.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</si>
  <si>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</si>
  <si>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</si>
  <si>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</si>
  <si>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</si>
  <si>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</si>
  <si>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</si>
  <si>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</si>
  <si>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</si>
  <si>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</si>
  <si>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</si>
  <si>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</si>
  <si>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</si>
  <si>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</si>
  <si>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</si>
  <si>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</si>
  <si>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</si>
  <si>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</si>
  <si>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</si>
  <si>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</si>
  <si>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</si>
  <si>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</si>
  <si>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</si>
  <si>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</si>
  <si>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</si>
  <si>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</si>
  <si>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</si>
  <si>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</si>
  <si>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</si>
  <si>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</si>
  <si>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</si>
  <si>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</si>
  <si>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</si>
  <si>
    <t>Corrección NI 2029+</t>
  </si>
  <si>
    <t>Desde 2029, cada periodo usa el total original del periodo y lo reparte entre Síncrono/Asíncrono.</t>
  </si>
  <si>
    <t>Crecimiento por periodo</t>
  </si>
  <si>
    <t>Agosto 2030 se calcula desde Agosto 2029 × 1.03. No se recalcula con el porcentaje anual de distribución.</t>
  </si>
  <si>
    <t>Octubre 2029</t>
  </si>
  <si>
    <t>Si Octubre quedó menor por faltante de asíncrono/base, toma al menos el total de Agosto del mismo nivel.</t>
  </si>
  <si>
    <t>Default crecimiento</t>
  </si>
  <si>
    <t>Los controles de crecimiento anual NI total Posgrado y Ejecutivo quedan en 3%.</t>
  </si>
  <si>
    <t>MT síncrona</t>
  </si>
  <si>
    <t>0% de NI Síncrono no borra los RI vivos ni la MT tetra histórica.</t>
  </si>
  <si>
    <t>RI Síncrono no debe caer a cero</t>
  </si>
  <si>
    <t>0% o 50% de NI Síncrono solo afecta los nuevos ingresos futuros; los RI vivos siguen avanzando.</t>
  </si>
  <si>
    <t>Por qué puede verse igual</t>
  </si>
  <si>
    <t>Si el reparto es 50/50 y las tasas Síncrono/Asíncrono son iguales, el RI generado desde 2029 puede ser muy parecido en ambas modalidades.</t>
  </si>
  <si>
    <t>Qué debe ser mayor</t>
  </si>
  <si>
    <t>El RI Síncrono total debería incluir además el arrastre de cohortes pre-reparto, especialmente Ejecutivo desde 2025 y Posgrado desde 2026.</t>
  </si>
  <si>
    <t>Nuevas columnas</t>
  </si>
  <si>
    <t>Las tablas separan RI arrastre pre-reparto y RI generación reparto+ para validar la dinámica.</t>
  </si>
  <si>
    <t>MT tetra histórica</t>
  </si>
  <si>
    <t>Sigue separada de RI bimestral y aporta a MT Síncrona.</t>
  </si>
  <si>
    <t>Tablas separadas</t>
  </si>
  <si>
    <t>Se agregan tablas separadas para Síncrono y Asíncrono periodo por periodo.</t>
  </si>
  <si>
    <t>Dinámica Síncrono</t>
  </si>
  <si>
    <t>Síncrono usa stock_ri_periodo_pos_ejec, NI históricos, NI futuro repartido y tasas propias.</t>
  </si>
  <si>
    <t>Dinámica Asíncrono</t>
  </si>
  <si>
    <t>Asíncrono usa NI asíncronos históricos, NI futuro repartido y tasas propias.</t>
  </si>
  <si>
    <t>Estado B1..B20</t>
  </si>
  <si>
    <t>Se agrega vista por bimestre para revisar cómo avanza cada cohorte. B1 = NI del periodo; B2+ = RI.</t>
  </si>
  <si>
    <t>Sin arrastre visible</t>
  </si>
  <si>
    <t>Se eliminan columnas de arrastre de la vista principal; la diferencia se ve directamente por modalidad y bimestre.</t>
  </si>
  <si>
    <t>Reales</t>
  </si>
  <si>
    <t>mt_periodo_real_pos_ejec queda como validación; no sobrescribe la dinámica de cohortes.</t>
  </si>
  <si>
    <t>Meta 2029</t>
  </si>
  <si>
    <t>Se agregó meta de MT Agosto 2029 = 30,000. Si la base queda abajo, se agrega ajuste de arranque en Asíncrono Agosto 2029.</t>
  </si>
  <si>
    <t>El modo default resuelve el crecimiento anual requerido del NI total para llegar a MT Agosto 2036 = 43,000.</t>
  </si>
  <si>
    <t>Un solo crecimiento</t>
  </si>
  <si>
    <t>El crecimiento calculado aplica al NI total de ambos niveles y modalidades; luego se reparte según el % Síncrono/Asíncrono.</t>
  </si>
  <si>
    <t>50/50</t>
  </si>
  <si>
    <t>Si se captura 50% Síncrono, cada periodo proyectado se parte 50/50 entre modalidades.</t>
  </si>
  <si>
    <t>Sigue teniendo NI si el porcentaje Síncrono es mayor que 0, y sus RI avanzan con sus tasas propias.</t>
  </si>
  <si>
    <t>Recibe el complemento del reparto y genera sus propios RI con sus tasas.</t>
  </si>
  <si>
    <t>La sección Lectura 2036 muestra crecimiento requerido, ajuste 2029 y gaps.</t>
  </si>
  <si>
    <t>Corrección de pestaña</t>
  </si>
  <si>
    <t>La v118 se reconstruyó desde la v116 estable para evitar que Posgrado / Ejecutivo quede en blanco.</t>
  </si>
  <si>
    <t>Mantiene meta Agosto 2029 = 30,000 y muestra ajuste en Asíncrono si la base queda debajo.</t>
  </si>
  <si>
    <t>Puede resolver el crecimiento anual requerido para llegar a 43,000 en Agosto 2036.</t>
  </si>
  <si>
    <t>Se conservan tablas Síncrono y Asíncrono periodo por periodo, más estado B1..B20.</t>
  </si>
  <si>
    <t>Seguridad de render</t>
  </si>
  <si>
    <t>Si hubiera un error, la pestaña mostrará el mensaje técnico en vez de quedar vacía.</t>
  </si>
  <si>
    <t>Velocidad</t>
  </si>
  <si>
    <t>Se quitó la tabla de agosto año a año y B1..B20 queda desactivado por default.</t>
  </si>
  <si>
    <t>Caché</t>
  </si>
  <si>
    <t>Se corrigió el caché para que los campos calculados no obliguen a recalcular todo varias veces.</t>
  </si>
  <si>
    <t>Solver</t>
  </si>
  <si>
    <t>Se redujeron iteraciones del crecimiento requerido para acelerar el render.</t>
  </si>
  <si>
    <t>Comparativo</t>
  </si>
  <si>
    <t>Se agregó una tabla con referencia: 100% Síncrono, crecimiento anual 3%, sin ajuste/meta.</t>
  </si>
  <si>
    <t>Si Síncrono y Asíncrono tienen el mismo NI repartido y las mismas tasas, sus RI nuevos pueden converger.</t>
  </si>
  <si>
    <t>Diferencia esperada</t>
  </si>
  <si>
    <t>Síncrono debe diferir por el stock vivo previo y por la MT tetra histórica mientras sigan existiendo.</t>
  </si>
  <si>
    <t>B1..B20</t>
  </si>
  <si>
    <t>Activa la vista solo cuando quieras validar el avance de cohortes por bimestre.</t>
  </si>
  <si>
    <t>Vista ligera</t>
  </si>
  <si>
    <t>Se quitaron las tablas inferiores de detalle anual, detalle periodo, B1..B20 y validación de insumos.</t>
  </si>
  <si>
    <t>Tablas conservadas</t>
  </si>
  <si>
    <t>Se conservan Lectura 2036, Escenario 100% Síncrono, Comparativo, Síncrono periodo por periodo, Asíncrono periodo por periodo y Tasas.</t>
  </si>
  <si>
    <t>Escenario sin repartir</t>
  </si>
  <si>
    <t>Calcula 100% Síncrono con crecimiento configurable y resta su MT 2036 contra 43,000.</t>
  </si>
  <si>
    <t>Aporte Asíncrono requerido</t>
  </si>
  <si>
    <t>Es 43,000 menos la MT 2036 del escenario 100% Síncrono.</t>
  </si>
  <si>
    <t>Si Síncrono y Asíncrono reciben el mismo NI y usan las mismas tasas, pueden converger a montos parecidos.</t>
  </si>
  <si>
    <t>Diferencia contra 100% Síncrono</t>
  </si>
  <si>
    <t>El comparativo muestra 2029 y 2036 del escenario actual vs el escenario sin repartir.</t>
  </si>
  <si>
    <t>Parámetro nuevo</t>
  </si>
  <si>
    <t>crecimiento_escenario_100_sincrono, default 3%.</t>
  </si>
  <si>
    <t>Desglose 100% Síncrono</t>
  </si>
  <si>
    <t>Se agregó tabla Agosto año a año para el escenario sin repartir NI.</t>
  </si>
  <si>
    <t>Periodo por periodo 100% Síncrono</t>
  </si>
  <si>
    <t>Se agregó tabla completa por periodo para ver NI, RI y MT de Posgrado y Ejecutivo.</t>
  </si>
  <si>
    <t>Cómo llegar a 31,700</t>
  </si>
  <si>
    <t>La tabla de Agosto muestra la trayectoria hasta Agosto 2036 y el total resultante.</t>
  </si>
  <si>
    <t>En Agosto 2036 se muestra 43,000 menos la MT del escenario 100% Síncrono.</t>
  </si>
  <si>
    <t>Escenario con reparto</t>
  </si>
  <si>
    <t>Se conservan las tablas separadas Síncrono y Asíncrono del escenario con reparto.</t>
  </si>
  <si>
    <t>Exportación CSV</t>
  </si>
  <si>
    <t>El CSV incluye el escenario 100% Síncrono y el escenario con reparto.</t>
  </si>
  <si>
    <t>Reparto anual</t>
  </si>
  <si>
    <t>Se agregó control año por año de % NI Síncrono para Posgrado y Ejecutivo desde 2029 hasta 2045.</t>
  </si>
  <si>
    <t>Complemento Asíncrono</t>
  </si>
  <si>
    <t>Asíncrono se calcula como 100% menos el % Síncrono de cada año.</t>
  </si>
  <si>
    <t>Aplicación</t>
  </si>
  <si>
    <t>El porcentaje de cada año académico afecta todos sus periodos desde Agosto.</t>
  </si>
  <si>
    <t>MT Síncrona viva</t>
  </si>
  <si>
    <t>Si en 2036 pones 0% Síncrono, no entran nuevos NI Síncronos, pero siguen RI vivos de cohortes anteriores y MT tetra histórica.</t>
  </si>
  <si>
    <t>Escenario 100% Síncrono</t>
  </si>
  <si>
    <t>Se mantiene el desglose de escenario sin repartir para comparar contra el escenario con reparto anual.</t>
  </si>
  <si>
    <t>Exportación</t>
  </si>
  <si>
    <t>El CSV incluye una sección reparto_anual_ni con los porcentajes usados por año.</t>
  </si>
  <si>
    <t>Sin meta 2029</t>
  </si>
  <si>
    <t>Se quitó la meta 30,000 de 2029 y el ajuste automático asociado.</t>
  </si>
  <si>
    <t>Sin escenario 100% Síncrono</t>
  </si>
  <si>
    <t>Se quitó el escenario alterno 100% Síncrono y sus tablas.</t>
  </si>
  <si>
    <t>Distribución 2027-2035</t>
  </si>
  <si>
    <t>La distribución NI por modalidad solo se captura de 2027 a 2035; default 100% Síncrono.</t>
  </si>
  <si>
    <t>Crecimiento por nivel</t>
  </si>
  <si>
    <t>Los crecimientos manuales están en bloques Posgrado y Ejecutivo.</t>
  </si>
  <si>
    <t>El modo Resolver meta calcula el crecimiento anual requerido para llegar a la meta en el año elegido.</t>
  </si>
  <si>
    <t>Año meta</t>
  </si>
  <si>
    <t>Se agregó control para elegir el año de la meta MT.</t>
  </si>
  <si>
    <t>Transferencia S→A</t>
  </si>
  <si>
    <t>Se agregó control para reclasificar MT Síncrona viva como Asíncrona desde un año; la MT total no cambia.</t>
  </si>
  <si>
    <t>Tablas por nivel</t>
  </si>
  <si>
    <t>Las tablas inferiores ahora son Posgrado y Ejecutivo, con columnas Síncrono/Asíncrono NI, RI y MT.</t>
  </si>
  <si>
    <t>Tasas</t>
  </si>
  <si>
    <t>Las tasas se muestran en dos tablas lado a lado: Posgrado y Ejecutivo.</t>
  </si>
  <si>
    <t>anio_inicio</t>
  </si>
  <si>
    <t>anio_fin</t>
  </si>
  <si>
    <t>bloque</t>
  </si>
  <si>
    <t>crecimiento_anual</t>
  </si>
  <si>
    <t>2030–2034</t>
  </si>
  <si>
    <t>2035–2040</t>
  </si>
  <si>
    <t>2041–2043</t>
  </si>
  <si>
    <t>2044–2045</t>
  </si>
  <si>
    <t>mt_tetra_inicial</t>
  </si>
  <si>
    <t>egresos_anuales_tetra</t>
  </si>
  <si>
    <t>periodos_salida</t>
  </si>
  <si>
    <t>Agosto, Enero, Junio</t>
  </si>
  <si>
    <t>Suma a MT Síncrona mientras exista; no es RI bimestral.</t>
  </si>
  <si>
    <t>Parámetros limpios</t>
  </si>
  <si>
    <t>Se quitó meta Agosto 2029, % NI Síncrono default y escenario 100% Síncrono de la UI.</t>
  </si>
  <si>
    <t>Meta</t>
  </si>
  <si>
    <t>Ahora se captura MT objetivo y año objetivo.</t>
  </si>
  <si>
    <t>Se puede elegir el año en que la MT Síncrona viva pasa a Asíncrona. La MT total no cambia.</t>
  </si>
  <si>
    <t>Crecimiento por bloques</t>
  </si>
  <si>
    <t>Se agregó bloque por nivel: 2030–2034, 2035–2040, 2041–2043, 2044–2045.</t>
  </si>
  <si>
    <t>Distribución NI</t>
  </si>
  <si>
    <t>Solo 2027–2035. Default 100% Síncrono y 0% Asíncrono.</t>
  </si>
  <si>
    <t>Tetra histórica</t>
  </si>
  <si>
    <t>Sale de parámetros/crecimiento y queda en sección propia. Suma a MT mientras exista.</t>
  </si>
  <si>
    <t>Posgrado y Ejecutivo muestran una fila de Síncrono y otra de Asíncrono por periodo.</t>
  </si>
  <si>
    <t>Columnas de tabla</t>
  </si>
  <si>
    <t>Año calendario, año académico, periodo, modalidad, NI, RI, MT tetra, MT transferida y MT.</t>
  </si>
  <si>
    <t>Se muestran en dos bloques lado a lado: Posgrado y Ejecutivo.</t>
  </si>
  <si>
    <t>El CSV incluye configuración, crecimientos por bloque, distribución anual y desglose por nivel/periodo/modalidad.</t>
  </si>
  <si>
    <t>Cambio pequeño</t>
  </si>
  <si>
    <t>Se quitó de Parámetros y crecimiento el control Meta MT Agosto 2029 / 30,000.</t>
  </si>
  <si>
    <t>Parámetros vigentes</t>
  </si>
  <si>
    <t>Solo quedan MT objetivo, año objetivo, transferencia S→A y crecimiento por bloques.</t>
  </si>
  <si>
    <t>mt_pmp</t>
  </si>
  <si>
    <t>Total</t>
  </si>
  <si>
    <t>Captura la MT PMP de Agosto 2026 para Posgrado.</t>
  </si>
  <si>
    <t>Captura la MT PMP de Agosto 2026 para Ejecutivo.</t>
  </si>
  <si>
    <t>Captura la MT PMP de Agosto 2027 para Posgrado.</t>
  </si>
  <si>
    <t>Captura la MT PMP de Agosto 2027 para Ejecutivo.</t>
  </si>
  <si>
    <t>Nota</t>
  </si>
  <si>
    <t>El caso base lee la tabla principal A:F. Este bloque es solo referencia visual.</t>
  </si>
  <si>
    <t>Captura la MT PMP de Agosto 2028 para Posgrado.</t>
  </si>
  <si>
    <t>Captura la MT PMP de Agosto 2028 para Ejecutivo.</t>
  </si>
  <si>
    <t>Captura la MT PMP de Agosto 2029 para Posgrado.</t>
  </si>
  <si>
    <t>Captura la MT PMP de Agosto 2029 para Ejecutivo.</t>
  </si>
  <si>
    <t>Fallback: si no capturas Posgrado/Ejecutivo, el caso base usa 30,000 total en Agosto 2029.</t>
  </si>
  <si>
    <t>Captura aquí la MT PMP oficial. Se usa hasta 2029. Modalidad puede ser Total, Síncrono o Asíncrono.</t>
  </si>
  <si>
    <t>PMP/base Agosto 2027. Captura MT total o por nivel si la tienes.</t>
  </si>
  <si>
    <t>PMP/base Agosto 2028. Captura MT total o por nivel si la tienes.</t>
  </si>
  <si>
    <t>PMP/base Agosto 2029 usado por el caso base fijo.</t>
  </si>
  <si>
    <t>MT bimestral</t>
  </si>
  <si>
    <t>La tabla Comparación vs 2026 ahora muestra MT bimestral = MT total - MT tetra histórica.</t>
  </si>
  <si>
    <t>PMP MT</t>
  </si>
  <si>
    <t>Captura la MT oficial en la hoja pmp_mt_pos_ejec.</t>
  </si>
  <si>
    <t>Columnas PMP</t>
  </si>
  <si>
    <t>anio_calendario, periodo, nivel, modalidad, mt_pmp.</t>
  </si>
  <si>
    <t>Uso PMP</t>
  </si>
  <si>
    <t>Si hay valores, el simulador los usa como MT visible hasta 2029.</t>
  </si>
  <si>
    <t>Crecimiento</t>
  </si>
  <si>
    <t>El crecimiento manual o calculado empieza desde Enero 2030 por año calendario.</t>
  </si>
  <si>
    <t>Modo manual</t>
  </si>
  <si>
    <t>Debajo de Comparación vs 2026 se muestra si la meta se alcanza y en qué periodo/año.</t>
  </si>
  <si>
    <t>PMP en tablas</t>
  </si>
  <si>
    <t>Las tablas por nivel muestran columna PMP = Sí cuando esa fila usa MT capturada.</t>
  </si>
  <si>
    <t>Campo</t>
  </si>
  <si>
    <t>Valor</t>
  </si>
  <si>
    <t>Caso</t>
  </si>
  <si>
    <t>Síncrono 100% + 3% anual</t>
  </si>
  <si>
    <t>Referencia fija del simulador.</t>
  </si>
  <si>
    <t>2029 a 2045</t>
  </si>
  <si>
    <t>La tabla calculada se descarga desde el HTML.</t>
  </si>
  <si>
    <t>Crecimiento Posgrado</t>
  </si>
  <si>
    <t>Fijo para el caso base.</t>
  </si>
  <si>
    <t>Crecimiento Ejecutivo</t>
  </si>
  <si>
    <t>Distribución modalidad</t>
  </si>
  <si>
    <t>100% Síncrono / 0% Asíncrono</t>
  </si>
  <si>
    <t>No usa los controles del escenario editable.</t>
  </si>
  <si>
    <t>No reclasifica matrícula.</t>
  </si>
  <si>
    <t>Meta referencia</t>
  </si>
  <si>
    <t>43,000</t>
  </si>
  <si>
    <t>Diferencia contra esta meta.</t>
  </si>
  <si>
    <t>Tasas reales</t>
  </si>
  <si>
    <t>Edita las tasas aquí y vuelve a cargar el Excel en el HTML.</t>
  </si>
  <si>
    <t>Dónde capturar</t>
  </si>
  <si>
    <t>Qué cambiar</t>
  </si>
  <si>
    <t>Columna de tasa</t>
  </si>
  <si>
    <t>Una fila por nivel, modalidad y avance B origen → B destino.</t>
  </si>
  <si>
    <t>Posgrado o Ejecutivo</t>
  </si>
  <si>
    <t>Conserva el texto del nivel.</t>
  </si>
  <si>
    <t>Síncrono o Asíncrono</t>
  </si>
  <si>
    <t>Puedes tener tasas distintas por modalidad.</t>
  </si>
  <si>
    <t>Bimestre origen</t>
  </si>
  <si>
    <t>B1, B2, B3...</t>
  </si>
  <si>
    <t>Representa de qué bimestre avanza la cohorte.</t>
  </si>
  <si>
    <t>Tasa</t>
  </si>
  <si>
    <t>Ej. 85% o 0.85</t>
  </si>
  <si>
    <t>El simulador acepta porcentajes o decimales.</t>
  </si>
  <si>
    <t>Después de editar</t>
  </si>
  <si>
    <t>HTML</t>
  </si>
  <si>
    <t>Vuelve a cargar el Excel</t>
  </si>
  <si>
    <t>El simulador recalcula con las tasas nuevas.</t>
  </si>
  <si>
    <t>Caso base fijo</t>
  </si>
  <si>
    <t>Se agregó referencia fija: 100% Síncrono, crecimiento 3% anual, 2029-2045.</t>
  </si>
  <si>
    <t>Diferencia 43,000</t>
  </si>
  <si>
    <t>El caso base calcula diferencia anual contra 43,000.</t>
  </si>
  <si>
    <t>Exportación Excel</t>
  </si>
  <si>
    <t>El HTML tiene botón para descargar un Excel con caso base y escenario actual.</t>
  </si>
  <si>
    <t>Se capturan en tasas_ri_bimestre_pos_ejec.</t>
  </si>
  <si>
    <t>Escenario editable</t>
  </si>
  <si>
    <t>Los parámetros editables siguen funcionando aparte del caso base fijo.</t>
  </si>
  <si>
    <t>PMP hasta 2029</t>
  </si>
  <si>
    <t>La hoja pmp_mt_pos_ejec sigue siendo el lugar para capturar MT PMP oficial hasta 2029.</t>
  </si>
  <si>
    <t>Recalcular</t>
  </si>
  <si>
    <t>Después de modificar el Excel, cárgalo de nuevo en el HTML.</t>
  </si>
  <si>
    <t>Corrección error</t>
  </si>
  <si>
    <t>Se reemplazó la referencia inválida BASE_CASE_END_YEAR_V129 por lógica propia v136.</t>
  </si>
  <si>
    <t>Caso base visible</t>
  </si>
  <si>
    <t>La tabla Caso base fijo muestra 2027 a 2045.</t>
  </si>
  <si>
    <t>El caso base toma PMP/base hasta 2029; Agosto 2029 queda en 30,000 si no hay otro valor.</t>
  </si>
  <si>
    <t>Proyección</t>
  </si>
  <si>
    <t>Desde Enero 2030 usa tasas_ri_bimestre_pos_ejec y crecimiento fijo 3%.</t>
  </si>
  <si>
    <t>Excel descargable</t>
  </si>
  <si>
    <t>El botón descarga un .xlsx con Caso_base_3pct y Caso_base_Ene2030.</t>
  </si>
  <si>
    <t>Dónde editar PMP</t>
  </si>
  <si>
    <t>Hoja pmp_mt_pos_ejec, columnas A:F, campo mt_pmp.</t>
  </si>
  <si>
    <t>Dónde editar tasas</t>
  </si>
  <si>
    <t>Hoja tasas_ri_bimestre_pos_ejec, columna tasa.</t>
  </si>
  <si>
    <t>Captura aquí la MT PMP/base de agosto 2026.</t>
  </si>
  <si>
    <t>Captura aquí la MT PMP/base de agosto 2027.</t>
  </si>
  <si>
    <t>Captura aquí la MT PMP/base de agosto 2028.</t>
  </si>
  <si>
    <t>Ajuste solicitado</t>
  </si>
  <si>
    <t>El caso base lee 2026-2029 desde la hoja mt_pos_ejec.</t>
  </si>
  <si>
    <t>Agosto 2029</t>
  </si>
  <si>
    <t>Si mt_pos_ejec no trae otro valor, se usa 30,000 MT.</t>
  </si>
  <si>
    <t>Desde Enero 2030 sigue con tasas_ri_bimestre_pos_ejec y crecimiento 3%.</t>
  </si>
  <si>
    <t>Botón Excel</t>
  </si>
  <si>
    <t>Se conserva la exportación de Excel del caso base y escenario editable.</t>
  </si>
  <si>
    <t>Dónde editar MT base</t>
  </si>
  <si>
    <t>Hoja mt_pos_ejec, columna MT.</t>
  </si>
  <si>
    <t>Captura NI, RI y MT Internacional para 2026. Hasta 2036 se lee como base.</t>
  </si>
  <si>
    <t>Captura NI, RI y MT Internacional para 2027. Hasta 2036 se lee como base.</t>
  </si>
  <si>
    <t>Captura NI, RI y MT Internacional para 2028. Hasta 2036 se lee como base.</t>
  </si>
  <si>
    <t>Captura NI, RI y MT Internacional para 2029. Hasta 2036 se lee como base.</t>
  </si>
  <si>
    <t>Captura NI, RI y MT Internacional para 2030. Hasta 2036 se lee como base.</t>
  </si>
  <si>
    <t>Captura NI, RI y MT Internacional para 2031. Hasta 2036 se lee como base.</t>
  </si>
  <si>
    <t>Captura NI, RI y MT Internacional para 2032. Hasta 2036 se lee como base.</t>
  </si>
  <si>
    <t>Captura NI, RI y MT Internacional para 2033. Hasta 2036 se lee como base.</t>
  </si>
  <si>
    <t>Captura NI, RI y MT Internacional para 2034. Hasta 2036 se lee como base.</t>
  </si>
  <si>
    <t>Captura NI, RI y MT Internacional para 2035. Hasta 2036 se lee como base.</t>
  </si>
  <si>
    <t>Captura NI, RI y MT Internacional para 2036. Hasta 2036 se lee como base.</t>
  </si>
  <si>
    <t>crecimiento_NI</t>
  </si>
  <si>
    <t>crecimiento_RI</t>
  </si>
  <si>
    <t>crecimiento_MT</t>
  </si>
  <si>
    <t>Default 3%. Puedes modificarlo en Excel o en el simulador.</t>
  </si>
  <si>
    <t>Base usada</t>
  </si>
  <si>
    <t>Versión v137.</t>
  </si>
  <si>
    <t>Caso base</t>
  </si>
  <si>
    <t>La tabla lee PMP 2026-2029 desde pmp_mt_pos_ejec y proyecta desde Enero 2030 con tasas + 3%.</t>
  </si>
  <si>
    <t>Caso base visual</t>
  </si>
  <si>
    <t>Se quitó Fuente, se quitó MT base leída y se quitó el detalle desde Enero 2030.</t>
  </si>
  <si>
    <t>Dif vs 43,000</t>
  </si>
  <si>
    <t>Queda en blanco desde 2036 en adelante.</t>
  </si>
  <si>
    <t>PMP por nivel</t>
  </si>
  <si>
    <t>Captura en pmp_mt_pos_ejec la MT PMP de Agosto 2026-2029 por Posgrado y Ejecutivo.</t>
  </si>
  <si>
    <t>Desglose por nivel</t>
  </si>
  <si>
    <t>Las tablas Posgrado/Ejecutivo periodo por periodo usan pmp_mt_pos_ejec para igualar PMP hasta 2029 cuando esté capturado.</t>
  </si>
  <si>
    <t>Internacional base</t>
  </si>
  <si>
    <t>Captura NI, RI y MT hasta 2036 en internacional_base.</t>
  </si>
  <si>
    <t>Internacional crecimiento</t>
  </si>
  <si>
    <t>2037-2045 usa internacional_crecimiento con default 3% editable.</t>
  </si>
  <si>
    <t>Suma Internacional</t>
  </si>
  <si>
    <t>Checkbox en Posgrado/Ejecutivo e Internacional para incluir o excluir Internacional en MT total institución 2045.</t>
  </si>
  <si>
    <t>Descarga Excel</t>
  </si>
  <si>
    <t>El botón Descarga Excel Posgrado/Ejecutivo incluye caso base, escenario editable e Internacional.</t>
  </si>
  <si>
    <t>Tasas RI</t>
  </si>
  <si>
    <t>Se conservan en tasas_ri_bimestre_pos_ejec.</t>
  </si>
  <si>
    <t>Manual por bloques</t>
  </si>
  <si>
    <t>pct_ni_asincrono_posgrado</t>
  </si>
  <si>
    <t>pct_ni_asincrono_ejecutivo</t>
  </si>
  <si>
    <t>100%</t>
  </si>
  <si>
    <t>Base/PMP: se conserva Síncrono salvo capturas directas en NI.</t>
  </si>
  <si>
    <t>Default v150: nuevos NI proyectados hacia Asíncrono.</t>
  </si>
  <si>
    <t>RI_Agosto_necesario</t>
  </si>
  <si>
    <t>Hoja sustituida</t>
  </si>
  <si>
    <t>Usar internacional_agosto</t>
  </si>
  <si>
    <t>Motivo</t>
  </si>
  <si>
    <t>Ya no se repiten los 5 bimestres; solo se conserva Agosto.</t>
  </si>
  <si>
    <t>NI_Agosto = NI_anual / 5; RI_Agosto_necesario = MT_objetivo - NI_Agosto.</t>
  </si>
  <si>
    <t>v138 + Excel cargado por el usuario modelo_simulador(9).xlsx.</t>
  </si>
  <si>
    <t>Internacional anual</t>
  </si>
  <si>
    <t>Se toman NI y MT de internacional_base.</t>
  </si>
  <si>
    <t>RI necesario anual</t>
  </si>
  <si>
    <t>En internacional_base se calcula RI_necesario = MT - NI.</t>
  </si>
  <si>
    <t>Bimestres</t>
  </si>
  <si>
    <t>Nueva hoja internacional_bimestres: NI anual se divide entre 5 bimestres.</t>
  </si>
  <si>
    <t>RI bimestral</t>
  </si>
  <si>
    <t>RI_necesario_bimestre = MT objetivo anual - NI_bimestre.</t>
  </si>
  <si>
    <t>Descarga</t>
  </si>
  <si>
    <t>El botón del simulador exporta Internacional_anual e Internacional_bimestres.</t>
  </si>
  <si>
    <t>NI_anual</t>
  </si>
  <si>
    <t>MT_objetivo</t>
  </si>
  <si>
    <t>NI_Agosto</t>
  </si>
  <si>
    <t>MT_Agosto</t>
  </si>
  <si>
    <t>concepto</t>
  </si>
  <si>
    <t>nota</t>
  </si>
  <si>
    <t>color</t>
  </si>
  <si>
    <t>Ver tabla Caso base del simulador</t>
  </si>
  <si>
    <t>Se marca en amarillo en pantalla.</t>
  </si>
  <si>
    <t>Amarillo</t>
  </si>
  <si>
    <t>MT Total Ago</t>
  </si>
  <si>
    <t>Se calcula en el simulador / Excel descargado</t>
  </si>
  <si>
    <t>Usar para estimar gap contra 43,000.</t>
  </si>
  <si>
    <t>Asíncrono requerido para 43,000</t>
  </si>
  <si>
    <t>43,000 - MT Total Ago</t>
  </si>
  <si>
    <t>En el Excel descargado queda como columna.</t>
  </si>
  <si>
    <t>Gap vs 43,000</t>
  </si>
  <si>
    <t>En blanco</t>
  </si>
  <si>
    <t>Desde 2037 ya no se muestra ese cálculo.</t>
  </si>
  <si>
    <t>campo</t>
  </si>
  <si>
    <t>valor_default</t>
  </si>
  <si>
    <t>donde_se_edita</t>
  </si>
  <si>
    <t>tipo_proyecto</t>
  </si>
  <si>
    <t>Espacio Connect</t>
  </si>
  <si>
    <t>Nuevo tipo de proyecto de Inversión.</t>
  </si>
  <si>
    <t>Pestaña Inversión</t>
  </si>
  <si>
    <t>Aplica a Campus en línea.</t>
  </si>
  <si>
    <t>Campus en línea</t>
  </si>
  <si>
    <t>Campus impactado por defecto.</t>
  </si>
  <si>
    <t>Se usa para identificar el proyecto.</t>
  </si>
  <si>
    <t>Posgrado + Ejecutivo</t>
  </si>
  <si>
    <t>Puede ser Posgrado, Ejecutivo o Posgrado + Ejecutivo.</t>
  </si>
  <si>
    <t>Si es Posgrado + Ejecutivo, se reparte 50/50.</t>
  </si>
  <si>
    <t>Editable por año</t>
  </si>
  <si>
    <t>NI aportado por el proyecto.</t>
  </si>
  <si>
    <t>Tabla NI proyecto</t>
  </si>
  <si>
    <t>Se suma a la pestaña Posgrado/Ejecutivo.</t>
  </si>
  <si>
    <t>Internacional</t>
  </si>
  <si>
    <t>Se eliminó la repetición por 5 bimestres; solo queda Agosto.</t>
  </si>
  <si>
    <t>NI Internacional</t>
  </si>
  <si>
    <t>NI_Agosto = NI anual / 5.</t>
  </si>
  <si>
    <t>RI Internacional</t>
  </si>
  <si>
    <t>RI_Agosto_necesario = MT objetivo - NI_Agosto.</t>
  </si>
  <si>
    <t>Gap vs 43,000 se conserva hasta 2036; desde 2037 queda en blanco.</t>
  </si>
  <si>
    <t>Año 2036</t>
  </si>
  <si>
    <t>La fila 2036 queda resaltada en amarillo en la tabla del simulador y documentada en caso_base_meta_2036.</t>
  </si>
  <si>
    <t>Nuevo tipo de proyecto en Inversión, aplicado a Campus en línea.</t>
  </si>
  <si>
    <t>Posgrado/Ejecutivo</t>
  </si>
  <si>
    <t>NI de Espacio Connect se suma a la simulación de Posgrado/Ejecutivo.</t>
  </si>
  <si>
    <t>Incluye Caso_base_3pct, Internacional_Agosto y Espacio_Connect.</t>
  </si>
  <si>
    <t>No se detectaron errores de fórmula en el workbook.</t>
  </si>
  <si>
    <t>Base</t>
  </si>
  <si>
    <t>v140 con corrección menor de workbook.</t>
  </si>
  <si>
    <t>Corrección</t>
  </si>
  <si>
    <t>Se quitó una fórmula textual que Excel interpretaba como fórmula en caso_base_meta_2036.</t>
  </si>
  <si>
    <t>Se volvió a escanear el workbook sin errores de fórmula.</t>
  </si>
  <si>
    <t>Simulador</t>
  </si>
  <si>
    <t>Se conserva la lógica de Internacional Agosto y Espacio Connect.</t>
  </si>
  <si>
    <t>RI_bimestral_Agosto</t>
  </si>
  <si>
    <t>MT_tetra_historica</t>
  </si>
  <si>
    <t>gap_vs_43000</t>
  </si>
  <si>
    <t>asincrono_requerido_para_43000</t>
  </si>
  <si>
    <t>marca_2036</t>
  </si>
  <si>
    <t>Año meta 2036</t>
  </si>
  <si>
    <t>43,000 - MT Total</t>
  </si>
  <si>
    <t>Gap positivo</t>
  </si>
  <si>
    <t>Gap en blanco desde 2037</t>
  </si>
  <si>
    <t>La tabla del simulador ahora muestra Posgrado, Ejecutivo y Total como filas.</t>
  </si>
  <si>
    <t>Columnas de caso base</t>
  </si>
  <si>
    <t>Incluye NI Agosto, RI bimestral Agosto, MT tetra histórica y MT Agosto por nivel.</t>
  </si>
  <si>
    <t>Se conserva resaltado en amarillo y con gap/asíncrono requerido en la fila Total.</t>
  </si>
  <si>
    <t>2037 en adelante</t>
  </si>
  <si>
    <t>Gap vs 43,000 queda en blanco.</t>
  </si>
  <si>
    <t>Posgrado y Ejecutivo ahora muestran solo Agosto, hasta Agosto 2045.</t>
  </si>
  <si>
    <t>Cálculo interno</t>
  </si>
  <si>
    <t>Los bimestres intermedios se siguen calculando internamente.</t>
  </si>
  <si>
    <t>Exporta Caso_base_por_nivel, Posgrado_Agosto y Ejecutivo_Agosto.</t>
  </si>
  <si>
    <t>RI_bimestral</t>
  </si>
  <si>
    <t>Captura aquí el RI bimestral total. No es stock por B2/B3; es RI total del periodo.</t>
  </si>
  <si>
    <t>MT_PMP</t>
  </si>
  <si>
    <t>MT_tetra_calculada</t>
  </si>
  <si>
    <t>validacion</t>
  </si>
  <si>
    <t>Qué capturar</t>
  </si>
  <si>
    <t>Dónde capturarlo</t>
  </si>
  <si>
    <t>NI bimestral 2026-2029</t>
  </si>
  <si>
    <t>Hoja ni_bimestral_pos_ejec, columna NI.</t>
  </si>
  <si>
    <t>RI bimestral 2026-2029</t>
  </si>
  <si>
    <t>Hoja ri_bimestral_pos_ejec, columna RI_bimestral.</t>
  </si>
  <si>
    <t>MT PMP 2026-2029</t>
  </si>
  <si>
    <t>Hoja pmp_mt_pos_ejec, columna mt_pmp.</t>
  </si>
  <si>
    <t>Tetra faltante</t>
  </si>
  <si>
    <t>No la captures manualmente si no la tienes; se calcula en calculo_tetra_pmp_pos_ejec.</t>
  </si>
  <si>
    <t>Fórmula</t>
  </si>
  <si>
    <t>MT_tetra_calculada = MT_PMP - NI - RI_bimestral.</t>
  </si>
  <si>
    <t>En calculo_tetra_pmp_pos_ejec, la columna validacion debe decir OK cuando haya PMP.</t>
  </si>
  <si>
    <t>Para que cruce bien, usa el mismo anio_calendario, periodo, nivel y modalidad en las tres hojas.</t>
  </si>
  <si>
    <t>Puedes usar Síncrono / Asíncrono. Si solo tienes total por nivel, pon modalidad Total en pmp_mt_pos_ejec y dime para ajustar el simulador después.</t>
  </si>
  <si>
    <t>Modelo v142.</t>
  </si>
  <si>
    <t>Nueva hoja</t>
  </si>
  <si>
    <t>ri_bimestral_pos_ejec para capturar RI bimestral total 2026-2029.</t>
  </si>
  <si>
    <t>calculo_tetra_pmp_pos_ejec para calcular tetra faltante contra PMP.</t>
  </si>
  <si>
    <t>Cálculo</t>
  </si>
  <si>
    <t>Instrucciones</t>
  </si>
  <si>
    <t>Ver hoja INSTRUCCIONES_captura_PMP_RI.</t>
  </si>
  <si>
    <t>Uso</t>
  </si>
  <si>
    <t>Este es el Excel recomendado para que captures NI, RI bimestral y PMP.</t>
  </si>
  <si>
    <t>Corrección NI</t>
  </si>
  <si>
    <t>El simulador v145 lee NI desde ni_bimestral_pos_ejec.</t>
  </si>
  <si>
    <t>Llave de lectura</t>
  </si>
  <si>
    <t>anio_calendario + periodo + nivel + modalidad.</t>
  </si>
  <si>
    <t>Ya no se usa como llave principal para los NI del caso base 2026-2029.</t>
  </si>
  <si>
    <t>La tabla del caso base usa esos NI para 2026-2029.</t>
  </si>
  <si>
    <t>Proyección 2030+</t>
  </si>
  <si>
    <t>Desde Enero 2030 se conserva tasas + crecimiento 3%.</t>
  </si>
  <si>
    <t>Se agrega hoja NI_bimestral_fuente en la exportación del simulador.</t>
  </si>
  <si>
    <t>Cálculos</t>
  </si>
  <si>
    <t>No se cambiaron tasas, Internacional ni Espacio Connect.</t>
  </si>
  <si>
    <t>Se unificó la fórmula de MT total institucional 2045.</t>
  </si>
  <si>
    <t>La tarjeta de Campus usa la misma suma que Posgrado/Ejecutivo.</t>
  </si>
  <si>
    <t>La tarjeta MT Total institución 2045 usa la misma suma que Campus.</t>
  </si>
  <si>
    <t>Preparatoria + Profesional + Posgrado/Ejecutivo del escenario + Internacional solo si el checkbox está activo.</t>
  </si>
  <si>
    <t>Se agregó hoja Resumen_institucional en la descarga de Excel del simulador.</t>
  </si>
  <si>
    <t>Sin cambios</t>
  </si>
  <si>
    <t>No se cambiaron tasas, NI, RI, PMP, Internacional ni Espacio Connect.</t>
  </si>
  <si>
    <t>Default Posgrado/Ejecutivo</t>
  </si>
  <si>
    <t>Se cambió a Manual por bloques para no forzar 43,000.</t>
  </si>
  <si>
    <t>El default queda con el caso base/manual actual hacia 2045.</t>
  </si>
  <si>
    <t>Sigue disponible; si el usuario lo elige manualmente, entonces sí fuerza la meta.</t>
  </si>
  <si>
    <t>Posgrado y Ejecutivo muestran solo Agosto, completas hasta Agosto 2045.</t>
  </si>
  <si>
    <t>Bimestres intermedios</t>
  </si>
  <si>
    <t>Se siguen calculando internamente; solo se ocultan en la vista.</t>
  </si>
  <si>
    <t>El Excel descargado exporta Posgrado_Agosto_2045 y Ejecutivo_Agosto_2045.</t>
  </si>
  <si>
    <t>No se cambiaron NI, RI, PMP, tasas, Internacional ni Espacio Connect.</t>
  </si>
  <si>
    <t>Corrección principal</t>
  </si>
  <si>
    <t>El escenario editable ya no manda ceros a NI Asíncrono desde 2036.</t>
  </si>
  <si>
    <t>NI Asíncrono</t>
  </si>
  <si>
    <t>Desde 2030 crece desde los NI Asíncronos capturados en ni_bimestral_pos_ejec.</t>
  </si>
  <si>
    <t>NI Síncrono</t>
  </si>
  <si>
    <t>Si el reparto es 100% Asíncrono, Síncrono deja de recibir NI y sus RI bajan con tasas.</t>
  </si>
  <si>
    <t>RI por modalidad</t>
  </si>
  <si>
    <t>RI Síncrono y RI Asíncrono se calculan por cohortes separadas y tasas de cada modalidad.</t>
  </si>
  <si>
    <t>RI capturado</t>
  </si>
  <si>
    <t>Si ri_bimestral_pos_ejec tiene valores 2026-2029, se usan para ajustar el stock interno.</t>
  </si>
  <si>
    <t>Reparto default</t>
  </si>
  <si>
    <t>reparto_ni_anual_pos_ejec queda 100% Asíncrono de 2030 a 2045.</t>
  </si>
  <si>
    <t>PMP</t>
  </si>
  <si>
    <t>pmp_mt_pos_ejec se usa para cuadrar 2026-2029 con MT tetra histórica.</t>
  </si>
  <si>
    <t>Vista</t>
  </si>
  <si>
    <t>Tablas Posgrado/Ejecutivo muestran Agosto 2026-2045 con NI/RI Síncrono y Asíncrono.</t>
  </si>
  <si>
    <t>Se conserva Internacional, Espacio Connect y el botón de Excel.</t>
  </si>
  <si>
    <t>Se tomó como base la v150, no la v151.</t>
  </si>
  <si>
    <t>NI Asíncrono 2030+</t>
  </si>
  <si>
    <t>Crece desde su propia base asíncrona por periodo, por ejemplo de ~245 a ~267 si la tasa así lo da.</t>
  </si>
  <si>
    <t>No cambio a total</t>
  </si>
  <si>
    <t>No se pasa el NI total síncrono completo a Asíncrono.</t>
  </si>
  <si>
    <t>5 periodos internos</t>
  </si>
  <si>
    <t>Agosto, Octubre, Enero, Marzo y Junio alimentan los RI aunque la vista muestre solo Agosto.</t>
  </si>
  <si>
    <t>RI</t>
  </si>
  <si>
    <t>El RI se calcula por cohortes internas y tasas por modalidad.</t>
  </si>
  <si>
    <t>Histórico previo</t>
  </si>
  <si>
    <t>Los NIs anteriores a 2026 se procesan como historia interna cuando existen para alimentar RI futuro.</t>
  </si>
  <si>
    <t>Las tablas de nivel agregan NI anual de 5 periodos para validar que sí entran los periodos internos.</t>
  </si>
  <si>
    <t>La descarga del simulador agrega Detalle_periodos_interno con todos los periodos calculados.</t>
  </si>
  <si>
    <t>No se cambiaron PMP, tasas, Internacional, Espacio Connect ni el botón de Excel.</t>
  </si>
  <si>
    <t>...</t>
  </si>
  <si>
    <t>Mayo</t>
  </si>
  <si>
    <t>Septiembre</t>
  </si>
  <si>
    <t>Sincrono</t>
  </si>
  <si>
    <t>Orgánico</t>
  </si>
  <si>
    <t>iniciativa</t>
  </si>
  <si>
    <t>incluir_default</t>
  </si>
  <si>
    <t>Portafolio Incremental Ejecutivo</t>
  </si>
  <si>
    <t>Portafolio Asíncrono Ejecutivo</t>
  </si>
  <si>
    <t>Nuevos Campus Connect (Reforzar)</t>
  </si>
  <si>
    <t>Nuevos Campus Connect (Estándar)</t>
  </si>
  <si>
    <t>Portafolio Incremental Posgrado</t>
  </si>
  <si>
    <t>Portafolio Asíncrono Posgrado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</si>
</sst>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5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3" fillId="28" borderId="0" xfId="0" applyFont="1" applyFill="1" applyAlignment="1">
      <alignment horizontal="center" wrapText="1"/>
    </xf>
    <xf numFmtId="0" fontId="3" fillId="29" borderId="0" xfId="0" applyFont="1" applyFill="1" applyAlignment="1">
      <alignment horizontal="center" wrapText="1"/>
    </xf>
    <xf numFmtId="0" fontId="3" fillId="30" borderId="0" xfId="0" applyFont="1" applyFill="1" applyAlignment="1">
      <alignment horizontal="center" wrapText="1"/>
    </xf>
    <xf numFmtId="0" fontId="3" fillId="31" borderId="0" xfId="0" applyFont="1" applyFill="1" applyAlignment="1">
      <alignment horizontal="center" wrapText="1"/>
    </xf>
    <xf numFmtId="0" fontId="3" fillId="32" borderId="0" xfId="0" applyFont="1" applyFill="1" applyAlignment="1">
      <alignment horizontal="center" wrapText="1"/>
    </xf>
    <xf numFmtId="0" fontId="3" fillId="33" borderId="0" xfId="0" applyFont="1" applyFill="1" applyAlignment="1">
      <alignment horizontal="center" wrapText="1"/>
    </xf>
    <xf numFmtId="0" fontId="3" fillId="34" borderId="0" xfId="0" applyFont="1" applyFill="1" applyAlignment="1">
      <alignment horizontal="center" wrapText="1"/>
    </xf>
    <xf numFmtId="0" fontId="3" fillId="35" borderId="0" xfId="0" applyFont="1" applyFill="1" applyAlignment="1">
      <alignment horizontal="center" wrapText="1"/>
    </xf>
    <xf numFmtId="0" fontId="3" fillId="36" borderId="0" xfId="0" applyFont="1" applyFill="1" applyAlignment="1">
      <alignment horizontal="center" wrapText="1"/>
    </xf>
    <xf numFmtId="0" fontId="3" fillId="37" borderId="0" xfId="0" applyFont="1" applyFill="1" applyAlignment="1">
      <alignment horizontal="center" wrapText="1"/>
    </xf>
    <xf numFmtId="0" fontId="3" fillId="38" borderId="0" xfId="0" applyFont="1" applyFill="1" applyAlignment="1">
      <alignment horizontal="center" wrapText="1"/>
    </xf>
    <xf numFmtId="3" fontId="3" fillId="38" borderId="0" xfId="0" applyNumberFormat="1" applyFont="1" applyFill="1" applyAlignment="1">
      <alignment horizontal="center" wrapText="1"/>
    </xf>
    <xf numFmtId="0" fontId="3" fillId="39" borderId="0" xfId="0" applyFont="1" applyFill="1" applyAlignment="1">
      <alignment horizontal="center" wrapText="1"/>
    </xf>
    <xf numFmtId="0" fontId="3" fillId="40" borderId="0" xfId="0" applyFont="1" applyFill="1" applyAlignment="1">
      <alignment horizontal="center" wrapText="1"/>
    </xf>
    <xf numFmtId="3" fontId="0" fillId="0" borderId="0" xfId="0" applyNumberFormat="1" applyAlignment="1">
      <alignment wrapText="1"/>
    </xf>
    <xf numFmtId="0" fontId="3" fillId="41" borderId="0" xfId="0" applyFont="1" applyFill="1" applyAlignment="1">
      <alignment horizontal="center" wrapText="1"/>
    </xf>
    <xf numFmtId="0" fontId="3" fillId="42" borderId="0" xfId="0" applyFont="1" applyFill="1" applyAlignment="1">
      <alignment horizontal="center" wrapText="1"/>
    </xf>
    <xf numFmtId="0" fontId="3" fillId="43" borderId="0" xfId="0" applyFont="1" applyFill="1" applyAlignment="1">
      <alignment horizontal="center" wrapText="1"/>
    </xf>
    <xf numFmtId="0" fontId="3" fillId="4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3" fillId="45" borderId="0" xfId="0" applyFont="1" applyFill="1" applyAlignment="1">
      <alignment horizontal="center" wrapText="1"/>
    </xf>
    <xf numFmtId="0" fontId="3" fillId="46" borderId="0" xfId="0" applyFont="1" applyFill="1" applyAlignment="1">
      <alignment horizontal="center" wrapText="1"/>
    </xf>
    <xf numFmtId="0" fontId="0" fillId="47" borderId="0" xfId="0" applyFill="1" applyAlignment="1">
      <alignment wrapText="1"/>
    </xf>
    <xf numFmtId="0" fontId="3" fillId="48" borderId="0" xfId="0" applyFont="1" applyFill="1" applyAlignment="1">
      <alignment horizontal="center" wrapText="1"/>
    </xf>
    <xf numFmtId="0" fontId="3" fillId="49" borderId="0" xfId="0" applyFont="1" applyFill="1" applyAlignment="1">
      <alignment horizontal="center" wrapText="1"/>
    </xf>
    <xf numFmtId="0" fontId="0" fillId="50" borderId="0" xfId="0" applyFill="1" applyAlignment="1">
      <alignment wrapText="1"/>
    </xf>
    <xf numFmtId="0" fontId="3" fillId="51" borderId="0" xfId="0" applyFont="1" applyFill="1" applyAlignment="1">
      <alignment horizontal="center" wrapText="1"/>
    </xf>
    <xf numFmtId="0" fontId="3" fillId="52" borderId="0" xfId="0" applyFont="1" applyFill="1" applyAlignment="1">
      <alignment horizontal="center" wrapText="1"/>
    </xf>
    <xf numFmtId="0" fontId="3" fillId="53" borderId="0" xfId="0" applyFont="1" applyFill="1" applyAlignment="1">
      <alignment horizontal="center" wrapText="1"/>
    </xf>
    <xf numFmtId="0" fontId="3" fillId="54" borderId="0" xfId="0" applyFont="1" applyFill="1" applyAlignment="1">
      <alignment horizontal="center" wrapText="1"/>
    </xf>
    <xf numFmtId="0" fontId="3" fillId="55" borderId="0" xfId="0" applyFont="1" applyFill="1" applyAlignment="1">
      <alignment horizontal="center" wrapText="1"/>
    </xf>
    <xf numFmtId="0" fontId="3" fillId="56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0.75" customHeight="1">
      <c r="A1" s="88" t="s">
        <v>0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0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0.75" customHeight="1">
      <c r="A1" s="88" t="s">
        <v>34</v>
      </c>
      <c r="B1" s="89"/>
      <c r="C1" s="89"/>
      <c r="D1" s="89"/>
      <c r="E1" s="89"/>
      <c r="F1" s="89"/>
      <c r="G1" s="89"/>
      <c r="H1" s="89"/>
    </row>
    <row r="2" spans="1:17" ht="0.9" customHeight="1">
      <c r="A2" s="90" t="s">
        <v>35</v>
      </c>
      <c r="B2" s="89"/>
      <c r="C2" s="89"/>
      <c r="D2" s="89"/>
      <c r="E2" s="89"/>
      <c r="F2" s="89"/>
      <c r="G2" s="89"/>
      <c r="H2" s="89"/>
    </row>
    <row r="4" spans="1:17" ht="0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workbookViewId="0">
      <selection sqref="A1:J1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0.75" customHeight="1">
      <c r="A1" s="88" t="s">
        <v>96</v>
      </c>
      <c r="B1" s="89"/>
      <c r="C1" s="89"/>
      <c r="D1" s="89"/>
      <c r="E1" s="89"/>
      <c r="F1" s="91"/>
      <c r="G1" s="91"/>
      <c r="H1" s="91"/>
      <c r="I1" s="89"/>
      <c r="J1" s="89"/>
    </row>
    <row r="2" spans="1:10" ht="0.9" customHeight="1">
      <c r="A2" s="90" t="s">
        <v>97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7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2.7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2.7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2.7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2.7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2.7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2.7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2.7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2.7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2.7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2.7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2.7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2.7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2.7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2.7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2.7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2.7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2.7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2.7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2.7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2.7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2.7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2.7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0.75" customHeight="1">
      <c r="A1" s="88" t="s">
        <v>107</v>
      </c>
      <c r="B1" s="89"/>
      <c r="C1" s="89"/>
      <c r="D1" s="89"/>
      <c r="E1" s="89"/>
      <c r="F1" s="91"/>
      <c r="G1" s="92"/>
      <c r="H1" s="89"/>
      <c r="I1" s="89"/>
      <c r="J1" s="89"/>
    </row>
    <row r="2" spans="1:10" ht="0.9" customHeight="1">
      <c r="A2" s="90" t="s">
        <v>108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0.75" customHeight="1">
      <c r="A1" s="88" t="s">
        <v>113</v>
      </c>
      <c r="B1" s="89"/>
      <c r="C1" s="89"/>
      <c r="D1" s="89"/>
      <c r="E1" s="89"/>
      <c r="F1" s="89"/>
      <c r="G1" s="92"/>
      <c r="H1" s="89"/>
      <c r="I1" s="89"/>
      <c r="J1" s="89"/>
    </row>
    <row r="2" spans="1:10" ht="0.9" customHeight="1">
      <c r="A2" s="90" t="s">
        <v>114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0.75" customHeight="1">
      <c r="A1" s="88" t="s">
        <v>120</v>
      </c>
      <c r="B1" s="89"/>
      <c r="C1" s="89"/>
      <c r="D1" s="89"/>
      <c r="E1" s="93"/>
      <c r="F1" s="89"/>
      <c r="G1" s="89"/>
      <c r="H1" s="89"/>
    </row>
    <row r="2" spans="1:8" ht="0.9" customHeight="1">
      <c r="A2" s="90" t="s">
        <v>121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0.75" customHeight="1">
      <c r="A1" s="88" t="s">
        <v>124</v>
      </c>
      <c r="B1" s="89"/>
      <c r="C1" s="89"/>
      <c r="D1" s="89"/>
      <c r="E1" s="89"/>
      <c r="F1" s="92"/>
      <c r="G1" s="89"/>
      <c r="H1" s="89"/>
      <c r="I1" s="89"/>
    </row>
    <row r="2" spans="1:9" ht="0.9" customHeight="1">
      <c r="A2" s="90" t="s">
        <v>125</v>
      </c>
      <c r="B2" s="89"/>
      <c r="C2" s="89"/>
      <c r="D2" s="89"/>
      <c r="E2" s="89"/>
      <c r="F2" s="89"/>
      <c r="G2" s="89"/>
      <c r="H2" s="89"/>
      <c r="I2" s="89"/>
    </row>
    <row r="4" spans="1:9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0.75" customHeight="1">
      <c r="A1" s="88" t="s">
        <v>128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129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0.65" customHeight="1">
      <c r="A1" s="94" t="s">
        <v>145</v>
      </c>
      <c r="B1" s="95"/>
      <c r="C1" s="95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0.6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0.6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0.6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0.65" customHeight="1">
      <c r="A6" s="19" t="s">
        <v>163</v>
      </c>
      <c r="B6" s="21">
        <v>4</v>
      </c>
      <c r="C6" s="19" t="s">
        <v>164</v>
      </c>
    </row>
    <row r="7" spans="1:7" ht="0.6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0.6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0.6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0.65" customHeight="1">
      <c r="A1" s="96" t="s">
        <v>240</v>
      </c>
      <c r="B1" s="89"/>
      <c r="C1" s="89"/>
      <c r="D1" s="89"/>
      <c r="E1" s="89"/>
      <c r="F1" s="89"/>
    </row>
    <row r="3" spans="1:6" ht="0.6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1.1499999999999999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0.65" customHeight="1">
      <c r="A1" s="96" t="s">
        <v>413</v>
      </c>
      <c r="B1" s="89"/>
      <c r="C1" s="89"/>
      <c r="D1" s="89"/>
      <c r="E1" s="89"/>
      <c r="F1" s="89"/>
    </row>
    <row r="3" spans="1:6" ht="0.6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0.6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0.65" customHeight="1">
      <c r="A1" s="96" t="s">
        <v>423</v>
      </c>
      <c r="B1" s="89"/>
      <c r="C1" s="89"/>
      <c r="D1" s="89"/>
      <c r="E1" s="89"/>
      <c r="F1" s="89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0.6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0.6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>
      <selection sqref="A1:I1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0.65" customHeight="1">
      <c r="A1" s="96" t="s">
        <v>687</v>
      </c>
      <c r="B1" s="89"/>
      <c r="C1" s="89"/>
      <c r="D1" s="89"/>
      <c r="E1" s="89"/>
      <c r="F1" s="89"/>
      <c r="G1" s="89"/>
      <c r="H1" s="89"/>
      <c r="I1" s="89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0.6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sqref="A1:J1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97" t="s">
        <v>718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4.1500000000000004" customHeight="1">
      <c r="A2" s="98" t="s">
        <v>719</v>
      </c>
      <c r="B2" s="98"/>
      <c r="C2" s="98"/>
      <c r="D2" s="98"/>
      <c r="E2" s="98"/>
      <c r="F2" s="98"/>
      <c r="G2" s="98"/>
      <c r="H2" s="98"/>
      <c r="I2" s="98"/>
      <c r="J2" s="98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1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762</v>
      </c>
    </row>
    <row r="8" spans="1:5" ht="28">
      <c r="A8" s="19" t="s">
        <v>763</v>
      </c>
      <c r="B8" s="19" t="s">
        <v>764</v>
      </c>
      <c r="C8" s="19" t="s">
        <v>765</v>
      </c>
      <c r="D8" s="18" t="s">
        <v>766</v>
      </c>
      <c r="E8" s="18" t="s">
        <v>767</v>
      </c>
    </row>
    <row r="9" spans="1:5" ht="28">
      <c r="A9" s="19" t="s">
        <v>768</v>
      </c>
      <c r="B9" s="20" t="s">
        <v>769</v>
      </c>
      <c r="C9" s="19" t="s">
        <v>765</v>
      </c>
      <c r="D9" s="18" t="s">
        <v>770</v>
      </c>
      <c r="E9" s="18" t="s">
        <v>771</v>
      </c>
    </row>
    <row r="10" spans="1:5" ht="28">
      <c r="A10" s="19" t="s">
        <v>772</v>
      </c>
      <c r="B10" s="20">
        <v>0</v>
      </c>
      <c r="C10" s="19" t="s">
        <v>773</v>
      </c>
      <c r="D10" s="18" t="s">
        <v>774</v>
      </c>
      <c r="E10" s="18" t="s">
        <v>775</v>
      </c>
    </row>
    <row r="11" spans="1:5" ht="28">
      <c r="A11" s="18" t="s">
        <v>776</v>
      </c>
      <c r="B11" s="49">
        <v>0</v>
      </c>
      <c r="C11" s="18" t="s">
        <v>773</v>
      </c>
      <c r="D11" s="18" t="s">
        <v>777</v>
      </c>
      <c r="E11" s="18" t="s">
        <v>775</v>
      </c>
    </row>
    <row r="12" spans="1:5" ht="28">
      <c r="A12" s="18" t="s">
        <v>778</v>
      </c>
      <c r="B12" s="49"/>
      <c r="C12" s="18" t="s">
        <v>773</v>
      </c>
      <c r="D12" s="18" t="s">
        <v>779</v>
      </c>
      <c r="E12" s="18" t="s">
        <v>780</v>
      </c>
    </row>
    <row r="13" spans="1:5" ht="28">
      <c r="A13" s="18" t="s">
        <v>781</v>
      </c>
      <c r="B13" s="49"/>
      <c r="C13" s="18" t="s">
        <v>773</v>
      </c>
      <c r="D13" s="18" t="s">
        <v>779</v>
      </c>
      <c r="E13" s="18" t="s">
        <v>780</v>
      </c>
    </row>
    <row r="14" spans="1:5" ht="28">
      <c r="A14" s="18" t="s">
        <v>782</v>
      </c>
      <c r="B14" s="18" t="s">
        <v>7</v>
      </c>
      <c r="C14" s="18" t="s">
        <v>783</v>
      </c>
      <c r="D14" s="18" t="s">
        <v>784</v>
      </c>
      <c r="E14" s="18" t="s">
        <v>785</v>
      </c>
    </row>
    <row r="35" spans="1:5">
      <c r="A35" s="54" t="s">
        <v>150</v>
      </c>
      <c r="B35" s="54" t="s">
        <v>151</v>
      </c>
      <c r="C35" s="54" t="s">
        <v>786</v>
      </c>
      <c r="D35" s="54" t="s">
        <v>152</v>
      </c>
      <c r="E35" s="54" t="s">
        <v>738</v>
      </c>
    </row>
    <row r="36" spans="1:5" ht="28">
      <c r="A36" s="18" t="s">
        <v>787</v>
      </c>
      <c r="B36" s="18">
        <v>2029</v>
      </c>
      <c r="C36" s="18" t="s">
        <v>788</v>
      </c>
      <c r="D36" s="18" t="s">
        <v>789</v>
      </c>
      <c r="E36" s="18" t="s">
        <v>790</v>
      </c>
    </row>
    <row r="37" spans="1:5" ht="28">
      <c r="A37" s="18" t="s">
        <v>791</v>
      </c>
      <c r="B37" s="18" t="s">
        <v>792</v>
      </c>
      <c r="C37" s="18" t="s">
        <v>788</v>
      </c>
      <c r="D37" s="18" t="s">
        <v>793</v>
      </c>
      <c r="E37" s="18" t="s">
        <v>794</v>
      </c>
    </row>
    <row r="38" spans="1:5" ht="28">
      <c r="A38" s="18" t="s">
        <v>795</v>
      </c>
      <c r="B38" s="18" t="s">
        <v>792</v>
      </c>
      <c r="C38" s="18" t="s">
        <v>788</v>
      </c>
      <c r="D38" s="18" t="s">
        <v>796</v>
      </c>
      <c r="E38" s="18" t="s">
        <v>794</v>
      </c>
    </row>
    <row r="39" spans="1:5" ht="28">
      <c r="A39" s="18" t="s">
        <v>797</v>
      </c>
      <c r="B39" s="49" t="s">
        <v>798</v>
      </c>
      <c r="C39" s="18" t="s">
        <v>788</v>
      </c>
      <c r="D39" s="18" t="s">
        <v>799</v>
      </c>
      <c r="E39" s="18" t="s">
        <v>800</v>
      </c>
    </row>
    <row r="40" spans="1:5" ht="28">
      <c r="A40" s="18" t="s">
        <v>801</v>
      </c>
      <c r="B40" s="49" t="s">
        <v>798</v>
      </c>
      <c r="C40" s="18" t="s">
        <v>788</v>
      </c>
      <c r="D40" s="18" t="s">
        <v>802</v>
      </c>
      <c r="E40" s="18" t="s">
        <v>800</v>
      </c>
    </row>
    <row r="41" spans="1:5" ht="28">
      <c r="A41" s="18" t="s">
        <v>803</v>
      </c>
      <c r="B41" s="18">
        <v>9800</v>
      </c>
      <c r="C41" s="18" t="s">
        <v>788</v>
      </c>
      <c r="D41" s="18" t="s">
        <v>804</v>
      </c>
      <c r="E41" s="18" t="s">
        <v>805</v>
      </c>
    </row>
    <row r="42" spans="1:5" ht="28">
      <c r="A42" s="18" t="s">
        <v>806</v>
      </c>
      <c r="B42" s="18">
        <v>5000</v>
      </c>
      <c r="C42" s="18" t="s">
        <v>788</v>
      </c>
      <c r="D42" s="18" t="s">
        <v>807</v>
      </c>
      <c r="E42" s="18" t="s">
        <v>808</v>
      </c>
    </row>
    <row r="43" spans="1:5" ht="28">
      <c r="A43" s="18" t="s">
        <v>809</v>
      </c>
      <c r="B43" s="18">
        <v>6100</v>
      </c>
      <c r="C43" s="18" t="s">
        <v>788</v>
      </c>
      <c r="D43" s="18" t="s">
        <v>810</v>
      </c>
      <c r="E43" s="18" t="s">
        <v>811</v>
      </c>
    </row>
    <row r="44" spans="1:5" ht="28">
      <c r="A44" s="18" t="s">
        <v>812</v>
      </c>
      <c r="B44" s="18">
        <v>1200</v>
      </c>
      <c r="C44" s="18" t="s">
        <v>788</v>
      </c>
      <c r="D44" s="18" t="s">
        <v>813</v>
      </c>
      <c r="E44" s="18" t="s">
        <v>814</v>
      </c>
    </row>
    <row r="47" spans="1:5">
      <c r="A47" s="68" t="s">
        <v>150</v>
      </c>
      <c r="B47" s="68" t="s">
        <v>151</v>
      </c>
      <c r="C47" s="68" t="s">
        <v>786</v>
      </c>
      <c r="D47" s="68" t="s">
        <v>152</v>
      </c>
      <c r="E47" s="68" t="s">
        <v>738</v>
      </c>
    </row>
    <row r="48" spans="1:5">
      <c r="A48" s="18" t="s">
        <v>815</v>
      </c>
      <c r="B48" s="18">
        <v>2036</v>
      </c>
      <c r="C48" s="18" t="s">
        <v>788</v>
      </c>
      <c r="D48" s="18" t="s">
        <v>816</v>
      </c>
      <c r="E48" s="18" t="s">
        <v>817</v>
      </c>
    </row>
    <row r="49" spans="1:5">
      <c r="A49" s="18" t="s">
        <v>818</v>
      </c>
      <c r="B49" s="49">
        <v>43000</v>
      </c>
      <c r="C49" s="18" t="s">
        <v>788</v>
      </c>
      <c r="D49" s="18" t="s">
        <v>819</v>
      </c>
      <c r="E49" s="18" t="s">
        <v>820</v>
      </c>
    </row>
    <row r="50" spans="1:5" ht="28">
      <c r="A50" s="18" t="s">
        <v>821</v>
      </c>
      <c r="B50" s="18" t="s">
        <v>1252</v>
      </c>
      <c r="C50" s="18" t="s">
        <v>822</v>
      </c>
      <c r="D50" s="18" t="s">
        <v>823</v>
      </c>
      <c r="E50" s="18" t="s">
        <v>824</v>
      </c>
    </row>
    <row r="51" spans="1:5" ht="28">
      <c r="A51" s="18" t="s">
        <v>825</v>
      </c>
      <c r="B51" s="49" t="s">
        <v>826</v>
      </c>
      <c r="C51" s="18" t="s">
        <v>827</v>
      </c>
      <c r="D51" s="18" t="s">
        <v>828</v>
      </c>
      <c r="E51" s="18" t="s">
        <v>829</v>
      </c>
    </row>
    <row r="53" spans="1:5">
      <c r="A53" s="18"/>
      <c r="B53" s="18"/>
      <c r="C53" s="18"/>
      <c r="D53" s="18"/>
      <c r="E53" s="18"/>
    </row>
    <row r="54" spans="1:5">
      <c r="A54" s="18"/>
      <c r="B54" s="18"/>
      <c r="C54" s="18"/>
      <c r="D54" s="18"/>
      <c r="E54" s="18"/>
    </row>
    <row r="55" spans="1:5">
      <c r="A55" s="18"/>
      <c r="B55" s="18"/>
      <c r="C55" s="18"/>
      <c r="D55" s="18"/>
      <c r="E55" s="18"/>
    </row>
    <row r="56" spans="1:5">
      <c r="A56" s="18"/>
      <c r="B56" s="49"/>
      <c r="C56" s="18"/>
      <c r="D56" s="18"/>
      <c r="E56" s="18"/>
    </row>
    <row r="57" spans="1:5">
      <c r="A57" s="18"/>
      <c r="B57" s="49"/>
      <c r="C57" s="18"/>
      <c r="D57" s="18"/>
      <c r="E57" s="18"/>
    </row>
    <row r="58" spans="1:5">
      <c r="A58" s="18"/>
      <c r="B58" s="18"/>
      <c r="C58" s="18"/>
      <c r="D58" s="18"/>
      <c r="E58" s="18"/>
    </row>
    <row r="60" spans="1:5" ht="28">
      <c r="A60" s="18" t="s">
        <v>830</v>
      </c>
      <c r="B60" s="18" t="s">
        <v>831</v>
      </c>
      <c r="C60" s="18" t="s">
        <v>832</v>
      </c>
      <c r="D60" s="18" t="s">
        <v>833</v>
      </c>
      <c r="E60" s="18" t="s">
        <v>834</v>
      </c>
    </row>
    <row r="61" spans="1:5" ht="28">
      <c r="A61" s="18" t="s">
        <v>835</v>
      </c>
      <c r="B61" s="18" t="s">
        <v>836</v>
      </c>
      <c r="C61" s="18" t="s">
        <v>837</v>
      </c>
      <c r="D61" s="18" t="s">
        <v>838</v>
      </c>
      <c r="E61" s="18" t="s">
        <v>839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6"/>
  <sheetViews>
    <sheetView workbookViewId="0">
      <selection activeCell="F87" sqref="F87"/>
    </sheetView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840</v>
      </c>
      <c r="B1" s="44" t="s">
        <v>39</v>
      </c>
      <c r="C1" s="44" t="s">
        <v>841</v>
      </c>
      <c r="D1" s="44" t="s">
        <v>37</v>
      </c>
      <c r="E1" s="44" t="s">
        <v>38</v>
      </c>
      <c r="F1" s="44" t="s">
        <v>842</v>
      </c>
    </row>
    <row r="2" spans="1:6">
      <c r="A2" s="21">
        <v>2026</v>
      </c>
      <c r="B2" s="21" t="s">
        <v>843</v>
      </c>
      <c r="C2" s="21">
        <v>2026</v>
      </c>
      <c r="D2" s="21" t="s">
        <v>105</v>
      </c>
      <c r="E2" s="19" t="s">
        <v>844</v>
      </c>
      <c r="F2" s="21">
        <v>1866</v>
      </c>
    </row>
    <row r="3" spans="1:6">
      <c r="A3" s="21">
        <v>2026</v>
      </c>
      <c r="B3" s="21" t="s">
        <v>845</v>
      </c>
      <c r="C3" s="21">
        <v>2026</v>
      </c>
      <c r="D3" s="21" t="s">
        <v>105</v>
      </c>
      <c r="E3" s="19" t="s">
        <v>844</v>
      </c>
      <c r="F3" s="21">
        <v>1660</v>
      </c>
    </row>
    <row r="4" spans="1:6">
      <c r="A4" s="21">
        <v>2026</v>
      </c>
      <c r="B4" s="21" t="s">
        <v>846</v>
      </c>
      <c r="C4" s="21">
        <v>2027</v>
      </c>
      <c r="D4" s="21" t="s">
        <v>105</v>
      </c>
      <c r="E4" s="19" t="s">
        <v>844</v>
      </c>
      <c r="F4" s="21">
        <v>2062</v>
      </c>
    </row>
    <row r="5" spans="1:6">
      <c r="A5" s="21">
        <v>2026</v>
      </c>
      <c r="B5" s="21" t="s">
        <v>847</v>
      </c>
      <c r="C5" s="21">
        <v>2027</v>
      </c>
      <c r="D5" s="21" t="s">
        <v>105</v>
      </c>
      <c r="E5" s="19" t="s">
        <v>844</v>
      </c>
      <c r="F5" s="21">
        <v>1513</v>
      </c>
    </row>
    <row r="6" spans="1:6">
      <c r="A6" s="21">
        <v>2026</v>
      </c>
      <c r="B6" s="21" t="s">
        <v>848</v>
      </c>
      <c r="C6" s="21">
        <v>2027</v>
      </c>
      <c r="D6" s="21" t="s">
        <v>105</v>
      </c>
      <c r="E6" s="19" t="s">
        <v>844</v>
      </c>
      <c r="F6" s="21">
        <v>2245</v>
      </c>
    </row>
    <row r="7" spans="1:6">
      <c r="A7" s="21">
        <v>2026</v>
      </c>
      <c r="B7" s="21" t="s">
        <v>843</v>
      </c>
      <c r="C7" s="21">
        <v>2026</v>
      </c>
      <c r="D7" s="21" t="s">
        <v>105</v>
      </c>
      <c r="E7" s="19" t="s">
        <v>849</v>
      </c>
      <c r="F7" s="21">
        <v>0</v>
      </c>
    </row>
    <row r="8" spans="1:6">
      <c r="A8" s="21">
        <v>2026</v>
      </c>
      <c r="B8" s="21" t="s">
        <v>845</v>
      </c>
      <c r="C8" s="21">
        <v>2026</v>
      </c>
      <c r="D8" s="21" t="s">
        <v>105</v>
      </c>
      <c r="E8" s="19" t="s">
        <v>849</v>
      </c>
      <c r="F8" s="21">
        <v>0</v>
      </c>
    </row>
    <row r="9" spans="1:6">
      <c r="A9" s="21">
        <v>2026</v>
      </c>
      <c r="B9" s="21" t="s">
        <v>846</v>
      </c>
      <c r="C9" s="21">
        <v>2027</v>
      </c>
      <c r="D9" s="21" t="s">
        <v>105</v>
      </c>
      <c r="E9" s="19" t="s">
        <v>849</v>
      </c>
      <c r="F9" s="21">
        <v>0</v>
      </c>
    </row>
    <row r="10" spans="1:6">
      <c r="A10" s="21">
        <v>2026</v>
      </c>
      <c r="B10" s="21" t="s">
        <v>847</v>
      </c>
      <c r="C10" s="21">
        <v>2027</v>
      </c>
      <c r="D10" s="21" t="s">
        <v>105</v>
      </c>
      <c r="E10" s="19" t="s">
        <v>849</v>
      </c>
      <c r="F10" s="21">
        <v>0</v>
      </c>
    </row>
    <row r="11" spans="1:6">
      <c r="A11" s="21">
        <v>2026</v>
      </c>
      <c r="B11" s="21" t="s">
        <v>848</v>
      </c>
      <c r="C11" s="21">
        <v>2027</v>
      </c>
      <c r="D11" s="21" t="s">
        <v>105</v>
      </c>
      <c r="E11" s="19" t="s">
        <v>849</v>
      </c>
      <c r="F11" s="21">
        <v>0</v>
      </c>
    </row>
    <row r="12" spans="1:6">
      <c r="A12" s="21">
        <v>2026</v>
      </c>
      <c r="B12" s="21" t="s">
        <v>843</v>
      </c>
      <c r="C12" s="21">
        <v>2026</v>
      </c>
      <c r="D12" s="21" t="s">
        <v>106</v>
      </c>
      <c r="E12" s="19" t="s">
        <v>844</v>
      </c>
      <c r="F12" s="21">
        <v>952</v>
      </c>
    </row>
    <row r="13" spans="1:6">
      <c r="A13" s="21">
        <v>2026</v>
      </c>
      <c r="B13" s="21" t="s">
        <v>845</v>
      </c>
      <c r="C13" s="21">
        <v>2026</v>
      </c>
      <c r="D13" s="21" t="s">
        <v>106</v>
      </c>
      <c r="E13" s="19" t="s">
        <v>844</v>
      </c>
      <c r="F13" s="21">
        <v>867</v>
      </c>
    </row>
    <row r="14" spans="1:6">
      <c r="A14" s="21">
        <v>2026</v>
      </c>
      <c r="B14" s="21" t="s">
        <v>846</v>
      </c>
      <c r="C14" s="21">
        <v>2027</v>
      </c>
      <c r="D14" s="21" t="s">
        <v>106</v>
      </c>
      <c r="E14" s="19" t="s">
        <v>844</v>
      </c>
      <c r="F14" s="21">
        <v>1020</v>
      </c>
    </row>
    <row r="15" spans="1:6">
      <c r="A15" s="21">
        <v>2026</v>
      </c>
      <c r="B15" s="21" t="s">
        <v>847</v>
      </c>
      <c r="C15" s="21">
        <v>2027</v>
      </c>
      <c r="D15" s="21" t="s">
        <v>106</v>
      </c>
      <c r="E15" s="19" t="s">
        <v>844</v>
      </c>
      <c r="F15" s="21">
        <v>778</v>
      </c>
    </row>
    <row r="16" spans="1:6">
      <c r="A16" s="21">
        <v>2026</v>
      </c>
      <c r="B16" s="21" t="s">
        <v>848</v>
      </c>
      <c r="C16" s="21">
        <v>2027</v>
      </c>
      <c r="D16" s="21" t="s">
        <v>106</v>
      </c>
      <c r="E16" s="19" t="s">
        <v>844</v>
      </c>
      <c r="F16" s="21">
        <v>1016</v>
      </c>
    </row>
    <row r="17" spans="1:6">
      <c r="A17" s="21">
        <v>2026</v>
      </c>
      <c r="B17" s="21" t="s">
        <v>843</v>
      </c>
      <c r="C17" s="21">
        <v>2026</v>
      </c>
      <c r="D17" s="21" t="s">
        <v>106</v>
      </c>
      <c r="E17" s="19" t="s">
        <v>849</v>
      </c>
      <c r="F17" s="21">
        <v>0</v>
      </c>
    </row>
    <row r="18" spans="1:6">
      <c r="A18" s="21">
        <v>2026</v>
      </c>
      <c r="B18" s="21" t="s">
        <v>845</v>
      </c>
      <c r="C18" s="21">
        <v>2026</v>
      </c>
      <c r="D18" s="21" t="s">
        <v>106</v>
      </c>
      <c r="E18" s="19" t="s">
        <v>849</v>
      </c>
      <c r="F18" s="21">
        <v>0</v>
      </c>
    </row>
    <row r="19" spans="1:6">
      <c r="A19" s="21">
        <v>2026</v>
      </c>
      <c r="B19" s="21" t="s">
        <v>846</v>
      </c>
      <c r="C19" s="21">
        <v>2027</v>
      </c>
      <c r="D19" s="21" t="s">
        <v>106</v>
      </c>
      <c r="E19" s="19" t="s">
        <v>849</v>
      </c>
      <c r="F19" s="21">
        <v>0</v>
      </c>
    </row>
    <row r="20" spans="1:6">
      <c r="A20" s="21">
        <v>2026</v>
      </c>
      <c r="B20" s="21" t="s">
        <v>847</v>
      </c>
      <c r="C20" s="21">
        <v>2027</v>
      </c>
      <c r="D20" s="21" t="s">
        <v>106</v>
      </c>
      <c r="E20" s="19" t="s">
        <v>849</v>
      </c>
      <c r="F20" s="21">
        <v>0</v>
      </c>
    </row>
    <row r="21" spans="1:6">
      <c r="A21" s="21">
        <v>2026</v>
      </c>
      <c r="B21" s="21" t="s">
        <v>848</v>
      </c>
      <c r="C21" s="21">
        <v>2027</v>
      </c>
      <c r="D21" s="21" t="s">
        <v>106</v>
      </c>
      <c r="E21" s="19" t="s">
        <v>849</v>
      </c>
      <c r="F21" s="21">
        <v>0</v>
      </c>
    </row>
    <row r="22" spans="1:6">
      <c r="A22" s="21">
        <v>2027</v>
      </c>
      <c r="B22" s="21" t="s">
        <v>843</v>
      </c>
      <c r="C22" s="21">
        <v>2027</v>
      </c>
      <c r="D22" s="21" t="s">
        <v>105</v>
      </c>
      <c r="E22" s="19" t="s">
        <v>844</v>
      </c>
      <c r="F22" s="21">
        <v>1898</v>
      </c>
    </row>
    <row r="23" spans="1:6">
      <c r="A23" s="21">
        <v>2027</v>
      </c>
      <c r="B23" s="21" t="s">
        <v>845</v>
      </c>
      <c r="C23" s="21">
        <v>2027</v>
      </c>
      <c r="D23" s="21" t="s">
        <v>105</v>
      </c>
      <c r="E23" s="19" t="s">
        <v>844</v>
      </c>
      <c r="F23" s="21">
        <v>1898</v>
      </c>
    </row>
    <row r="24" spans="1:6">
      <c r="A24" s="21">
        <v>2027</v>
      </c>
      <c r="B24" s="21" t="s">
        <v>846</v>
      </c>
      <c r="C24" s="21">
        <v>2028</v>
      </c>
      <c r="D24" s="21" t="s">
        <v>105</v>
      </c>
      <c r="E24" s="19" t="s">
        <v>844</v>
      </c>
      <c r="F24" s="21">
        <v>2338</v>
      </c>
    </row>
    <row r="25" spans="1:6">
      <c r="A25" s="21">
        <v>2027</v>
      </c>
      <c r="B25" s="21" t="s">
        <v>847</v>
      </c>
      <c r="C25" s="21">
        <v>2028</v>
      </c>
      <c r="D25" s="21" t="s">
        <v>105</v>
      </c>
      <c r="E25" s="19" t="s">
        <v>844</v>
      </c>
      <c r="F25" s="21">
        <v>1713</v>
      </c>
    </row>
    <row r="26" spans="1:6">
      <c r="A26" s="21">
        <v>2027</v>
      </c>
      <c r="B26" s="21" t="s">
        <v>848</v>
      </c>
      <c r="C26" s="21">
        <v>2028</v>
      </c>
      <c r="D26" s="21" t="s">
        <v>105</v>
      </c>
      <c r="E26" s="19" t="s">
        <v>844</v>
      </c>
      <c r="F26" s="21">
        <v>2542</v>
      </c>
    </row>
    <row r="27" spans="1:6">
      <c r="A27" s="21">
        <v>2027</v>
      </c>
      <c r="B27" s="21" t="s">
        <v>843</v>
      </c>
      <c r="C27" s="21">
        <v>2027</v>
      </c>
      <c r="D27" s="21" t="s">
        <v>105</v>
      </c>
      <c r="E27" s="19" t="s">
        <v>849</v>
      </c>
      <c r="F27" s="21">
        <v>0</v>
      </c>
    </row>
    <row r="28" spans="1:6">
      <c r="A28" s="21">
        <v>2027</v>
      </c>
      <c r="B28" s="21" t="s">
        <v>845</v>
      </c>
      <c r="C28" s="21">
        <v>2027</v>
      </c>
      <c r="D28" s="21" t="s">
        <v>105</v>
      </c>
      <c r="E28" s="19" t="s">
        <v>849</v>
      </c>
      <c r="F28" s="21">
        <v>0</v>
      </c>
    </row>
    <row r="29" spans="1:6">
      <c r="A29" s="21">
        <v>2027</v>
      </c>
      <c r="B29" s="21" t="s">
        <v>846</v>
      </c>
      <c r="C29" s="21">
        <v>2028</v>
      </c>
      <c r="D29" s="21" t="s">
        <v>105</v>
      </c>
      <c r="E29" s="19" t="s">
        <v>849</v>
      </c>
      <c r="F29" s="21">
        <v>0</v>
      </c>
    </row>
    <row r="30" spans="1:6">
      <c r="A30" s="21">
        <v>2027</v>
      </c>
      <c r="B30" s="21" t="s">
        <v>847</v>
      </c>
      <c r="C30" s="21">
        <v>2028</v>
      </c>
      <c r="D30" s="21" t="s">
        <v>105</v>
      </c>
      <c r="E30" s="19" t="s">
        <v>849</v>
      </c>
      <c r="F30" s="21">
        <v>0</v>
      </c>
    </row>
    <row r="31" spans="1:6">
      <c r="A31" s="21">
        <v>2027</v>
      </c>
      <c r="B31" s="21" t="s">
        <v>848</v>
      </c>
      <c r="C31" s="21">
        <v>2028</v>
      </c>
      <c r="D31" s="21" t="s">
        <v>105</v>
      </c>
      <c r="E31" s="19" t="s">
        <v>849</v>
      </c>
      <c r="F31" s="21">
        <v>0</v>
      </c>
    </row>
    <row r="32" spans="1:6">
      <c r="A32" s="21">
        <v>2027</v>
      </c>
      <c r="B32" s="21" t="s">
        <v>843</v>
      </c>
      <c r="C32" s="21">
        <v>2027</v>
      </c>
      <c r="D32" s="21" t="s">
        <v>106</v>
      </c>
      <c r="E32" s="19" t="s">
        <v>844</v>
      </c>
      <c r="F32" s="21">
        <v>1159</v>
      </c>
    </row>
    <row r="33" spans="1:6">
      <c r="A33" s="21">
        <v>2027</v>
      </c>
      <c r="B33" s="21" t="s">
        <v>845</v>
      </c>
      <c r="C33" s="21">
        <v>2027</v>
      </c>
      <c r="D33" s="21" t="s">
        <v>106</v>
      </c>
      <c r="E33" s="19" t="s">
        <v>844</v>
      </c>
      <c r="F33" s="21">
        <v>1045</v>
      </c>
    </row>
    <row r="34" spans="1:6">
      <c r="A34" s="21">
        <v>2027</v>
      </c>
      <c r="B34" s="21" t="s">
        <v>846</v>
      </c>
      <c r="C34" s="21">
        <v>2028</v>
      </c>
      <c r="D34" s="21" t="s">
        <v>106</v>
      </c>
      <c r="E34" s="19" t="s">
        <v>844</v>
      </c>
      <c r="F34" s="21">
        <v>1105</v>
      </c>
    </row>
    <row r="35" spans="1:6">
      <c r="A35" s="21">
        <v>2027</v>
      </c>
      <c r="B35" s="21" t="s">
        <v>847</v>
      </c>
      <c r="C35" s="21">
        <v>2028</v>
      </c>
      <c r="D35" s="21" t="s">
        <v>106</v>
      </c>
      <c r="E35" s="19" t="s">
        <v>844</v>
      </c>
      <c r="F35" s="21">
        <v>872</v>
      </c>
    </row>
    <row r="36" spans="1:6">
      <c r="A36" s="21">
        <v>2027</v>
      </c>
      <c r="B36" s="21" t="s">
        <v>848</v>
      </c>
      <c r="C36" s="21">
        <v>2028</v>
      </c>
      <c r="D36" s="21" t="s">
        <v>106</v>
      </c>
      <c r="E36" s="19" t="s">
        <v>844</v>
      </c>
      <c r="F36" s="21">
        <v>1131</v>
      </c>
    </row>
    <row r="37" spans="1:6">
      <c r="A37" s="21">
        <v>2027</v>
      </c>
      <c r="B37" s="21" t="s">
        <v>843</v>
      </c>
      <c r="C37" s="21">
        <v>2027</v>
      </c>
      <c r="D37" s="21" t="s">
        <v>106</v>
      </c>
      <c r="E37" s="19" t="s">
        <v>849</v>
      </c>
      <c r="F37" s="21">
        <v>0</v>
      </c>
    </row>
    <row r="38" spans="1:6">
      <c r="A38" s="21">
        <v>2027</v>
      </c>
      <c r="B38" s="21" t="s">
        <v>845</v>
      </c>
      <c r="C38" s="21">
        <v>2027</v>
      </c>
      <c r="D38" s="21" t="s">
        <v>106</v>
      </c>
      <c r="E38" s="19" t="s">
        <v>849</v>
      </c>
      <c r="F38" s="21">
        <v>0</v>
      </c>
    </row>
    <row r="39" spans="1:6">
      <c r="A39" s="21">
        <v>2027</v>
      </c>
      <c r="B39" s="21" t="s">
        <v>846</v>
      </c>
      <c r="C39" s="21">
        <v>2028</v>
      </c>
      <c r="D39" s="21" t="s">
        <v>106</v>
      </c>
      <c r="E39" s="19" t="s">
        <v>849</v>
      </c>
      <c r="F39" s="21">
        <v>0</v>
      </c>
    </row>
    <row r="40" spans="1:6">
      <c r="A40" s="21">
        <v>2027</v>
      </c>
      <c r="B40" s="21" t="s">
        <v>847</v>
      </c>
      <c r="C40" s="21">
        <v>2028</v>
      </c>
      <c r="D40" s="21" t="s">
        <v>106</v>
      </c>
      <c r="E40" s="19" t="s">
        <v>849</v>
      </c>
      <c r="F40" s="21">
        <v>0</v>
      </c>
    </row>
    <row r="41" spans="1:6">
      <c r="A41" s="21">
        <v>2027</v>
      </c>
      <c r="B41" s="21" t="s">
        <v>848</v>
      </c>
      <c r="C41" s="21">
        <v>2028</v>
      </c>
      <c r="D41" s="21" t="s">
        <v>106</v>
      </c>
      <c r="E41" s="19" t="s">
        <v>849</v>
      </c>
      <c r="F41" s="21">
        <v>0</v>
      </c>
    </row>
    <row r="42" spans="1:6">
      <c r="A42" s="21">
        <v>2028</v>
      </c>
      <c r="B42" s="21" t="s">
        <v>843</v>
      </c>
      <c r="C42" s="21">
        <v>2028</v>
      </c>
      <c r="D42" s="21" t="s">
        <v>105</v>
      </c>
      <c r="E42" s="19" t="s">
        <v>844</v>
      </c>
      <c r="F42" s="21">
        <v>2056</v>
      </c>
    </row>
    <row r="43" spans="1:6">
      <c r="A43" s="21">
        <v>2028</v>
      </c>
      <c r="B43" s="21" t="s">
        <v>845</v>
      </c>
      <c r="C43" s="21">
        <v>2028</v>
      </c>
      <c r="D43" s="21" t="s">
        <v>105</v>
      </c>
      <c r="E43" s="19" t="s">
        <v>844</v>
      </c>
      <c r="F43" s="21">
        <v>2020</v>
      </c>
    </row>
    <row r="44" spans="1:6">
      <c r="A44" s="21">
        <v>2028</v>
      </c>
      <c r="B44" s="21" t="s">
        <v>846</v>
      </c>
      <c r="C44" s="21">
        <v>2029</v>
      </c>
      <c r="D44" s="21" t="s">
        <v>105</v>
      </c>
      <c r="E44" s="19" t="s">
        <v>844</v>
      </c>
      <c r="F44" s="21">
        <v>2374</v>
      </c>
    </row>
    <row r="45" spans="1:6">
      <c r="A45" s="21">
        <v>2028</v>
      </c>
      <c r="B45" s="21" t="s">
        <v>847</v>
      </c>
      <c r="C45" s="21">
        <v>2029</v>
      </c>
      <c r="D45" s="21" t="s">
        <v>105</v>
      </c>
      <c r="E45" s="19" t="s">
        <v>844</v>
      </c>
      <c r="F45" s="21">
        <v>1751</v>
      </c>
    </row>
    <row r="46" spans="1:6">
      <c r="A46" s="21">
        <v>2028</v>
      </c>
      <c r="B46" s="21" t="s">
        <v>848</v>
      </c>
      <c r="C46" s="21">
        <v>2029</v>
      </c>
      <c r="D46" s="21" t="s">
        <v>105</v>
      </c>
      <c r="E46" s="19" t="s">
        <v>844</v>
      </c>
      <c r="F46" s="21">
        <v>2593</v>
      </c>
    </row>
    <row r="47" spans="1:6">
      <c r="A47" s="21">
        <v>2028</v>
      </c>
      <c r="B47" s="21" t="s">
        <v>843</v>
      </c>
      <c r="C47" s="21">
        <v>2028</v>
      </c>
      <c r="D47" s="21" t="s">
        <v>105</v>
      </c>
      <c r="E47" s="19" t="s">
        <v>849</v>
      </c>
      <c r="F47" s="21">
        <v>0</v>
      </c>
    </row>
    <row r="48" spans="1:6">
      <c r="A48" s="21">
        <v>2028</v>
      </c>
      <c r="B48" s="21" t="s">
        <v>845</v>
      </c>
      <c r="C48" s="21">
        <v>2028</v>
      </c>
      <c r="D48" s="21" t="s">
        <v>105</v>
      </c>
      <c r="E48" s="19" t="s">
        <v>849</v>
      </c>
      <c r="F48" s="21">
        <v>35</v>
      </c>
    </row>
    <row r="49" spans="1:6">
      <c r="A49" s="21">
        <v>2028</v>
      </c>
      <c r="B49" s="21" t="s">
        <v>846</v>
      </c>
      <c r="C49" s="21">
        <v>2029</v>
      </c>
      <c r="D49" s="21" t="s">
        <v>105</v>
      </c>
      <c r="E49" s="19" t="s">
        <v>849</v>
      </c>
      <c r="F49" s="21">
        <v>103</v>
      </c>
    </row>
    <row r="50" spans="1:6">
      <c r="A50" s="21">
        <v>2028</v>
      </c>
      <c r="B50" s="21" t="s">
        <v>847</v>
      </c>
      <c r="C50" s="21">
        <v>2029</v>
      </c>
      <c r="D50" s="21" t="s">
        <v>105</v>
      </c>
      <c r="E50" s="19" t="s">
        <v>849</v>
      </c>
      <c r="F50" s="21">
        <v>63</v>
      </c>
    </row>
    <row r="51" spans="1:6">
      <c r="A51" s="21">
        <v>2028</v>
      </c>
      <c r="B51" s="21" t="s">
        <v>848</v>
      </c>
      <c r="C51" s="21">
        <v>2029</v>
      </c>
      <c r="D51" s="21" t="s">
        <v>105</v>
      </c>
      <c r="E51" s="19" t="s">
        <v>849</v>
      </c>
      <c r="F51" s="21">
        <v>101</v>
      </c>
    </row>
    <row r="52" spans="1:6">
      <c r="A52" s="21">
        <v>2028</v>
      </c>
      <c r="B52" s="21" t="s">
        <v>843</v>
      </c>
      <c r="C52" s="21">
        <v>2028</v>
      </c>
      <c r="D52" s="21" t="s">
        <v>106</v>
      </c>
      <c r="E52" s="19" t="s">
        <v>844</v>
      </c>
      <c r="F52" s="21">
        <v>1254</v>
      </c>
    </row>
    <row r="53" spans="1:6">
      <c r="A53" s="21">
        <v>2028</v>
      </c>
      <c r="B53" s="21" t="s">
        <v>845</v>
      </c>
      <c r="C53" s="21">
        <v>2028</v>
      </c>
      <c r="D53" s="21" t="s">
        <v>106</v>
      </c>
      <c r="E53" s="19" t="s">
        <v>844</v>
      </c>
      <c r="F53" s="21">
        <v>1086</v>
      </c>
    </row>
    <row r="54" spans="1:6">
      <c r="A54" s="21">
        <v>2028</v>
      </c>
      <c r="B54" s="21" t="s">
        <v>846</v>
      </c>
      <c r="C54" s="21">
        <v>2029</v>
      </c>
      <c r="D54" s="21" t="s">
        <v>106</v>
      </c>
      <c r="E54" s="19" t="s">
        <v>844</v>
      </c>
      <c r="F54" s="21">
        <v>1220</v>
      </c>
    </row>
    <row r="55" spans="1:6">
      <c r="A55" s="21">
        <v>2028</v>
      </c>
      <c r="B55" s="21" t="s">
        <v>847</v>
      </c>
      <c r="C55" s="21">
        <v>2029</v>
      </c>
      <c r="D55" s="21" t="s">
        <v>106</v>
      </c>
      <c r="E55" s="19" t="s">
        <v>844</v>
      </c>
      <c r="F55" s="21">
        <v>970</v>
      </c>
    </row>
    <row r="56" spans="1:6">
      <c r="A56" s="21">
        <v>2028</v>
      </c>
      <c r="B56" s="21" t="s">
        <v>848</v>
      </c>
      <c r="C56" s="21">
        <v>2029</v>
      </c>
      <c r="D56" s="21" t="s">
        <v>106</v>
      </c>
      <c r="E56" s="19" t="s">
        <v>844</v>
      </c>
      <c r="F56" s="21">
        <v>1248</v>
      </c>
    </row>
    <row r="57" spans="1:6">
      <c r="A57" s="21">
        <v>2028</v>
      </c>
      <c r="B57" s="21" t="s">
        <v>843</v>
      </c>
      <c r="C57" s="21">
        <v>2028</v>
      </c>
      <c r="D57" s="21" t="s">
        <v>106</v>
      </c>
      <c r="E57" s="19" t="s">
        <v>849</v>
      </c>
      <c r="F57" s="21">
        <v>36</v>
      </c>
    </row>
    <row r="58" spans="1:6">
      <c r="A58" s="21">
        <v>2028</v>
      </c>
      <c r="B58" s="21" t="s">
        <v>845</v>
      </c>
      <c r="C58" s="21">
        <v>2028</v>
      </c>
      <c r="D58" s="21" t="s">
        <v>106</v>
      </c>
      <c r="E58" s="19" t="s">
        <v>849</v>
      </c>
      <c r="F58" s="21">
        <v>31</v>
      </c>
    </row>
    <row r="59" spans="1:6">
      <c r="A59" s="21">
        <v>2028</v>
      </c>
      <c r="B59" s="21" t="s">
        <v>846</v>
      </c>
      <c r="C59" s="21">
        <v>2029</v>
      </c>
      <c r="D59" s="21" t="s">
        <v>106</v>
      </c>
      <c r="E59" s="19" t="s">
        <v>849</v>
      </c>
      <c r="F59" s="21">
        <v>33</v>
      </c>
    </row>
    <row r="60" spans="1:6">
      <c r="A60" s="21">
        <v>2028</v>
      </c>
      <c r="B60" s="21" t="s">
        <v>847</v>
      </c>
      <c r="C60" s="21">
        <v>2029</v>
      </c>
      <c r="D60" s="21" t="s">
        <v>106</v>
      </c>
      <c r="E60" s="19" t="s">
        <v>849</v>
      </c>
      <c r="F60" s="21">
        <v>28</v>
      </c>
    </row>
    <row r="61" spans="1:6">
      <c r="A61" s="21">
        <v>2028</v>
      </c>
      <c r="B61" s="21" t="s">
        <v>848</v>
      </c>
      <c r="C61" s="21">
        <v>2029</v>
      </c>
      <c r="D61" s="21" t="s">
        <v>106</v>
      </c>
      <c r="E61" s="19" t="s">
        <v>849</v>
      </c>
      <c r="F61" s="21">
        <v>36</v>
      </c>
    </row>
    <row r="62" spans="1:6">
      <c r="A62" s="21">
        <v>2029</v>
      </c>
      <c r="B62" s="21" t="s">
        <v>843</v>
      </c>
      <c r="C62" s="21">
        <v>2029</v>
      </c>
      <c r="D62" s="21" t="s">
        <v>105</v>
      </c>
      <c r="E62" s="19" t="s">
        <v>844</v>
      </c>
      <c r="F62" s="21">
        <v>2178</v>
      </c>
    </row>
    <row r="63" spans="1:6">
      <c r="A63" s="21">
        <v>2029</v>
      </c>
      <c r="B63" s="21" t="s">
        <v>845</v>
      </c>
      <c r="C63" s="21">
        <v>2029</v>
      </c>
      <c r="D63" s="21" t="s">
        <v>105</v>
      </c>
      <c r="E63" s="19" t="s">
        <v>844</v>
      </c>
      <c r="F63" s="21">
        <v>2177</v>
      </c>
    </row>
    <row r="64" spans="1:6">
      <c r="A64" s="21">
        <v>2029</v>
      </c>
      <c r="B64" s="21" t="s">
        <v>846</v>
      </c>
      <c r="C64" s="21">
        <v>2030</v>
      </c>
      <c r="D64" s="21" t="s">
        <v>105</v>
      </c>
      <c r="E64" s="19" t="s">
        <v>844</v>
      </c>
      <c r="F64" s="21">
        <v>2445</v>
      </c>
    </row>
    <row r="65" spans="1:6">
      <c r="A65" s="21">
        <v>2029</v>
      </c>
      <c r="B65" s="21" t="s">
        <v>847</v>
      </c>
      <c r="C65" s="21">
        <v>2030</v>
      </c>
      <c r="D65" s="21" t="s">
        <v>105</v>
      </c>
      <c r="E65" s="19" t="s">
        <v>844</v>
      </c>
      <c r="F65" s="21">
        <v>1813</v>
      </c>
    </row>
    <row r="66" spans="1:6">
      <c r="A66" s="21">
        <v>2029</v>
      </c>
      <c r="B66" s="21" t="s">
        <v>848</v>
      </c>
      <c r="C66" s="21">
        <v>2030</v>
      </c>
      <c r="D66" s="21" t="s">
        <v>105</v>
      </c>
      <c r="E66" s="19" t="s">
        <v>844</v>
      </c>
      <c r="F66" s="21">
        <v>2647</v>
      </c>
    </row>
    <row r="67" spans="1:6">
      <c r="A67" s="21">
        <v>2029</v>
      </c>
      <c r="B67" s="21" t="s">
        <v>843</v>
      </c>
      <c r="C67" s="21">
        <v>2029</v>
      </c>
      <c r="D67" s="21" t="s">
        <v>105</v>
      </c>
      <c r="E67" s="19" t="s">
        <v>849</v>
      </c>
      <c r="F67" s="21">
        <v>61</v>
      </c>
    </row>
    <row r="68" spans="1:6">
      <c r="A68" s="21">
        <v>2029</v>
      </c>
      <c r="B68" s="21" t="s">
        <v>845</v>
      </c>
      <c r="C68" s="21">
        <v>2029</v>
      </c>
      <c r="D68" s="21" t="s">
        <v>105</v>
      </c>
      <c r="E68" s="19" t="s">
        <v>849</v>
      </c>
      <c r="F68" s="21">
        <v>61</v>
      </c>
    </row>
    <row r="69" spans="1:6">
      <c r="A69" s="21">
        <v>2029</v>
      </c>
      <c r="B69" s="21" t="s">
        <v>846</v>
      </c>
      <c r="C69" s="21">
        <v>2030</v>
      </c>
      <c r="D69" s="21" t="s">
        <v>105</v>
      </c>
      <c r="E69" s="19" t="s">
        <v>849</v>
      </c>
      <c r="F69" s="21">
        <v>109</v>
      </c>
    </row>
    <row r="70" spans="1:6">
      <c r="A70" s="21">
        <v>2029</v>
      </c>
      <c r="B70" s="21" t="s">
        <v>847</v>
      </c>
      <c r="C70" s="21">
        <v>2030</v>
      </c>
      <c r="D70" s="21" t="s">
        <v>105</v>
      </c>
      <c r="E70" s="19" t="s">
        <v>849</v>
      </c>
      <c r="F70" s="21">
        <v>70</v>
      </c>
    </row>
    <row r="71" spans="1:6">
      <c r="A71" s="21">
        <v>2029</v>
      </c>
      <c r="B71" s="21" t="s">
        <v>848</v>
      </c>
      <c r="C71" s="21">
        <v>2030</v>
      </c>
      <c r="D71" s="21" t="s">
        <v>105</v>
      </c>
      <c r="E71" s="19" t="s">
        <v>849</v>
      </c>
      <c r="F71" s="21">
        <v>110</v>
      </c>
    </row>
    <row r="72" spans="1:6">
      <c r="A72" s="21">
        <v>2029</v>
      </c>
      <c r="B72" s="21" t="s">
        <v>843</v>
      </c>
      <c r="C72" s="21">
        <v>2029</v>
      </c>
      <c r="D72" s="21" t="s">
        <v>106</v>
      </c>
      <c r="E72" s="19" t="s">
        <v>844</v>
      </c>
      <c r="F72" s="21">
        <v>1310</v>
      </c>
    </row>
    <row r="73" spans="1:6">
      <c r="A73" s="21">
        <v>2029</v>
      </c>
      <c r="B73" s="21" t="s">
        <v>845</v>
      </c>
      <c r="C73" s="21">
        <v>2029</v>
      </c>
      <c r="D73" s="21" t="s">
        <v>106</v>
      </c>
      <c r="E73" s="19" t="s">
        <v>844</v>
      </c>
      <c r="F73" s="21">
        <v>1207</v>
      </c>
    </row>
    <row r="74" spans="1:6">
      <c r="A74" s="21">
        <v>2029</v>
      </c>
      <c r="B74" s="21" t="s">
        <v>846</v>
      </c>
      <c r="C74" s="21">
        <v>2030</v>
      </c>
      <c r="D74" s="21" t="s">
        <v>106</v>
      </c>
      <c r="E74" s="19" t="s">
        <v>844</v>
      </c>
      <c r="F74" s="21">
        <v>1305</v>
      </c>
    </row>
    <row r="75" spans="1:6">
      <c r="A75" s="21">
        <v>2029</v>
      </c>
      <c r="B75" s="21" t="s">
        <v>847</v>
      </c>
      <c r="C75" s="21">
        <v>2030</v>
      </c>
      <c r="D75" s="21" t="s">
        <v>106</v>
      </c>
      <c r="E75" s="19" t="s">
        <v>844</v>
      </c>
      <c r="F75" s="21">
        <v>1096</v>
      </c>
    </row>
    <row r="76" spans="1:6">
      <c r="A76" s="21">
        <v>2029</v>
      </c>
      <c r="B76" s="21" t="s">
        <v>848</v>
      </c>
      <c r="C76" s="21">
        <v>2030</v>
      </c>
      <c r="D76" s="21" t="s">
        <v>106</v>
      </c>
      <c r="E76" s="19" t="s">
        <v>844</v>
      </c>
      <c r="F76" s="21">
        <v>1399</v>
      </c>
    </row>
    <row r="77" spans="1:6">
      <c r="A77" s="21">
        <v>2029</v>
      </c>
      <c r="B77" s="21" t="s">
        <v>843</v>
      </c>
      <c r="C77" s="21">
        <v>2029</v>
      </c>
      <c r="D77" s="21" t="s">
        <v>106</v>
      </c>
      <c r="E77" s="19" t="s">
        <v>849</v>
      </c>
      <c r="F77" s="21">
        <v>49</v>
      </c>
    </row>
    <row r="78" spans="1:6">
      <c r="A78" s="21">
        <v>2029</v>
      </c>
      <c r="B78" s="21" t="s">
        <v>845</v>
      </c>
      <c r="C78" s="21">
        <v>2029</v>
      </c>
      <c r="D78" s="21" t="s">
        <v>106</v>
      </c>
      <c r="E78" s="19" t="s">
        <v>849</v>
      </c>
      <c r="F78" s="21">
        <v>43</v>
      </c>
    </row>
    <row r="79" spans="1:6">
      <c r="A79" s="21">
        <v>2029</v>
      </c>
      <c r="B79" s="21" t="s">
        <v>846</v>
      </c>
      <c r="C79" s="21">
        <v>2030</v>
      </c>
      <c r="D79" s="21" t="s">
        <v>106</v>
      </c>
      <c r="E79" s="19" t="s">
        <v>849</v>
      </c>
      <c r="F79" s="21">
        <v>45</v>
      </c>
    </row>
    <row r="80" spans="1:6">
      <c r="A80" s="21">
        <v>2029</v>
      </c>
      <c r="B80" s="21" t="s">
        <v>847</v>
      </c>
      <c r="C80" s="21">
        <v>2030</v>
      </c>
      <c r="D80" s="21" t="s">
        <v>106</v>
      </c>
      <c r="E80" s="19" t="s">
        <v>849</v>
      </c>
      <c r="F80" s="21">
        <v>41</v>
      </c>
    </row>
    <row r="81" spans="1:6">
      <c r="A81" s="21">
        <v>2029</v>
      </c>
      <c r="B81" s="21" t="s">
        <v>848</v>
      </c>
      <c r="C81" s="21">
        <v>2030</v>
      </c>
      <c r="D81" s="21" t="s">
        <v>106</v>
      </c>
      <c r="E81" s="19" t="s">
        <v>849</v>
      </c>
      <c r="F81" s="21">
        <v>49</v>
      </c>
    </row>
    <row r="82" spans="1:6">
      <c r="A82" s="21">
        <v>2025</v>
      </c>
      <c r="B82" s="21" t="s">
        <v>843</v>
      </c>
      <c r="C82" s="21">
        <v>2025</v>
      </c>
      <c r="D82" s="21" t="s">
        <v>106</v>
      </c>
      <c r="E82" s="19" t="s">
        <v>844</v>
      </c>
      <c r="F82" s="21">
        <v>1070</v>
      </c>
    </row>
    <row r="83" spans="1:6">
      <c r="A83" s="21">
        <v>2025</v>
      </c>
      <c r="B83" s="21" t="s">
        <v>845</v>
      </c>
      <c r="C83" s="21">
        <v>2025</v>
      </c>
      <c r="D83" s="21" t="s">
        <v>106</v>
      </c>
      <c r="E83" s="19" t="s">
        <v>844</v>
      </c>
      <c r="F83" s="21">
        <v>802</v>
      </c>
    </row>
    <row r="84" spans="1:6">
      <c r="A84" s="21">
        <v>2025</v>
      </c>
      <c r="B84" s="21" t="s">
        <v>846</v>
      </c>
      <c r="C84" s="21">
        <v>2026</v>
      </c>
      <c r="D84" s="21" t="s">
        <v>106</v>
      </c>
      <c r="E84" s="19" t="s">
        <v>844</v>
      </c>
      <c r="F84" s="21">
        <v>814</v>
      </c>
    </row>
    <row r="85" spans="1:6">
      <c r="A85" s="21">
        <v>2025</v>
      </c>
      <c r="B85" s="21" t="s">
        <v>847</v>
      </c>
      <c r="C85" s="21">
        <v>2026</v>
      </c>
      <c r="D85" s="21" t="s">
        <v>106</v>
      </c>
      <c r="E85" s="19" t="s">
        <v>844</v>
      </c>
      <c r="F85" s="21">
        <v>521</v>
      </c>
    </row>
    <row r="86" spans="1:6">
      <c r="A86" s="21">
        <v>2025</v>
      </c>
      <c r="B86" s="21" t="s">
        <v>848</v>
      </c>
      <c r="C86" s="21">
        <v>2026</v>
      </c>
      <c r="D86" s="21" t="s">
        <v>106</v>
      </c>
      <c r="E86" s="19" t="s">
        <v>844</v>
      </c>
      <c r="F86" s="21">
        <v>785</v>
      </c>
    </row>
  </sheetData>
  <autoFilter ref="A1:F86" xr:uid="{00000000-0001-0000-1100-000000000000}"/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840</v>
      </c>
      <c r="B1" s="47" t="s">
        <v>37</v>
      </c>
      <c r="C1" s="47" t="s">
        <v>38</v>
      </c>
      <c r="D1" s="51" t="s">
        <v>850</v>
      </c>
      <c r="E1" s="47" t="s">
        <v>851</v>
      </c>
      <c r="F1" s="47" t="s">
        <v>852</v>
      </c>
      <c r="G1" s="47" t="s">
        <v>738</v>
      </c>
    </row>
    <row r="2" spans="1:7" ht="28">
      <c r="A2" s="21">
        <v>2030</v>
      </c>
      <c r="B2" s="21" t="s">
        <v>105</v>
      </c>
      <c r="C2" s="19" t="s">
        <v>844</v>
      </c>
      <c r="D2" s="45">
        <v>0.03</v>
      </c>
      <c r="E2" s="19" t="s">
        <v>7</v>
      </c>
      <c r="F2" s="19" t="s">
        <v>844</v>
      </c>
      <c r="G2" s="18" t="s">
        <v>853</v>
      </c>
    </row>
    <row r="3" spans="1:7" ht="28">
      <c r="A3" s="21">
        <v>2030</v>
      </c>
      <c r="B3" s="21" t="s">
        <v>105</v>
      </c>
      <c r="C3" s="19" t="s">
        <v>849</v>
      </c>
      <c r="D3" s="45"/>
      <c r="E3" s="19" t="s">
        <v>7</v>
      </c>
      <c r="F3" s="19" t="s">
        <v>854</v>
      </c>
      <c r="G3" s="18" t="s">
        <v>855</v>
      </c>
    </row>
    <row r="4" spans="1:7" ht="28">
      <c r="A4" s="21">
        <v>2030</v>
      </c>
      <c r="B4" s="21" t="s">
        <v>106</v>
      </c>
      <c r="C4" s="19" t="s">
        <v>844</v>
      </c>
      <c r="D4" s="45">
        <v>0.03</v>
      </c>
      <c r="E4" s="19" t="s">
        <v>7</v>
      </c>
      <c r="F4" s="19" t="s">
        <v>844</v>
      </c>
      <c r="G4" s="18" t="s">
        <v>853</v>
      </c>
    </row>
    <row r="5" spans="1:7" ht="28">
      <c r="A5" s="21">
        <v>2030</v>
      </c>
      <c r="B5" s="21" t="s">
        <v>106</v>
      </c>
      <c r="C5" s="19" t="s">
        <v>849</v>
      </c>
      <c r="D5" s="45"/>
      <c r="E5" s="19" t="s">
        <v>7</v>
      </c>
      <c r="F5" s="19" t="s">
        <v>854</v>
      </c>
      <c r="G5" s="18" t="s">
        <v>855</v>
      </c>
    </row>
    <row r="6" spans="1:7" ht="28">
      <c r="A6" s="21">
        <v>2031</v>
      </c>
      <c r="B6" s="21" t="s">
        <v>105</v>
      </c>
      <c r="C6" s="19" t="s">
        <v>844</v>
      </c>
      <c r="D6" s="45">
        <v>0.03</v>
      </c>
      <c r="E6" s="19" t="s">
        <v>7</v>
      </c>
      <c r="F6" s="19" t="s">
        <v>844</v>
      </c>
      <c r="G6" s="18" t="s">
        <v>853</v>
      </c>
    </row>
    <row r="7" spans="1:7" ht="28">
      <c r="A7" s="21">
        <v>2031</v>
      </c>
      <c r="B7" s="21" t="s">
        <v>105</v>
      </c>
      <c r="C7" s="19" t="s">
        <v>849</v>
      </c>
      <c r="D7" s="45"/>
      <c r="E7" s="19" t="s">
        <v>7</v>
      </c>
      <c r="F7" s="19" t="s">
        <v>854</v>
      </c>
      <c r="G7" s="18" t="s">
        <v>855</v>
      </c>
    </row>
    <row r="8" spans="1:7" ht="28">
      <c r="A8" s="21">
        <v>2031</v>
      </c>
      <c r="B8" s="21" t="s">
        <v>106</v>
      </c>
      <c r="C8" s="19" t="s">
        <v>844</v>
      </c>
      <c r="D8" s="45">
        <v>0.03</v>
      </c>
      <c r="E8" s="19" t="s">
        <v>7</v>
      </c>
      <c r="F8" s="19" t="s">
        <v>844</v>
      </c>
      <c r="G8" s="18" t="s">
        <v>853</v>
      </c>
    </row>
    <row r="9" spans="1:7" ht="28">
      <c r="A9" s="21">
        <v>2031</v>
      </c>
      <c r="B9" s="21" t="s">
        <v>106</v>
      </c>
      <c r="C9" s="19" t="s">
        <v>849</v>
      </c>
      <c r="D9" s="45"/>
      <c r="E9" s="19" t="s">
        <v>7</v>
      </c>
      <c r="F9" s="19" t="s">
        <v>854</v>
      </c>
      <c r="G9" s="18" t="s">
        <v>855</v>
      </c>
    </row>
    <row r="10" spans="1:7" ht="28">
      <c r="A10" s="21">
        <v>2032</v>
      </c>
      <c r="B10" s="21" t="s">
        <v>105</v>
      </c>
      <c r="C10" s="19" t="s">
        <v>844</v>
      </c>
      <c r="D10" s="45">
        <v>0.03</v>
      </c>
      <c r="E10" s="19" t="s">
        <v>7</v>
      </c>
      <c r="F10" s="19" t="s">
        <v>844</v>
      </c>
      <c r="G10" s="18" t="s">
        <v>853</v>
      </c>
    </row>
    <row r="11" spans="1:7" ht="28">
      <c r="A11" s="21">
        <v>2032</v>
      </c>
      <c r="B11" s="21" t="s">
        <v>105</v>
      </c>
      <c r="C11" s="19" t="s">
        <v>849</v>
      </c>
      <c r="D11" s="45"/>
      <c r="E11" s="19" t="s">
        <v>7</v>
      </c>
      <c r="F11" s="19" t="s">
        <v>854</v>
      </c>
      <c r="G11" s="18" t="s">
        <v>855</v>
      </c>
    </row>
    <row r="12" spans="1:7" ht="28">
      <c r="A12" s="21">
        <v>2032</v>
      </c>
      <c r="B12" s="21" t="s">
        <v>106</v>
      </c>
      <c r="C12" s="19" t="s">
        <v>844</v>
      </c>
      <c r="D12" s="45">
        <v>0.03</v>
      </c>
      <c r="E12" s="19" t="s">
        <v>7</v>
      </c>
      <c r="F12" s="19" t="s">
        <v>844</v>
      </c>
      <c r="G12" s="18" t="s">
        <v>853</v>
      </c>
    </row>
    <row r="13" spans="1:7" ht="28">
      <c r="A13" s="21">
        <v>2032</v>
      </c>
      <c r="B13" s="21" t="s">
        <v>106</v>
      </c>
      <c r="C13" s="19" t="s">
        <v>849</v>
      </c>
      <c r="D13" s="45"/>
      <c r="E13" s="19" t="s">
        <v>7</v>
      </c>
      <c r="F13" s="19" t="s">
        <v>854</v>
      </c>
      <c r="G13" s="18" t="s">
        <v>855</v>
      </c>
    </row>
    <row r="14" spans="1:7" ht="28">
      <c r="A14" s="21">
        <v>2033</v>
      </c>
      <c r="B14" s="21" t="s">
        <v>105</v>
      </c>
      <c r="C14" s="19" t="s">
        <v>844</v>
      </c>
      <c r="D14" s="45">
        <v>0.03</v>
      </c>
      <c r="E14" s="19" t="s">
        <v>7</v>
      </c>
      <c r="F14" s="19" t="s">
        <v>844</v>
      </c>
      <c r="G14" s="18" t="s">
        <v>853</v>
      </c>
    </row>
    <row r="15" spans="1:7" ht="28">
      <c r="A15" s="21">
        <v>2033</v>
      </c>
      <c r="B15" s="21" t="s">
        <v>105</v>
      </c>
      <c r="C15" s="19" t="s">
        <v>849</v>
      </c>
      <c r="D15" s="45"/>
      <c r="E15" s="19" t="s">
        <v>7</v>
      </c>
      <c r="F15" s="19" t="s">
        <v>854</v>
      </c>
      <c r="G15" s="18" t="s">
        <v>855</v>
      </c>
    </row>
    <row r="16" spans="1:7" ht="28">
      <c r="A16" s="21">
        <v>2033</v>
      </c>
      <c r="B16" s="21" t="s">
        <v>106</v>
      </c>
      <c r="C16" s="19" t="s">
        <v>844</v>
      </c>
      <c r="D16" s="45">
        <v>0.03</v>
      </c>
      <c r="E16" s="19" t="s">
        <v>7</v>
      </c>
      <c r="F16" s="19" t="s">
        <v>844</v>
      </c>
      <c r="G16" s="18" t="s">
        <v>853</v>
      </c>
    </row>
    <row r="17" spans="1:7" ht="28">
      <c r="A17" s="21">
        <v>2033</v>
      </c>
      <c r="B17" s="21" t="s">
        <v>106</v>
      </c>
      <c r="C17" s="19" t="s">
        <v>849</v>
      </c>
      <c r="D17" s="45"/>
      <c r="E17" s="19" t="s">
        <v>7</v>
      </c>
      <c r="F17" s="19" t="s">
        <v>854</v>
      </c>
      <c r="G17" s="18" t="s">
        <v>855</v>
      </c>
    </row>
    <row r="18" spans="1:7" ht="28">
      <c r="A18" s="21">
        <v>2034</v>
      </c>
      <c r="B18" s="21" t="s">
        <v>105</v>
      </c>
      <c r="C18" s="19" t="s">
        <v>844</v>
      </c>
      <c r="D18" s="45">
        <v>0.03</v>
      </c>
      <c r="E18" s="19" t="s">
        <v>7</v>
      </c>
      <c r="F18" s="19" t="s">
        <v>844</v>
      </c>
      <c r="G18" s="18" t="s">
        <v>853</v>
      </c>
    </row>
    <row r="19" spans="1:7" ht="28">
      <c r="A19" s="21">
        <v>2034</v>
      </c>
      <c r="B19" s="21" t="s">
        <v>105</v>
      </c>
      <c r="C19" s="19" t="s">
        <v>849</v>
      </c>
      <c r="D19" s="45"/>
      <c r="E19" s="19" t="s">
        <v>7</v>
      </c>
      <c r="F19" s="19" t="s">
        <v>854</v>
      </c>
      <c r="G19" s="18" t="s">
        <v>855</v>
      </c>
    </row>
    <row r="20" spans="1:7" ht="28">
      <c r="A20" s="21">
        <v>2034</v>
      </c>
      <c r="B20" s="21" t="s">
        <v>106</v>
      </c>
      <c r="C20" s="19" t="s">
        <v>844</v>
      </c>
      <c r="D20" s="45">
        <v>0.03</v>
      </c>
      <c r="E20" s="19" t="s">
        <v>7</v>
      </c>
      <c r="F20" s="19" t="s">
        <v>844</v>
      </c>
      <c r="G20" s="18" t="s">
        <v>853</v>
      </c>
    </row>
    <row r="21" spans="1:7" ht="28">
      <c r="A21" s="21">
        <v>2034</v>
      </c>
      <c r="B21" s="21" t="s">
        <v>106</v>
      </c>
      <c r="C21" s="19" t="s">
        <v>849</v>
      </c>
      <c r="D21" s="45"/>
      <c r="E21" s="19" t="s">
        <v>7</v>
      </c>
      <c r="F21" s="19" t="s">
        <v>854</v>
      </c>
      <c r="G21" s="18" t="s">
        <v>855</v>
      </c>
    </row>
    <row r="22" spans="1:7" ht="28">
      <c r="A22" s="21">
        <v>2035</v>
      </c>
      <c r="B22" s="21" t="s">
        <v>105</v>
      </c>
      <c r="C22" s="19" t="s">
        <v>844</v>
      </c>
      <c r="D22" s="45">
        <v>0.03</v>
      </c>
      <c r="E22" s="19" t="s">
        <v>7</v>
      </c>
      <c r="F22" s="19" t="s">
        <v>844</v>
      </c>
      <c r="G22" s="18" t="s">
        <v>853</v>
      </c>
    </row>
    <row r="23" spans="1:7" ht="28">
      <c r="A23" s="21">
        <v>2035</v>
      </c>
      <c r="B23" s="21" t="s">
        <v>105</v>
      </c>
      <c r="C23" s="19" t="s">
        <v>849</v>
      </c>
      <c r="D23" s="45"/>
      <c r="E23" s="19" t="s">
        <v>7</v>
      </c>
      <c r="F23" s="19" t="s">
        <v>854</v>
      </c>
      <c r="G23" s="18" t="s">
        <v>855</v>
      </c>
    </row>
    <row r="24" spans="1:7" ht="28">
      <c r="A24" s="21">
        <v>2035</v>
      </c>
      <c r="B24" s="21" t="s">
        <v>106</v>
      </c>
      <c r="C24" s="19" t="s">
        <v>844</v>
      </c>
      <c r="D24" s="45">
        <v>0.03</v>
      </c>
      <c r="E24" s="19" t="s">
        <v>7</v>
      </c>
      <c r="F24" s="19" t="s">
        <v>844</v>
      </c>
      <c r="G24" s="18" t="s">
        <v>853</v>
      </c>
    </row>
    <row r="25" spans="1:7" ht="28">
      <c r="A25" s="21">
        <v>2035</v>
      </c>
      <c r="B25" s="21" t="s">
        <v>106</v>
      </c>
      <c r="C25" s="19" t="s">
        <v>849</v>
      </c>
      <c r="D25" s="45"/>
      <c r="E25" s="19" t="s">
        <v>7</v>
      </c>
      <c r="F25" s="19" t="s">
        <v>854</v>
      </c>
      <c r="G25" s="18" t="s">
        <v>855</v>
      </c>
    </row>
    <row r="26" spans="1:7" ht="28">
      <c r="A26" s="21">
        <v>2036</v>
      </c>
      <c r="B26" s="21" t="s">
        <v>105</v>
      </c>
      <c r="C26" s="19" t="s">
        <v>844</v>
      </c>
      <c r="D26" s="45">
        <v>0.03</v>
      </c>
      <c r="E26" s="19" t="s">
        <v>7</v>
      </c>
      <c r="F26" s="19" t="s">
        <v>844</v>
      </c>
      <c r="G26" s="18" t="s">
        <v>853</v>
      </c>
    </row>
    <row r="27" spans="1:7" ht="28">
      <c r="A27" s="21">
        <v>2036</v>
      </c>
      <c r="B27" s="21" t="s">
        <v>105</v>
      </c>
      <c r="C27" s="19" t="s">
        <v>849</v>
      </c>
      <c r="D27" s="45"/>
      <c r="E27" s="19" t="s">
        <v>7</v>
      </c>
      <c r="F27" s="19" t="s">
        <v>854</v>
      </c>
      <c r="G27" s="18" t="s">
        <v>855</v>
      </c>
    </row>
    <row r="28" spans="1:7" ht="28">
      <c r="A28" s="21">
        <v>2036</v>
      </c>
      <c r="B28" s="21" t="s">
        <v>106</v>
      </c>
      <c r="C28" s="19" t="s">
        <v>844</v>
      </c>
      <c r="D28" s="45">
        <v>0.03</v>
      </c>
      <c r="E28" s="19" t="s">
        <v>7</v>
      </c>
      <c r="F28" s="19" t="s">
        <v>844</v>
      </c>
      <c r="G28" s="18" t="s">
        <v>853</v>
      </c>
    </row>
    <row r="29" spans="1:7" ht="28">
      <c r="A29" s="21">
        <v>2036</v>
      </c>
      <c r="B29" s="21" t="s">
        <v>106</v>
      </c>
      <c r="C29" s="19" t="s">
        <v>849</v>
      </c>
      <c r="D29" s="45"/>
      <c r="E29" s="19" t="s">
        <v>7</v>
      </c>
      <c r="F29" s="19" t="s">
        <v>854</v>
      </c>
      <c r="G29" s="18" t="s">
        <v>855</v>
      </c>
    </row>
    <row r="30" spans="1:7" ht="28">
      <c r="A30" s="21">
        <v>2037</v>
      </c>
      <c r="B30" s="21" t="s">
        <v>105</v>
      </c>
      <c r="C30" s="19" t="s">
        <v>844</v>
      </c>
      <c r="D30" s="45">
        <v>0.03</v>
      </c>
      <c r="E30" s="19" t="s">
        <v>7</v>
      </c>
      <c r="F30" s="19" t="s">
        <v>844</v>
      </c>
      <c r="G30" s="18" t="s">
        <v>853</v>
      </c>
    </row>
    <row r="31" spans="1:7" ht="28">
      <c r="A31" s="21">
        <v>2037</v>
      </c>
      <c r="B31" s="21" t="s">
        <v>105</v>
      </c>
      <c r="C31" s="19" t="s">
        <v>849</v>
      </c>
      <c r="D31" s="45"/>
      <c r="E31" s="19" t="s">
        <v>7</v>
      </c>
      <c r="F31" s="19" t="s">
        <v>854</v>
      </c>
      <c r="G31" s="18" t="s">
        <v>855</v>
      </c>
    </row>
    <row r="32" spans="1:7" ht="28">
      <c r="A32" s="21">
        <v>2037</v>
      </c>
      <c r="B32" s="21" t="s">
        <v>106</v>
      </c>
      <c r="C32" s="19" t="s">
        <v>844</v>
      </c>
      <c r="D32" s="45">
        <v>0.03</v>
      </c>
      <c r="E32" s="19" t="s">
        <v>7</v>
      </c>
      <c r="F32" s="19" t="s">
        <v>844</v>
      </c>
      <c r="G32" s="18" t="s">
        <v>853</v>
      </c>
    </row>
    <row r="33" spans="1:7" ht="28">
      <c r="A33" s="21">
        <v>2037</v>
      </c>
      <c r="B33" s="21" t="s">
        <v>106</v>
      </c>
      <c r="C33" s="19" t="s">
        <v>849</v>
      </c>
      <c r="D33" s="45"/>
      <c r="E33" s="19" t="s">
        <v>7</v>
      </c>
      <c r="F33" s="19" t="s">
        <v>854</v>
      </c>
      <c r="G33" s="18" t="s">
        <v>855</v>
      </c>
    </row>
    <row r="34" spans="1:7" ht="28">
      <c r="A34" s="21">
        <v>2038</v>
      </c>
      <c r="B34" s="21" t="s">
        <v>105</v>
      </c>
      <c r="C34" s="19" t="s">
        <v>844</v>
      </c>
      <c r="D34" s="45">
        <v>0.03</v>
      </c>
      <c r="E34" s="19" t="s">
        <v>7</v>
      </c>
      <c r="F34" s="19" t="s">
        <v>844</v>
      </c>
      <c r="G34" s="18" t="s">
        <v>853</v>
      </c>
    </row>
    <row r="35" spans="1:7" ht="28">
      <c r="A35" s="21">
        <v>2038</v>
      </c>
      <c r="B35" s="21" t="s">
        <v>105</v>
      </c>
      <c r="C35" s="19" t="s">
        <v>849</v>
      </c>
      <c r="D35" s="45"/>
      <c r="E35" s="19" t="s">
        <v>7</v>
      </c>
      <c r="F35" s="19" t="s">
        <v>854</v>
      </c>
      <c r="G35" s="18" t="s">
        <v>855</v>
      </c>
    </row>
    <row r="36" spans="1:7" ht="28">
      <c r="A36" s="21">
        <v>2038</v>
      </c>
      <c r="B36" s="21" t="s">
        <v>106</v>
      </c>
      <c r="C36" s="19" t="s">
        <v>844</v>
      </c>
      <c r="D36" s="45">
        <v>0.03</v>
      </c>
      <c r="E36" s="19" t="s">
        <v>7</v>
      </c>
      <c r="F36" s="19" t="s">
        <v>844</v>
      </c>
      <c r="G36" s="18" t="s">
        <v>853</v>
      </c>
    </row>
    <row r="37" spans="1:7" ht="28">
      <c r="A37" s="21">
        <v>2038</v>
      </c>
      <c r="B37" s="21" t="s">
        <v>106</v>
      </c>
      <c r="C37" s="19" t="s">
        <v>849</v>
      </c>
      <c r="D37" s="45"/>
      <c r="E37" s="19" t="s">
        <v>7</v>
      </c>
      <c r="F37" s="19" t="s">
        <v>854</v>
      </c>
      <c r="G37" s="18" t="s">
        <v>855</v>
      </c>
    </row>
    <row r="38" spans="1:7" ht="28">
      <c r="A38" s="21">
        <v>2039</v>
      </c>
      <c r="B38" s="21" t="s">
        <v>105</v>
      </c>
      <c r="C38" s="19" t="s">
        <v>844</v>
      </c>
      <c r="D38" s="45">
        <v>0.03</v>
      </c>
      <c r="E38" s="19" t="s">
        <v>7</v>
      </c>
      <c r="F38" s="19" t="s">
        <v>844</v>
      </c>
      <c r="G38" s="18" t="s">
        <v>853</v>
      </c>
    </row>
    <row r="39" spans="1:7" ht="28">
      <c r="A39" s="21">
        <v>2039</v>
      </c>
      <c r="B39" s="21" t="s">
        <v>105</v>
      </c>
      <c r="C39" s="19" t="s">
        <v>849</v>
      </c>
      <c r="D39" s="45"/>
      <c r="E39" s="19" t="s">
        <v>7</v>
      </c>
      <c r="F39" s="19" t="s">
        <v>854</v>
      </c>
      <c r="G39" s="18" t="s">
        <v>855</v>
      </c>
    </row>
    <row r="40" spans="1:7" ht="28">
      <c r="A40" s="21">
        <v>2039</v>
      </c>
      <c r="B40" s="21" t="s">
        <v>106</v>
      </c>
      <c r="C40" s="19" t="s">
        <v>844</v>
      </c>
      <c r="D40" s="45">
        <v>0.03</v>
      </c>
      <c r="E40" s="19" t="s">
        <v>7</v>
      </c>
      <c r="F40" s="19" t="s">
        <v>844</v>
      </c>
      <c r="G40" s="18" t="s">
        <v>853</v>
      </c>
    </row>
    <row r="41" spans="1:7" ht="28">
      <c r="A41" s="21">
        <v>2039</v>
      </c>
      <c r="B41" s="21" t="s">
        <v>106</v>
      </c>
      <c r="C41" s="19" t="s">
        <v>849</v>
      </c>
      <c r="D41" s="45"/>
      <c r="E41" s="19" t="s">
        <v>7</v>
      </c>
      <c r="F41" s="19" t="s">
        <v>854</v>
      </c>
      <c r="G41" s="18" t="s">
        <v>855</v>
      </c>
    </row>
    <row r="42" spans="1:7" ht="28">
      <c r="A42" s="21">
        <v>2040</v>
      </c>
      <c r="B42" s="21" t="s">
        <v>105</v>
      </c>
      <c r="C42" s="19" t="s">
        <v>844</v>
      </c>
      <c r="D42" s="45">
        <v>0.03</v>
      </c>
      <c r="E42" s="19" t="s">
        <v>7</v>
      </c>
      <c r="F42" s="19" t="s">
        <v>844</v>
      </c>
      <c r="G42" s="18" t="s">
        <v>853</v>
      </c>
    </row>
    <row r="43" spans="1:7" ht="28">
      <c r="A43" s="21">
        <v>2040</v>
      </c>
      <c r="B43" s="21" t="s">
        <v>105</v>
      </c>
      <c r="C43" s="19" t="s">
        <v>849</v>
      </c>
      <c r="D43" s="45"/>
      <c r="E43" s="19" t="s">
        <v>7</v>
      </c>
      <c r="F43" s="19" t="s">
        <v>854</v>
      </c>
      <c r="G43" s="18" t="s">
        <v>855</v>
      </c>
    </row>
    <row r="44" spans="1:7" ht="28">
      <c r="A44" s="21">
        <v>2040</v>
      </c>
      <c r="B44" s="21" t="s">
        <v>106</v>
      </c>
      <c r="C44" s="19" t="s">
        <v>844</v>
      </c>
      <c r="D44" s="45">
        <v>0.03</v>
      </c>
      <c r="E44" s="19" t="s">
        <v>7</v>
      </c>
      <c r="F44" s="19" t="s">
        <v>844</v>
      </c>
      <c r="G44" s="18" t="s">
        <v>853</v>
      </c>
    </row>
    <row r="45" spans="1:7" ht="28">
      <c r="A45" s="21">
        <v>2040</v>
      </c>
      <c r="B45" s="21" t="s">
        <v>106</v>
      </c>
      <c r="C45" s="19" t="s">
        <v>849</v>
      </c>
      <c r="D45" s="45"/>
      <c r="E45" s="19" t="s">
        <v>7</v>
      </c>
      <c r="F45" s="19" t="s">
        <v>854</v>
      </c>
      <c r="G45" s="18" t="s">
        <v>855</v>
      </c>
    </row>
    <row r="46" spans="1:7" ht="28">
      <c r="A46" s="21">
        <v>2041</v>
      </c>
      <c r="B46" s="21" t="s">
        <v>105</v>
      </c>
      <c r="C46" s="19" t="s">
        <v>844</v>
      </c>
      <c r="D46" s="45">
        <v>0.03</v>
      </c>
      <c r="E46" s="19" t="s">
        <v>7</v>
      </c>
      <c r="F46" s="19" t="s">
        <v>844</v>
      </c>
      <c r="G46" s="18" t="s">
        <v>853</v>
      </c>
    </row>
    <row r="47" spans="1:7" ht="28">
      <c r="A47" s="21">
        <v>2041</v>
      </c>
      <c r="B47" s="21" t="s">
        <v>105</v>
      </c>
      <c r="C47" s="19" t="s">
        <v>849</v>
      </c>
      <c r="D47" s="45"/>
      <c r="E47" s="19" t="s">
        <v>7</v>
      </c>
      <c r="F47" s="19" t="s">
        <v>854</v>
      </c>
      <c r="G47" s="18" t="s">
        <v>855</v>
      </c>
    </row>
    <row r="48" spans="1:7" ht="28">
      <c r="A48" s="21">
        <v>2041</v>
      </c>
      <c r="B48" s="21" t="s">
        <v>106</v>
      </c>
      <c r="C48" s="19" t="s">
        <v>844</v>
      </c>
      <c r="D48" s="45">
        <v>0.03</v>
      </c>
      <c r="E48" s="19" t="s">
        <v>7</v>
      </c>
      <c r="F48" s="19" t="s">
        <v>844</v>
      </c>
      <c r="G48" s="18" t="s">
        <v>853</v>
      </c>
    </row>
    <row r="49" spans="1:7" ht="28">
      <c r="A49" s="21">
        <v>2041</v>
      </c>
      <c r="B49" s="21" t="s">
        <v>106</v>
      </c>
      <c r="C49" s="19" t="s">
        <v>849</v>
      </c>
      <c r="D49" s="45"/>
      <c r="E49" s="19" t="s">
        <v>7</v>
      </c>
      <c r="F49" s="19" t="s">
        <v>854</v>
      </c>
      <c r="G49" s="18" t="s">
        <v>855</v>
      </c>
    </row>
    <row r="50" spans="1:7" ht="28">
      <c r="A50" s="21">
        <v>2042</v>
      </c>
      <c r="B50" s="21" t="s">
        <v>105</v>
      </c>
      <c r="C50" s="19" t="s">
        <v>844</v>
      </c>
      <c r="D50" s="45">
        <v>0.03</v>
      </c>
      <c r="E50" s="19" t="s">
        <v>7</v>
      </c>
      <c r="F50" s="19" t="s">
        <v>844</v>
      </c>
      <c r="G50" s="18" t="s">
        <v>853</v>
      </c>
    </row>
    <row r="51" spans="1:7" ht="28">
      <c r="A51" s="21">
        <v>2042</v>
      </c>
      <c r="B51" s="21" t="s">
        <v>105</v>
      </c>
      <c r="C51" s="19" t="s">
        <v>849</v>
      </c>
      <c r="D51" s="45"/>
      <c r="E51" s="19" t="s">
        <v>7</v>
      </c>
      <c r="F51" s="19" t="s">
        <v>854</v>
      </c>
      <c r="G51" s="18" t="s">
        <v>855</v>
      </c>
    </row>
    <row r="52" spans="1:7" ht="28">
      <c r="A52" s="21">
        <v>2042</v>
      </c>
      <c r="B52" s="21" t="s">
        <v>106</v>
      </c>
      <c r="C52" s="19" t="s">
        <v>844</v>
      </c>
      <c r="D52" s="45">
        <v>0.03</v>
      </c>
      <c r="E52" s="19" t="s">
        <v>7</v>
      </c>
      <c r="F52" s="19" t="s">
        <v>844</v>
      </c>
      <c r="G52" s="18" t="s">
        <v>853</v>
      </c>
    </row>
    <row r="53" spans="1:7" ht="28">
      <c r="A53" s="21">
        <v>2042</v>
      </c>
      <c r="B53" s="21" t="s">
        <v>106</v>
      </c>
      <c r="C53" s="19" t="s">
        <v>849</v>
      </c>
      <c r="D53" s="45"/>
      <c r="E53" s="19" t="s">
        <v>7</v>
      </c>
      <c r="F53" s="19" t="s">
        <v>854</v>
      </c>
      <c r="G53" s="18" t="s">
        <v>855</v>
      </c>
    </row>
    <row r="54" spans="1:7" ht="28">
      <c r="A54" s="21">
        <v>2043</v>
      </c>
      <c r="B54" s="21" t="s">
        <v>105</v>
      </c>
      <c r="C54" s="19" t="s">
        <v>844</v>
      </c>
      <c r="D54" s="45">
        <v>0.03</v>
      </c>
      <c r="E54" s="19" t="s">
        <v>7</v>
      </c>
      <c r="F54" s="19" t="s">
        <v>844</v>
      </c>
      <c r="G54" s="18" t="s">
        <v>853</v>
      </c>
    </row>
    <row r="55" spans="1:7" ht="28">
      <c r="A55" s="21">
        <v>2043</v>
      </c>
      <c r="B55" s="21" t="s">
        <v>105</v>
      </c>
      <c r="C55" s="19" t="s">
        <v>849</v>
      </c>
      <c r="D55" s="45"/>
      <c r="E55" s="19" t="s">
        <v>7</v>
      </c>
      <c r="F55" s="19" t="s">
        <v>854</v>
      </c>
      <c r="G55" s="18" t="s">
        <v>855</v>
      </c>
    </row>
    <row r="56" spans="1:7" ht="28">
      <c r="A56" s="21">
        <v>2043</v>
      </c>
      <c r="B56" s="21" t="s">
        <v>106</v>
      </c>
      <c r="C56" s="19" t="s">
        <v>844</v>
      </c>
      <c r="D56" s="45">
        <v>0.03</v>
      </c>
      <c r="E56" s="19" t="s">
        <v>7</v>
      </c>
      <c r="F56" s="19" t="s">
        <v>844</v>
      </c>
      <c r="G56" s="18" t="s">
        <v>853</v>
      </c>
    </row>
    <row r="57" spans="1:7" ht="28">
      <c r="A57" s="21">
        <v>2043</v>
      </c>
      <c r="B57" s="21" t="s">
        <v>106</v>
      </c>
      <c r="C57" s="19" t="s">
        <v>849</v>
      </c>
      <c r="D57" s="45"/>
      <c r="E57" s="19" t="s">
        <v>7</v>
      </c>
      <c r="F57" s="19" t="s">
        <v>854</v>
      </c>
      <c r="G57" s="18" t="s">
        <v>855</v>
      </c>
    </row>
    <row r="58" spans="1:7" ht="28">
      <c r="A58" s="21">
        <v>2044</v>
      </c>
      <c r="B58" s="21" t="s">
        <v>105</v>
      </c>
      <c r="C58" s="19" t="s">
        <v>844</v>
      </c>
      <c r="D58" s="45">
        <v>0.03</v>
      </c>
      <c r="E58" s="19" t="s">
        <v>7</v>
      </c>
      <c r="F58" s="19" t="s">
        <v>844</v>
      </c>
      <c r="G58" s="18" t="s">
        <v>853</v>
      </c>
    </row>
    <row r="59" spans="1:7" ht="28">
      <c r="A59" s="21">
        <v>2044</v>
      </c>
      <c r="B59" s="21" t="s">
        <v>105</v>
      </c>
      <c r="C59" s="19" t="s">
        <v>849</v>
      </c>
      <c r="D59" s="45"/>
      <c r="E59" s="19" t="s">
        <v>7</v>
      </c>
      <c r="F59" s="19" t="s">
        <v>854</v>
      </c>
      <c r="G59" s="18" t="s">
        <v>855</v>
      </c>
    </row>
    <row r="60" spans="1:7" ht="28">
      <c r="A60" s="21">
        <v>2044</v>
      </c>
      <c r="B60" s="21" t="s">
        <v>106</v>
      </c>
      <c r="C60" s="19" t="s">
        <v>844</v>
      </c>
      <c r="D60" s="45">
        <v>0.03</v>
      </c>
      <c r="E60" s="19" t="s">
        <v>7</v>
      </c>
      <c r="F60" s="19" t="s">
        <v>844</v>
      </c>
      <c r="G60" s="18" t="s">
        <v>853</v>
      </c>
    </row>
    <row r="61" spans="1:7" ht="28">
      <c r="A61" s="21">
        <v>2044</v>
      </c>
      <c r="B61" s="21" t="s">
        <v>106</v>
      </c>
      <c r="C61" s="19" t="s">
        <v>849</v>
      </c>
      <c r="D61" s="45"/>
      <c r="E61" s="19" t="s">
        <v>7</v>
      </c>
      <c r="F61" s="19" t="s">
        <v>854</v>
      </c>
      <c r="G61" s="18" t="s">
        <v>855</v>
      </c>
    </row>
    <row r="62" spans="1:7" ht="28">
      <c r="A62" s="21">
        <v>2045</v>
      </c>
      <c r="B62" s="21" t="s">
        <v>105</v>
      </c>
      <c r="C62" s="19" t="s">
        <v>844</v>
      </c>
      <c r="D62" s="45">
        <v>0.03</v>
      </c>
      <c r="E62" s="19" t="s">
        <v>7</v>
      </c>
      <c r="F62" s="19" t="s">
        <v>844</v>
      </c>
      <c r="G62" s="18" t="s">
        <v>853</v>
      </c>
    </row>
    <row r="63" spans="1:7" ht="28">
      <c r="A63" s="21">
        <v>2045</v>
      </c>
      <c r="B63" s="21" t="s">
        <v>105</v>
      </c>
      <c r="C63" s="19" t="s">
        <v>849</v>
      </c>
      <c r="D63" s="45"/>
      <c r="E63" s="19" t="s">
        <v>7</v>
      </c>
      <c r="F63" s="19" t="s">
        <v>854</v>
      </c>
      <c r="G63" s="18" t="s">
        <v>855</v>
      </c>
    </row>
    <row r="64" spans="1:7" ht="28">
      <c r="A64" s="21">
        <v>2045</v>
      </c>
      <c r="B64" s="21" t="s">
        <v>106</v>
      </c>
      <c r="C64" s="19" t="s">
        <v>844</v>
      </c>
      <c r="D64" s="45">
        <v>0.03</v>
      </c>
      <c r="E64" s="19" t="s">
        <v>7</v>
      </c>
      <c r="F64" s="19" t="s">
        <v>844</v>
      </c>
      <c r="G64" s="18" t="s">
        <v>853</v>
      </c>
    </row>
    <row r="65" spans="1:7" ht="28">
      <c r="A65" s="21">
        <v>2045</v>
      </c>
      <c r="B65" s="21" t="s">
        <v>106</v>
      </c>
      <c r="C65" s="19" t="s">
        <v>849</v>
      </c>
      <c r="D65" s="45"/>
      <c r="E65" s="19" t="s">
        <v>7</v>
      </c>
      <c r="F65" s="19" t="s">
        <v>854</v>
      </c>
      <c r="G65" s="18" t="s">
        <v>855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856</v>
      </c>
      <c r="E1" s="47" t="s">
        <v>738</v>
      </c>
    </row>
    <row r="2" spans="1:5" ht="28">
      <c r="A2" s="21" t="s">
        <v>105</v>
      </c>
      <c r="B2" s="19" t="s">
        <v>844</v>
      </c>
      <c r="C2" s="21" t="s">
        <v>843</v>
      </c>
      <c r="D2" s="19">
        <v>18.5</v>
      </c>
      <c r="E2" s="19" t="s">
        <v>857</v>
      </c>
    </row>
    <row r="3" spans="1:5" ht="28">
      <c r="A3" s="21" t="s">
        <v>105</v>
      </c>
      <c r="B3" s="19" t="s">
        <v>844</v>
      </c>
      <c r="C3" s="21" t="s">
        <v>845</v>
      </c>
      <c r="D3" s="19">
        <v>18.5</v>
      </c>
      <c r="E3" s="19" t="s">
        <v>857</v>
      </c>
    </row>
    <row r="4" spans="1:5" ht="28">
      <c r="A4" s="21" t="s">
        <v>105</v>
      </c>
      <c r="B4" s="19" t="s">
        <v>844</v>
      </c>
      <c r="C4" s="21" t="s">
        <v>846</v>
      </c>
      <c r="D4" s="19">
        <v>22</v>
      </c>
      <c r="E4" s="19" t="s">
        <v>857</v>
      </c>
    </row>
    <row r="5" spans="1:5" ht="28">
      <c r="A5" s="21" t="s">
        <v>105</v>
      </c>
      <c r="B5" s="19" t="s">
        <v>844</v>
      </c>
      <c r="C5" s="21" t="s">
        <v>847</v>
      </c>
      <c r="D5" s="19">
        <v>16</v>
      </c>
      <c r="E5" s="19" t="s">
        <v>857</v>
      </c>
    </row>
    <row r="6" spans="1:5" ht="28">
      <c r="A6" s="21" t="s">
        <v>105</v>
      </c>
      <c r="B6" s="19" t="s">
        <v>844</v>
      </c>
      <c r="C6" s="21" t="s">
        <v>848</v>
      </c>
      <c r="D6" s="19">
        <v>25</v>
      </c>
      <c r="E6" s="19" t="s">
        <v>857</v>
      </c>
    </row>
    <row r="7" spans="1:5" ht="28">
      <c r="A7" s="21" t="s">
        <v>105</v>
      </c>
      <c r="B7" s="19" t="s">
        <v>849</v>
      </c>
      <c r="C7" s="21" t="s">
        <v>843</v>
      </c>
      <c r="D7" s="19">
        <v>18.5</v>
      </c>
      <c r="E7" s="19" t="s">
        <v>857</v>
      </c>
    </row>
    <row r="8" spans="1:5" ht="28">
      <c r="A8" s="21" t="s">
        <v>105</v>
      </c>
      <c r="B8" s="19" t="s">
        <v>849</v>
      </c>
      <c r="C8" s="21" t="s">
        <v>845</v>
      </c>
      <c r="D8" s="19">
        <v>18.5</v>
      </c>
      <c r="E8" s="19" t="s">
        <v>857</v>
      </c>
    </row>
    <row r="9" spans="1:5" ht="28">
      <c r="A9" s="21" t="s">
        <v>105</v>
      </c>
      <c r="B9" s="19" t="s">
        <v>849</v>
      </c>
      <c r="C9" s="21" t="s">
        <v>846</v>
      </c>
      <c r="D9" s="19">
        <v>22</v>
      </c>
      <c r="E9" s="19" t="s">
        <v>857</v>
      </c>
    </row>
    <row r="10" spans="1:5" ht="28">
      <c r="A10" s="21" t="s">
        <v>105</v>
      </c>
      <c r="B10" s="19" t="s">
        <v>849</v>
      </c>
      <c r="C10" s="21" t="s">
        <v>847</v>
      </c>
      <c r="D10" s="19">
        <v>16</v>
      </c>
      <c r="E10" s="19" t="s">
        <v>857</v>
      </c>
    </row>
    <row r="11" spans="1:5" ht="28">
      <c r="A11" s="21" t="s">
        <v>105</v>
      </c>
      <c r="B11" s="19" t="s">
        <v>849</v>
      </c>
      <c r="C11" s="21" t="s">
        <v>848</v>
      </c>
      <c r="D11" s="19">
        <v>25</v>
      </c>
      <c r="E11" s="19" t="s">
        <v>857</v>
      </c>
    </row>
    <row r="12" spans="1:5" ht="28">
      <c r="A12" s="21" t="s">
        <v>106</v>
      </c>
      <c r="B12" s="19" t="s">
        <v>844</v>
      </c>
      <c r="C12" s="21" t="s">
        <v>843</v>
      </c>
      <c r="D12" s="19">
        <v>20.5</v>
      </c>
      <c r="E12" s="19" t="s">
        <v>857</v>
      </c>
    </row>
    <row r="13" spans="1:5" ht="28">
      <c r="A13" s="21" t="s">
        <v>106</v>
      </c>
      <c r="B13" s="19" t="s">
        <v>844</v>
      </c>
      <c r="C13" s="21" t="s">
        <v>845</v>
      </c>
      <c r="D13" s="19">
        <v>19</v>
      </c>
      <c r="E13" s="19" t="s">
        <v>857</v>
      </c>
    </row>
    <row r="14" spans="1:5" ht="28">
      <c r="A14" s="21" t="s">
        <v>106</v>
      </c>
      <c r="B14" s="19" t="s">
        <v>844</v>
      </c>
      <c r="C14" s="21" t="s">
        <v>846</v>
      </c>
      <c r="D14" s="19">
        <v>22</v>
      </c>
      <c r="E14" s="19" t="s">
        <v>857</v>
      </c>
    </row>
    <row r="15" spans="1:5" ht="28">
      <c r="A15" s="21" t="s">
        <v>106</v>
      </c>
      <c r="B15" s="19" t="s">
        <v>844</v>
      </c>
      <c r="C15" s="21" t="s">
        <v>847</v>
      </c>
      <c r="D15" s="19">
        <v>17</v>
      </c>
      <c r="E15" s="19" t="s">
        <v>857</v>
      </c>
    </row>
    <row r="16" spans="1:5" ht="28">
      <c r="A16" s="21" t="s">
        <v>106</v>
      </c>
      <c r="B16" s="19" t="s">
        <v>844</v>
      </c>
      <c r="C16" s="21" t="s">
        <v>848</v>
      </c>
      <c r="D16" s="19">
        <v>21.5</v>
      </c>
      <c r="E16" s="19" t="s">
        <v>857</v>
      </c>
    </row>
    <row r="17" spans="1:5" ht="28">
      <c r="A17" s="21" t="s">
        <v>106</v>
      </c>
      <c r="B17" s="19" t="s">
        <v>849</v>
      </c>
      <c r="C17" s="21" t="s">
        <v>843</v>
      </c>
      <c r="D17" s="19">
        <v>20.5</v>
      </c>
      <c r="E17" s="19" t="s">
        <v>857</v>
      </c>
    </row>
    <row r="18" spans="1:5" ht="28">
      <c r="A18" s="21" t="s">
        <v>106</v>
      </c>
      <c r="B18" s="19" t="s">
        <v>849</v>
      </c>
      <c r="C18" s="21" t="s">
        <v>845</v>
      </c>
      <c r="D18" s="19">
        <v>19</v>
      </c>
      <c r="E18" s="19" t="s">
        <v>857</v>
      </c>
    </row>
    <row r="19" spans="1:5" ht="28">
      <c r="A19" s="21" t="s">
        <v>106</v>
      </c>
      <c r="B19" s="19" t="s">
        <v>849</v>
      </c>
      <c r="C19" s="21" t="s">
        <v>846</v>
      </c>
      <c r="D19" s="19">
        <v>22</v>
      </c>
      <c r="E19" s="19" t="s">
        <v>857</v>
      </c>
    </row>
    <row r="20" spans="1:5" ht="28">
      <c r="A20" s="21" t="s">
        <v>106</v>
      </c>
      <c r="B20" s="19" t="s">
        <v>849</v>
      </c>
      <c r="C20" s="21" t="s">
        <v>847</v>
      </c>
      <c r="D20" s="19">
        <v>17</v>
      </c>
      <c r="E20" s="19" t="s">
        <v>857</v>
      </c>
    </row>
    <row r="21" spans="1:5" ht="28">
      <c r="A21" s="21" t="s">
        <v>106</v>
      </c>
      <c r="B21" s="19" t="s">
        <v>849</v>
      </c>
      <c r="C21" s="21" t="s">
        <v>848</v>
      </c>
      <c r="D21" s="19">
        <v>21.5</v>
      </c>
      <c r="E21" s="19" t="s">
        <v>857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858</v>
      </c>
      <c r="D1" s="47" t="s">
        <v>859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844</v>
      </c>
      <c r="C2" s="21" t="s">
        <v>860</v>
      </c>
      <c r="D2" s="19" t="s">
        <v>861</v>
      </c>
      <c r="E2" s="45">
        <v>0.9</v>
      </c>
      <c r="F2" s="19" t="s">
        <v>862</v>
      </c>
    </row>
    <row r="3" spans="1:6" ht="28">
      <c r="A3" s="21" t="s">
        <v>105</v>
      </c>
      <c r="B3" s="19" t="s">
        <v>844</v>
      </c>
      <c r="C3" s="21" t="s">
        <v>861</v>
      </c>
      <c r="D3" s="19" t="s">
        <v>863</v>
      </c>
      <c r="E3" s="45">
        <v>0.95</v>
      </c>
      <c r="F3" s="19" t="s">
        <v>862</v>
      </c>
    </row>
    <row r="4" spans="1:6" ht="28">
      <c r="A4" s="21" t="s">
        <v>105</v>
      </c>
      <c r="B4" s="19" t="s">
        <v>844</v>
      </c>
      <c r="C4" s="21" t="s">
        <v>863</v>
      </c>
      <c r="D4" s="19" t="s">
        <v>864</v>
      </c>
      <c r="E4" s="45">
        <v>0.95</v>
      </c>
      <c r="F4" s="19" t="s">
        <v>862</v>
      </c>
    </row>
    <row r="5" spans="1:6" ht="28">
      <c r="A5" s="21" t="s">
        <v>105</v>
      </c>
      <c r="B5" s="19" t="s">
        <v>844</v>
      </c>
      <c r="C5" s="21" t="s">
        <v>864</v>
      </c>
      <c r="D5" s="19" t="s">
        <v>865</v>
      </c>
      <c r="E5" s="45">
        <v>0.92</v>
      </c>
      <c r="F5" s="19" t="s">
        <v>862</v>
      </c>
    </row>
    <row r="6" spans="1:6" ht="28">
      <c r="A6" s="21" t="s">
        <v>105</v>
      </c>
      <c r="B6" s="19" t="s">
        <v>844</v>
      </c>
      <c r="C6" s="21" t="s">
        <v>865</v>
      </c>
      <c r="D6" s="19" t="s">
        <v>866</v>
      </c>
      <c r="E6" s="45">
        <v>0.95</v>
      </c>
      <c r="F6" s="19" t="s">
        <v>862</v>
      </c>
    </row>
    <row r="7" spans="1:6" ht="28">
      <c r="A7" s="21" t="s">
        <v>105</v>
      </c>
      <c r="B7" s="19" t="s">
        <v>844</v>
      </c>
      <c r="C7" s="21" t="s">
        <v>866</v>
      </c>
      <c r="D7" s="19" t="s">
        <v>867</v>
      </c>
      <c r="E7" s="45">
        <v>0.88</v>
      </c>
      <c r="F7" s="19" t="s">
        <v>862</v>
      </c>
    </row>
    <row r="8" spans="1:6" ht="28">
      <c r="A8" s="21" t="s">
        <v>105</v>
      </c>
      <c r="B8" s="19" t="s">
        <v>844</v>
      </c>
      <c r="C8" s="21" t="s">
        <v>867</v>
      </c>
      <c r="D8" s="19" t="s">
        <v>868</v>
      </c>
      <c r="E8" s="45">
        <v>0.88</v>
      </c>
      <c r="F8" s="19" t="s">
        <v>862</v>
      </c>
    </row>
    <row r="9" spans="1:6" ht="28">
      <c r="A9" s="21" t="s">
        <v>105</v>
      </c>
      <c r="B9" s="19" t="s">
        <v>844</v>
      </c>
      <c r="C9" s="21" t="s">
        <v>868</v>
      </c>
      <c r="D9" s="19" t="s">
        <v>869</v>
      </c>
      <c r="E9" s="45">
        <v>0.88</v>
      </c>
      <c r="F9" s="19" t="s">
        <v>862</v>
      </c>
    </row>
    <row r="10" spans="1:6" ht="28">
      <c r="A10" s="21" t="s">
        <v>105</v>
      </c>
      <c r="B10" s="19" t="s">
        <v>844</v>
      </c>
      <c r="C10" s="21" t="s">
        <v>869</v>
      </c>
      <c r="D10" s="19" t="s">
        <v>870</v>
      </c>
      <c r="E10" s="45">
        <v>0.88</v>
      </c>
      <c r="F10" s="19" t="s">
        <v>862</v>
      </c>
    </row>
    <row r="11" spans="1:6" ht="28">
      <c r="A11" s="21" t="s">
        <v>105</v>
      </c>
      <c r="B11" s="19" t="s">
        <v>844</v>
      </c>
      <c r="C11" s="21" t="s">
        <v>870</v>
      </c>
      <c r="D11" s="19" t="s">
        <v>871</v>
      </c>
      <c r="E11" s="45">
        <v>0.2</v>
      </c>
      <c r="F11" s="19" t="s">
        <v>862</v>
      </c>
    </row>
    <row r="12" spans="1:6" ht="28">
      <c r="A12" s="21" t="s">
        <v>105</v>
      </c>
      <c r="B12" s="19" t="s">
        <v>844</v>
      </c>
      <c r="C12" s="21" t="s">
        <v>871</v>
      </c>
      <c r="D12" s="19" t="s">
        <v>872</v>
      </c>
      <c r="E12" s="45">
        <v>0.1</v>
      </c>
      <c r="F12" s="19" t="s">
        <v>862</v>
      </c>
    </row>
    <row r="13" spans="1:6" ht="28">
      <c r="A13" s="21" t="s">
        <v>105</v>
      </c>
      <c r="B13" s="19" t="s">
        <v>844</v>
      </c>
      <c r="C13" s="21" t="s">
        <v>872</v>
      </c>
      <c r="D13" s="19" t="s">
        <v>873</v>
      </c>
      <c r="E13" s="45">
        <v>0.4</v>
      </c>
      <c r="F13" s="19" t="s">
        <v>862</v>
      </c>
    </row>
    <row r="14" spans="1:6" ht="28">
      <c r="A14" s="21" t="s">
        <v>105</v>
      </c>
      <c r="B14" s="19" t="s">
        <v>844</v>
      </c>
      <c r="C14" s="21" t="s">
        <v>873</v>
      </c>
      <c r="D14" s="19" t="s">
        <v>874</v>
      </c>
      <c r="E14" s="45">
        <v>0.3</v>
      </c>
      <c r="F14" s="19" t="s">
        <v>862</v>
      </c>
    </row>
    <row r="15" spans="1:6" ht="28">
      <c r="A15" s="21" t="s">
        <v>105</v>
      </c>
      <c r="B15" s="19" t="s">
        <v>844</v>
      </c>
      <c r="C15" s="21" t="s">
        <v>874</v>
      </c>
      <c r="D15" s="19" t="s">
        <v>875</v>
      </c>
      <c r="E15" s="45">
        <v>0.01</v>
      </c>
      <c r="F15" s="19" t="s">
        <v>862</v>
      </c>
    </row>
    <row r="16" spans="1:6" ht="28">
      <c r="A16" s="21" t="s">
        <v>105</v>
      </c>
      <c r="B16" s="19" t="s">
        <v>849</v>
      </c>
      <c r="C16" s="21" t="s">
        <v>860</v>
      </c>
      <c r="D16" s="19" t="s">
        <v>861</v>
      </c>
      <c r="E16" s="45">
        <v>0.9</v>
      </c>
      <c r="F16" s="19" t="s">
        <v>862</v>
      </c>
    </row>
    <row r="17" spans="1:6" ht="28">
      <c r="A17" s="21" t="s">
        <v>105</v>
      </c>
      <c r="B17" s="19" t="s">
        <v>849</v>
      </c>
      <c r="C17" s="21" t="s">
        <v>861</v>
      </c>
      <c r="D17" s="19" t="s">
        <v>863</v>
      </c>
      <c r="E17" s="45">
        <v>0.95</v>
      </c>
      <c r="F17" s="19" t="s">
        <v>862</v>
      </c>
    </row>
    <row r="18" spans="1:6" ht="28">
      <c r="A18" s="21" t="s">
        <v>105</v>
      </c>
      <c r="B18" s="19" t="s">
        <v>849</v>
      </c>
      <c r="C18" s="21" t="s">
        <v>863</v>
      </c>
      <c r="D18" s="19" t="s">
        <v>864</v>
      </c>
      <c r="E18" s="45">
        <v>0.95</v>
      </c>
      <c r="F18" s="19" t="s">
        <v>862</v>
      </c>
    </row>
    <row r="19" spans="1:6" ht="28">
      <c r="A19" s="21" t="s">
        <v>105</v>
      </c>
      <c r="B19" s="19" t="s">
        <v>849</v>
      </c>
      <c r="C19" s="21" t="s">
        <v>864</v>
      </c>
      <c r="D19" s="19" t="s">
        <v>865</v>
      </c>
      <c r="E19" s="45">
        <v>0.92</v>
      </c>
      <c r="F19" s="19" t="s">
        <v>862</v>
      </c>
    </row>
    <row r="20" spans="1:6" ht="28">
      <c r="A20" s="21" t="s">
        <v>105</v>
      </c>
      <c r="B20" s="19" t="s">
        <v>849</v>
      </c>
      <c r="C20" s="21" t="s">
        <v>865</v>
      </c>
      <c r="D20" s="19" t="s">
        <v>866</v>
      </c>
      <c r="E20" s="45">
        <v>0.95</v>
      </c>
      <c r="F20" s="19" t="s">
        <v>862</v>
      </c>
    </row>
    <row r="21" spans="1:6" ht="28">
      <c r="A21" s="21" t="s">
        <v>105</v>
      </c>
      <c r="B21" s="19" t="s">
        <v>849</v>
      </c>
      <c r="C21" s="21" t="s">
        <v>866</v>
      </c>
      <c r="D21" s="19" t="s">
        <v>867</v>
      </c>
      <c r="E21" s="45">
        <v>0.88</v>
      </c>
      <c r="F21" s="19" t="s">
        <v>862</v>
      </c>
    </row>
    <row r="22" spans="1:6" ht="28">
      <c r="A22" s="21" t="s">
        <v>105</v>
      </c>
      <c r="B22" s="19" t="s">
        <v>849</v>
      </c>
      <c r="C22" s="21" t="s">
        <v>867</v>
      </c>
      <c r="D22" s="19" t="s">
        <v>868</v>
      </c>
      <c r="E22" s="45">
        <v>0.88</v>
      </c>
      <c r="F22" s="19" t="s">
        <v>862</v>
      </c>
    </row>
    <row r="23" spans="1:6" ht="28">
      <c r="A23" s="21" t="s">
        <v>105</v>
      </c>
      <c r="B23" s="19" t="s">
        <v>849</v>
      </c>
      <c r="C23" s="21" t="s">
        <v>868</v>
      </c>
      <c r="D23" s="19" t="s">
        <v>869</v>
      </c>
      <c r="E23" s="45">
        <v>0.88</v>
      </c>
      <c r="F23" s="19" t="s">
        <v>862</v>
      </c>
    </row>
    <row r="24" spans="1:6" ht="28">
      <c r="A24" s="21" t="s">
        <v>105</v>
      </c>
      <c r="B24" s="19" t="s">
        <v>849</v>
      </c>
      <c r="C24" s="21" t="s">
        <v>869</v>
      </c>
      <c r="D24" s="19" t="s">
        <v>870</v>
      </c>
      <c r="E24" s="45">
        <v>0.88</v>
      </c>
      <c r="F24" s="19" t="s">
        <v>862</v>
      </c>
    </row>
    <row r="25" spans="1:6" ht="28">
      <c r="A25" s="21" t="s">
        <v>105</v>
      </c>
      <c r="B25" s="19" t="s">
        <v>849</v>
      </c>
      <c r="C25" s="21" t="s">
        <v>870</v>
      </c>
      <c r="D25" s="19" t="s">
        <v>871</v>
      </c>
      <c r="E25" s="45">
        <v>0.2</v>
      </c>
      <c r="F25" s="19" t="s">
        <v>862</v>
      </c>
    </row>
    <row r="26" spans="1:6" ht="28">
      <c r="A26" s="21" t="s">
        <v>105</v>
      </c>
      <c r="B26" s="19" t="s">
        <v>849</v>
      </c>
      <c r="C26" s="21" t="s">
        <v>871</v>
      </c>
      <c r="D26" s="19" t="s">
        <v>872</v>
      </c>
      <c r="E26" s="45">
        <v>0.1</v>
      </c>
      <c r="F26" s="19" t="s">
        <v>862</v>
      </c>
    </row>
    <row r="27" spans="1:6" ht="28">
      <c r="A27" s="21" t="s">
        <v>105</v>
      </c>
      <c r="B27" s="19" t="s">
        <v>849</v>
      </c>
      <c r="C27" s="21" t="s">
        <v>872</v>
      </c>
      <c r="D27" s="19" t="s">
        <v>873</v>
      </c>
      <c r="E27" s="45">
        <v>0.4</v>
      </c>
      <c r="F27" s="19" t="s">
        <v>862</v>
      </c>
    </row>
    <row r="28" spans="1:6" ht="28">
      <c r="A28" s="21" t="s">
        <v>105</v>
      </c>
      <c r="B28" s="19" t="s">
        <v>849</v>
      </c>
      <c r="C28" s="21" t="s">
        <v>873</v>
      </c>
      <c r="D28" s="19" t="s">
        <v>874</v>
      </c>
      <c r="E28" s="45">
        <v>0.3</v>
      </c>
      <c r="F28" s="19" t="s">
        <v>862</v>
      </c>
    </row>
    <row r="29" spans="1:6" ht="28">
      <c r="A29" s="21" t="s">
        <v>105</v>
      </c>
      <c r="B29" s="19" t="s">
        <v>849</v>
      </c>
      <c r="C29" s="21" t="s">
        <v>874</v>
      </c>
      <c r="D29" s="19" t="s">
        <v>875</v>
      </c>
      <c r="E29" s="45">
        <v>0.01</v>
      </c>
      <c r="F29" s="19" t="s">
        <v>862</v>
      </c>
    </row>
    <row r="30" spans="1:6" ht="28">
      <c r="A30" s="21" t="s">
        <v>106</v>
      </c>
      <c r="B30" s="19" t="s">
        <v>844</v>
      </c>
      <c r="C30" s="21" t="s">
        <v>860</v>
      </c>
      <c r="D30" s="19" t="s">
        <v>861</v>
      </c>
      <c r="E30" s="45">
        <v>0.87</v>
      </c>
      <c r="F30" s="19" t="s">
        <v>876</v>
      </c>
    </row>
    <row r="31" spans="1:6" ht="28">
      <c r="A31" s="21" t="s">
        <v>106</v>
      </c>
      <c r="B31" s="19" t="s">
        <v>844</v>
      </c>
      <c r="C31" s="21" t="s">
        <v>861</v>
      </c>
      <c r="D31" s="19" t="s">
        <v>863</v>
      </c>
      <c r="E31" s="45">
        <v>0.9</v>
      </c>
      <c r="F31" s="19" t="s">
        <v>876</v>
      </c>
    </row>
    <row r="32" spans="1:6" ht="28">
      <c r="A32" s="21" t="s">
        <v>106</v>
      </c>
      <c r="B32" s="19" t="s">
        <v>844</v>
      </c>
      <c r="C32" s="21" t="s">
        <v>863</v>
      </c>
      <c r="D32" s="19" t="s">
        <v>864</v>
      </c>
      <c r="E32" s="45">
        <v>0.9</v>
      </c>
      <c r="F32" s="19" t="s">
        <v>876</v>
      </c>
    </row>
    <row r="33" spans="1:6" ht="28">
      <c r="A33" s="21" t="s">
        <v>106</v>
      </c>
      <c r="B33" s="19" t="s">
        <v>844</v>
      </c>
      <c r="C33" s="21" t="s">
        <v>864</v>
      </c>
      <c r="D33" s="19" t="s">
        <v>865</v>
      </c>
      <c r="E33" s="45">
        <v>0.9</v>
      </c>
      <c r="F33" s="19" t="s">
        <v>876</v>
      </c>
    </row>
    <row r="34" spans="1:6" ht="28">
      <c r="A34" s="21" t="s">
        <v>106</v>
      </c>
      <c r="B34" s="19" t="s">
        <v>844</v>
      </c>
      <c r="C34" s="21" t="s">
        <v>865</v>
      </c>
      <c r="D34" s="19" t="s">
        <v>866</v>
      </c>
      <c r="E34" s="45">
        <v>0.9</v>
      </c>
      <c r="F34" s="19" t="s">
        <v>876</v>
      </c>
    </row>
    <row r="35" spans="1:6" ht="28">
      <c r="A35" s="21" t="s">
        <v>106</v>
      </c>
      <c r="B35" s="19" t="s">
        <v>844</v>
      </c>
      <c r="C35" s="21" t="s">
        <v>866</v>
      </c>
      <c r="D35" s="19" t="s">
        <v>867</v>
      </c>
      <c r="E35" s="45">
        <v>0.9</v>
      </c>
      <c r="F35" s="19" t="s">
        <v>876</v>
      </c>
    </row>
    <row r="36" spans="1:6" ht="28">
      <c r="A36" s="21" t="s">
        <v>106</v>
      </c>
      <c r="B36" s="19" t="s">
        <v>844</v>
      </c>
      <c r="C36" s="21" t="s">
        <v>867</v>
      </c>
      <c r="D36" s="19" t="s">
        <v>868</v>
      </c>
      <c r="E36" s="45">
        <v>0.9</v>
      </c>
      <c r="F36" s="19" t="s">
        <v>876</v>
      </c>
    </row>
    <row r="37" spans="1:6" ht="28">
      <c r="A37" s="21" t="s">
        <v>106</v>
      </c>
      <c r="B37" s="19" t="s">
        <v>844</v>
      </c>
      <c r="C37" s="21" t="s">
        <v>868</v>
      </c>
      <c r="D37" s="19" t="s">
        <v>869</v>
      </c>
      <c r="E37" s="45">
        <v>0.9</v>
      </c>
      <c r="F37" s="19" t="s">
        <v>876</v>
      </c>
    </row>
    <row r="38" spans="1:6" ht="28">
      <c r="A38" s="21" t="s">
        <v>106</v>
      </c>
      <c r="B38" s="19" t="s">
        <v>844</v>
      </c>
      <c r="C38" s="21" t="s">
        <v>869</v>
      </c>
      <c r="D38" s="19" t="s">
        <v>870</v>
      </c>
      <c r="E38" s="45">
        <v>0.9</v>
      </c>
      <c r="F38" s="19" t="s">
        <v>876</v>
      </c>
    </row>
    <row r="39" spans="1:6" ht="28">
      <c r="A39" s="21" t="s">
        <v>106</v>
      </c>
      <c r="B39" s="19" t="s">
        <v>844</v>
      </c>
      <c r="C39" s="21" t="s">
        <v>870</v>
      </c>
      <c r="D39" s="19" t="s">
        <v>871</v>
      </c>
      <c r="E39" s="45">
        <v>0.92</v>
      </c>
      <c r="F39" s="19" t="s">
        <v>876</v>
      </c>
    </row>
    <row r="40" spans="1:6" ht="28">
      <c r="A40" s="21" t="s">
        <v>106</v>
      </c>
      <c r="B40" s="19" t="s">
        <v>844</v>
      </c>
      <c r="C40" s="21" t="s">
        <v>871</v>
      </c>
      <c r="D40" s="19" t="s">
        <v>872</v>
      </c>
      <c r="E40" s="45">
        <v>0.92</v>
      </c>
      <c r="F40" s="19" t="s">
        <v>876</v>
      </c>
    </row>
    <row r="41" spans="1:6" ht="28">
      <c r="A41" s="21" t="s">
        <v>106</v>
      </c>
      <c r="B41" s="19" t="s">
        <v>844</v>
      </c>
      <c r="C41" s="21" t="s">
        <v>872</v>
      </c>
      <c r="D41" s="19" t="s">
        <v>873</v>
      </c>
      <c r="E41" s="45">
        <v>0.92</v>
      </c>
      <c r="F41" s="19" t="s">
        <v>876</v>
      </c>
    </row>
    <row r="42" spans="1:6" ht="28">
      <c r="A42" s="21" t="s">
        <v>106</v>
      </c>
      <c r="B42" s="19" t="s">
        <v>844</v>
      </c>
      <c r="C42" s="21" t="s">
        <v>873</v>
      </c>
      <c r="D42" s="19" t="s">
        <v>874</v>
      </c>
      <c r="E42" s="45">
        <v>0.92</v>
      </c>
      <c r="F42" s="19" t="s">
        <v>876</v>
      </c>
    </row>
    <row r="43" spans="1:6" ht="28">
      <c r="A43" s="21" t="s">
        <v>106</v>
      </c>
      <c r="B43" s="19" t="s">
        <v>844</v>
      </c>
      <c r="C43" s="21" t="s">
        <v>874</v>
      </c>
      <c r="D43" s="19" t="s">
        <v>875</v>
      </c>
      <c r="E43" s="45">
        <v>0.92</v>
      </c>
      <c r="F43" s="19" t="s">
        <v>876</v>
      </c>
    </row>
    <row r="44" spans="1:6" ht="28">
      <c r="A44" s="21" t="s">
        <v>106</v>
      </c>
      <c r="B44" s="19" t="s">
        <v>844</v>
      </c>
      <c r="C44" s="21" t="s">
        <v>875</v>
      </c>
      <c r="D44" s="19" t="s">
        <v>877</v>
      </c>
      <c r="E44" s="45">
        <v>0.1</v>
      </c>
      <c r="F44" s="19" t="s">
        <v>876</v>
      </c>
    </row>
    <row r="45" spans="1:6" ht="28">
      <c r="A45" s="21" t="s">
        <v>106</v>
      </c>
      <c r="B45" s="19" t="s">
        <v>844</v>
      </c>
      <c r="C45" s="21" t="s">
        <v>877</v>
      </c>
      <c r="D45" s="19" t="s">
        <v>878</v>
      </c>
      <c r="E45" s="45">
        <v>0.8</v>
      </c>
      <c r="F45" s="19" t="s">
        <v>876</v>
      </c>
    </row>
    <row r="46" spans="1:6" ht="28">
      <c r="A46" s="21" t="s">
        <v>106</v>
      </c>
      <c r="B46" s="19" t="s">
        <v>844</v>
      </c>
      <c r="C46" s="21" t="s">
        <v>878</v>
      </c>
      <c r="D46" s="19" t="s">
        <v>879</v>
      </c>
      <c r="E46" s="45">
        <v>0.5</v>
      </c>
      <c r="F46" s="19" t="s">
        <v>876</v>
      </c>
    </row>
    <row r="47" spans="1:6" ht="28">
      <c r="A47" s="21" t="s">
        <v>106</v>
      </c>
      <c r="B47" s="19" t="s">
        <v>844</v>
      </c>
      <c r="C47" s="21" t="s">
        <v>879</v>
      </c>
      <c r="D47" s="19" t="s">
        <v>880</v>
      </c>
      <c r="E47" s="45">
        <v>0.3</v>
      </c>
      <c r="F47" s="19" t="s">
        <v>876</v>
      </c>
    </row>
    <row r="48" spans="1:6" ht="28">
      <c r="A48" s="21" t="s">
        <v>106</v>
      </c>
      <c r="B48" s="19" t="s">
        <v>844</v>
      </c>
      <c r="C48" s="21" t="s">
        <v>880</v>
      </c>
      <c r="D48" s="19" t="s">
        <v>881</v>
      </c>
      <c r="E48" s="45">
        <v>0.1</v>
      </c>
      <c r="F48" s="19" t="s">
        <v>876</v>
      </c>
    </row>
    <row r="49" spans="1:6" ht="28">
      <c r="A49" s="21" t="s">
        <v>106</v>
      </c>
      <c r="B49" s="19" t="s">
        <v>849</v>
      </c>
      <c r="C49" s="21" t="s">
        <v>860</v>
      </c>
      <c r="D49" s="19" t="s">
        <v>861</v>
      </c>
      <c r="E49" s="45">
        <v>0.87</v>
      </c>
      <c r="F49" s="19" t="s">
        <v>876</v>
      </c>
    </row>
    <row r="50" spans="1:6" ht="28">
      <c r="A50" s="21" t="s">
        <v>106</v>
      </c>
      <c r="B50" s="19" t="s">
        <v>849</v>
      </c>
      <c r="C50" s="21" t="s">
        <v>861</v>
      </c>
      <c r="D50" s="19" t="s">
        <v>863</v>
      </c>
      <c r="E50" s="45">
        <v>0.9</v>
      </c>
      <c r="F50" s="19" t="s">
        <v>876</v>
      </c>
    </row>
    <row r="51" spans="1:6" ht="28">
      <c r="A51" s="21" t="s">
        <v>106</v>
      </c>
      <c r="B51" s="19" t="s">
        <v>849</v>
      </c>
      <c r="C51" s="21" t="s">
        <v>863</v>
      </c>
      <c r="D51" s="19" t="s">
        <v>864</v>
      </c>
      <c r="E51" s="45">
        <v>0.9</v>
      </c>
      <c r="F51" s="19" t="s">
        <v>876</v>
      </c>
    </row>
    <row r="52" spans="1:6" ht="28">
      <c r="A52" s="21" t="s">
        <v>106</v>
      </c>
      <c r="B52" s="19" t="s">
        <v>849</v>
      </c>
      <c r="C52" s="21" t="s">
        <v>864</v>
      </c>
      <c r="D52" s="19" t="s">
        <v>865</v>
      </c>
      <c r="E52" s="45">
        <v>0.9</v>
      </c>
      <c r="F52" s="19" t="s">
        <v>876</v>
      </c>
    </row>
    <row r="53" spans="1:6" ht="28">
      <c r="A53" s="21" t="s">
        <v>106</v>
      </c>
      <c r="B53" s="19" t="s">
        <v>849</v>
      </c>
      <c r="C53" s="21" t="s">
        <v>865</v>
      </c>
      <c r="D53" s="19" t="s">
        <v>866</v>
      </c>
      <c r="E53" s="45">
        <v>0.9</v>
      </c>
      <c r="F53" s="19" t="s">
        <v>876</v>
      </c>
    </row>
    <row r="54" spans="1:6" ht="28">
      <c r="A54" s="21" t="s">
        <v>106</v>
      </c>
      <c r="B54" s="19" t="s">
        <v>849</v>
      </c>
      <c r="C54" s="21" t="s">
        <v>866</v>
      </c>
      <c r="D54" s="19" t="s">
        <v>867</v>
      </c>
      <c r="E54" s="45">
        <v>0.9</v>
      </c>
      <c r="F54" s="19" t="s">
        <v>876</v>
      </c>
    </row>
    <row r="55" spans="1:6" ht="28">
      <c r="A55" s="21" t="s">
        <v>106</v>
      </c>
      <c r="B55" s="19" t="s">
        <v>849</v>
      </c>
      <c r="C55" s="21" t="s">
        <v>867</v>
      </c>
      <c r="D55" s="19" t="s">
        <v>868</v>
      </c>
      <c r="E55" s="45">
        <v>0.9</v>
      </c>
      <c r="F55" s="19" t="s">
        <v>876</v>
      </c>
    </row>
    <row r="56" spans="1:6" ht="28">
      <c r="A56" s="21" t="s">
        <v>106</v>
      </c>
      <c r="B56" s="19" t="s">
        <v>849</v>
      </c>
      <c r="C56" s="21" t="s">
        <v>868</v>
      </c>
      <c r="D56" s="19" t="s">
        <v>869</v>
      </c>
      <c r="E56" s="45">
        <v>0.9</v>
      </c>
      <c r="F56" s="19" t="s">
        <v>876</v>
      </c>
    </row>
    <row r="57" spans="1:6" ht="28">
      <c r="A57" s="21" t="s">
        <v>106</v>
      </c>
      <c r="B57" s="19" t="s">
        <v>849</v>
      </c>
      <c r="C57" s="21" t="s">
        <v>869</v>
      </c>
      <c r="D57" s="19" t="s">
        <v>870</v>
      </c>
      <c r="E57" s="45">
        <v>0.9</v>
      </c>
      <c r="F57" s="19" t="s">
        <v>876</v>
      </c>
    </row>
    <row r="58" spans="1:6" ht="28">
      <c r="A58" s="21" t="s">
        <v>106</v>
      </c>
      <c r="B58" s="19" t="s">
        <v>849</v>
      </c>
      <c r="C58" s="21" t="s">
        <v>870</v>
      </c>
      <c r="D58" s="19" t="s">
        <v>871</v>
      </c>
      <c r="E58" s="45">
        <v>0.92</v>
      </c>
      <c r="F58" s="19" t="s">
        <v>876</v>
      </c>
    </row>
    <row r="59" spans="1:6" ht="28">
      <c r="A59" s="21" t="s">
        <v>106</v>
      </c>
      <c r="B59" s="19" t="s">
        <v>849</v>
      </c>
      <c r="C59" s="21" t="s">
        <v>871</v>
      </c>
      <c r="D59" s="19" t="s">
        <v>872</v>
      </c>
      <c r="E59" s="45">
        <v>0.92</v>
      </c>
      <c r="F59" s="19" t="s">
        <v>876</v>
      </c>
    </row>
    <row r="60" spans="1:6" ht="28">
      <c r="A60" s="21" t="s">
        <v>106</v>
      </c>
      <c r="B60" s="19" t="s">
        <v>849</v>
      </c>
      <c r="C60" s="21" t="s">
        <v>872</v>
      </c>
      <c r="D60" s="19" t="s">
        <v>873</v>
      </c>
      <c r="E60" s="45">
        <v>0.92</v>
      </c>
      <c r="F60" s="19" t="s">
        <v>876</v>
      </c>
    </row>
    <row r="61" spans="1:6" ht="28">
      <c r="A61" s="21" t="s">
        <v>106</v>
      </c>
      <c r="B61" s="19" t="s">
        <v>849</v>
      </c>
      <c r="C61" s="21" t="s">
        <v>873</v>
      </c>
      <c r="D61" s="19" t="s">
        <v>874</v>
      </c>
      <c r="E61" s="45">
        <v>0.92</v>
      </c>
      <c r="F61" s="19" t="s">
        <v>876</v>
      </c>
    </row>
    <row r="62" spans="1:6" ht="28">
      <c r="A62" s="21" t="s">
        <v>106</v>
      </c>
      <c r="B62" s="19" t="s">
        <v>849</v>
      </c>
      <c r="C62" s="21" t="s">
        <v>874</v>
      </c>
      <c r="D62" s="19" t="s">
        <v>875</v>
      </c>
      <c r="E62" s="45">
        <v>0.92</v>
      </c>
      <c r="F62" s="19" t="s">
        <v>876</v>
      </c>
    </row>
    <row r="63" spans="1:6" ht="28">
      <c r="A63" s="21" t="s">
        <v>106</v>
      </c>
      <c r="B63" s="19" t="s">
        <v>849</v>
      </c>
      <c r="C63" s="21" t="s">
        <v>875</v>
      </c>
      <c r="D63" s="19" t="s">
        <v>877</v>
      </c>
      <c r="E63" s="45">
        <v>0.1</v>
      </c>
      <c r="F63" s="19" t="s">
        <v>876</v>
      </c>
    </row>
    <row r="64" spans="1:6" ht="28">
      <c r="A64" s="21" t="s">
        <v>106</v>
      </c>
      <c r="B64" s="19" t="s">
        <v>849</v>
      </c>
      <c r="C64" s="21" t="s">
        <v>877</v>
      </c>
      <c r="D64" s="19" t="s">
        <v>878</v>
      </c>
      <c r="E64" s="45">
        <v>0.8</v>
      </c>
      <c r="F64" s="19" t="s">
        <v>876</v>
      </c>
    </row>
    <row r="65" spans="1:6" ht="28">
      <c r="A65" s="21" t="s">
        <v>106</v>
      </c>
      <c r="B65" s="19" t="s">
        <v>849</v>
      </c>
      <c r="C65" s="21" t="s">
        <v>878</v>
      </c>
      <c r="D65" s="19" t="s">
        <v>879</v>
      </c>
      <c r="E65" s="45">
        <v>0.5</v>
      </c>
      <c r="F65" s="19" t="s">
        <v>876</v>
      </c>
    </row>
    <row r="66" spans="1:6" ht="28">
      <c r="A66" s="21" t="s">
        <v>106</v>
      </c>
      <c r="B66" s="19" t="s">
        <v>849</v>
      </c>
      <c r="C66" s="21" t="s">
        <v>879</v>
      </c>
      <c r="D66" s="19" t="s">
        <v>880</v>
      </c>
      <c r="E66" s="45">
        <v>0.3</v>
      </c>
      <c r="F66" s="19" t="s">
        <v>876</v>
      </c>
    </row>
    <row r="67" spans="1:6" ht="28">
      <c r="A67" s="21" t="s">
        <v>106</v>
      </c>
      <c r="B67" s="19" t="s">
        <v>849</v>
      </c>
      <c r="C67" s="21" t="s">
        <v>880</v>
      </c>
      <c r="D67" s="19" t="s">
        <v>881</v>
      </c>
      <c r="E67" s="45">
        <v>0.1</v>
      </c>
      <c r="F67" s="19" t="s">
        <v>876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882</v>
      </c>
      <c r="B1" s="47" t="s">
        <v>883</v>
      </c>
      <c r="C1" s="47" t="s">
        <v>37</v>
      </c>
      <c r="D1" s="47" t="s">
        <v>38</v>
      </c>
      <c r="E1" s="47" t="s">
        <v>884</v>
      </c>
      <c r="F1" s="50" t="s">
        <v>885</v>
      </c>
      <c r="G1" s="47" t="s">
        <v>738</v>
      </c>
    </row>
    <row r="2" spans="1:7" ht="28">
      <c r="A2" s="21">
        <v>2029</v>
      </c>
      <c r="B2" s="21" t="s">
        <v>843</v>
      </c>
      <c r="C2" s="19" t="s">
        <v>105</v>
      </c>
      <c r="D2" s="19" t="s">
        <v>844</v>
      </c>
      <c r="E2" s="21" t="s">
        <v>861</v>
      </c>
      <c r="F2" s="19">
        <v>2533</v>
      </c>
      <c r="G2" s="18" t="s">
        <v>886</v>
      </c>
    </row>
    <row r="3" spans="1:7" ht="28">
      <c r="A3" s="21">
        <v>2029</v>
      </c>
      <c r="B3" s="21" t="s">
        <v>843</v>
      </c>
      <c r="C3" s="19" t="s">
        <v>105</v>
      </c>
      <c r="D3" s="19" t="s">
        <v>844</v>
      </c>
      <c r="E3" s="21" t="s">
        <v>863</v>
      </c>
      <c r="F3" s="19">
        <v>1605</v>
      </c>
      <c r="G3" s="18" t="s">
        <v>886</v>
      </c>
    </row>
    <row r="4" spans="1:7" ht="28">
      <c r="A4" s="21">
        <v>2029</v>
      </c>
      <c r="B4" s="21" t="s">
        <v>843</v>
      </c>
      <c r="C4" s="19" t="s">
        <v>105</v>
      </c>
      <c r="D4" s="19" t="s">
        <v>844</v>
      </c>
      <c r="E4" s="21" t="s">
        <v>864</v>
      </c>
      <c r="F4" s="19">
        <v>2052</v>
      </c>
      <c r="G4" s="18" t="s">
        <v>886</v>
      </c>
    </row>
    <row r="5" spans="1:7" ht="28">
      <c r="A5" s="21">
        <v>2029</v>
      </c>
      <c r="B5" s="21" t="s">
        <v>843</v>
      </c>
      <c r="C5" s="19" t="s">
        <v>105</v>
      </c>
      <c r="D5" s="19" t="s">
        <v>844</v>
      </c>
      <c r="E5" s="21" t="s">
        <v>865</v>
      </c>
      <c r="F5" s="19">
        <v>1507</v>
      </c>
      <c r="G5" s="18" t="s">
        <v>886</v>
      </c>
    </row>
    <row r="6" spans="1:7" ht="28">
      <c r="A6" s="21">
        <v>2029</v>
      </c>
      <c r="B6" s="21" t="s">
        <v>843</v>
      </c>
      <c r="C6" s="19" t="s">
        <v>105</v>
      </c>
      <c r="D6" s="19" t="s">
        <v>844</v>
      </c>
      <c r="E6" s="21" t="s">
        <v>866</v>
      </c>
      <c r="F6" s="19">
        <v>1432</v>
      </c>
      <c r="G6" s="18" t="s">
        <v>886</v>
      </c>
    </row>
    <row r="7" spans="1:7" ht="28">
      <c r="A7" s="21">
        <v>2029</v>
      </c>
      <c r="B7" s="21" t="s">
        <v>843</v>
      </c>
      <c r="C7" s="19" t="s">
        <v>105</v>
      </c>
      <c r="D7" s="19" t="s">
        <v>844</v>
      </c>
      <c r="E7" s="21" t="s">
        <v>867</v>
      </c>
      <c r="F7" s="19">
        <v>1599</v>
      </c>
      <c r="G7" s="18" t="s">
        <v>886</v>
      </c>
    </row>
    <row r="8" spans="1:7" ht="28">
      <c r="A8" s="21">
        <v>2029</v>
      </c>
      <c r="B8" s="21" t="s">
        <v>843</v>
      </c>
      <c r="C8" s="19" t="s">
        <v>105</v>
      </c>
      <c r="D8" s="19" t="s">
        <v>844</v>
      </c>
      <c r="E8" s="21" t="s">
        <v>868</v>
      </c>
      <c r="F8" s="19">
        <v>940</v>
      </c>
      <c r="G8" s="18" t="s">
        <v>886</v>
      </c>
    </row>
    <row r="9" spans="1:7" ht="28">
      <c r="A9" s="21">
        <v>2029</v>
      </c>
      <c r="B9" s="21" t="s">
        <v>843</v>
      </c>
      <c r="C9" s="19" t="s">
        <v>105</v>
      </c>
      <c r="D9" s="19" t="s">
        <v>844</v>
      </c>
      <c r="E9" s="21" t="s">
        <v>869</v>
      </c>
      <c r="F9" s="19">
        <v>1112</v>
      </c>
      <c r="G9" s="18" t="s">
        <v>886</v>
      </c>
    </row>
    <row r="10" spans="1:7" ht="28">
      <c r="A10" s="21">
        <v>2029</v>
      </c>
      <c r="B10" s="21" t="s">
        <v>843</v>
      </c>
      <c r="C10" s="19" t="s">
        <v>105</v>
      </c>
      <c r="D10" s="19" t="s">
        <v>844</v>
      </c>
      <c r="E10" s="21" t="s">
        <v>870</v>
      </c>
      <c r="F10" s="19">
        <v>811</v>
      </c>
      <c r="G10" s="18" t="s">
        <v>886</v>
      </c>
    </row>
    <row r="11" spans="1:7" ht="28">
      <c r="A11" s="21">
        <v>2029</v>
      </c>
      <c r="B11" s="21" t="s">
        <v>843</v>
      </c>
      <c r="C11" s="19" t="s">
        <v>105</v>
      </c>
      <c r="D11" s="19" t="s">
        <v>844</v>
      </c>
      <c r="E11" s="21" t="s">
        <v>871</v>
      </c>
      <c r="F11" s="19">
        <v>714</v>
      </c>
      <c r="G11" s="18" t="s">
        <v>886</v>
      </c>
    </row>
    <row r="12" spans="1:7" ht="28">
      <c r="A12" s="21">
        <v>2029</v>
      </c>
      <c r="B12" s="21" t="s">
        <v>843</v>
      </c>
      <c r="C12" s="19" t="s">
        <v>105</v>
      </c>
      <c r="D12" s="19" t="s">
        <v>844</v>
      </c>
      <c r="E12" s="21" t="s">
        <v>872</v>
      </c>
      <c r="F12" s="19">
        <v>169</v>
      </c>
      <c r="G12" s="18" t="s">
        <v>886</v>
      </c>
    </row>
    <row r="13" spans="1:7" ht="28">
      <c r="A13" s="21">
        <v>2029</v>
      </c>
      <c r="B13" s="21" t="s">
        <v>843</v>
      </c>
      <c r="C13" s="19" t="s">
        <v>105</v>
      </c>
      <c r="D13" s="19" t="s">
        <v>844</v>
      </c>
      <c r="E13" s="21" t="s">
        <v>873</v>
      </c>
      <c r="F13" s="19">
        <v>12</v>
      </c>
      <c r="G13" s="18" t="s">
        <v>886</v>
      </c>
    </row>
    <row r="14" spans="1:7" ht="28">
      <c r="A14" s="21">
        <v>2029</v>
      </c>
      <c r="B14" s="21" t="s">
        <v>843</v>
      </c>
      <c r="C14" s="19" t="s">
        <v>105</v>
      </c>
      <c r="D14" s="19" t="s">
        <v>844</v>
      </c>
      <c r="E14" s="21" t="s">
        <v>874</v>
      </c>
      <c r="F14" s="19">
        <v>7</v>
      </c>
      <c r="G14" s="18" t="s">
        <v>886</v>
      </c>
    </row>
    <row r="15" spans="1:7" ht="28">
      <c r="A15" s="21">
        <v>2029</v>
      </c>
      <c r="B15" s="21" t="s">
        <v>843</v>
      </c>
      <c r="C15" s="19" t="s">
        <v>105</v>
      </c>
      <c r="D15" s="19" t="s">
        <v>844</v>
      </c>
      <c r="E15" s="21" t="s">
        <v>875</v>
      </c>
      <c r="F15" s="19">
        <v>2</v>
      </c>
      <c r="G15" s="18" t="s">
        <v>886</v>
      </c>
    </row>
    <row r="16" spans="1:7" ht="28">
      <c r="A16" s="21">
        <v>2029</v>
      </c>
      <c r="B16" s="21" t="s">
        <v>843</v>
      </c>
      <c r="C16" s="19" t="s">
        <v>105</v>
      </c>
      <c r="D16" s="19" t="s">
        <v>849</v>
      </c>
      <c r="E16" s="21" t="s">
        <v>861</v>
      </c>
      <c r="F16" s="19"/>
      <c r="G16" s="18" t="s">
        <v>886</v>
      </c>
    </row>
    <row r="17" spans="1:7" ht="28">
      <c r="A17" s="21">
        <v>2029</v>
      </c>
      <c r="B17" s="21" t="s">
        <v>843</v>
      </c>
      <c r="C17" s="19" t="s">
        <v>105</v>
      </c>
      <c r="D17" s="19" t="s">
        <v>849</v>
      </c>
      <c r="E17" s="21" t="s">
        <v>863</v>
      </c>
      <c r="F17" s="19"/>
      <c r="G17" s="18" t="s">
        <v>886</v>
      </c>
    </row>
    <row r="18" spans="1:7" ht="28">
      <c r="A18" s="21">
        <v>2029</v>
      </c>
      <c r="B18" s="21" t="s">
        <v>843</v>
      </c>
      <c r="C18" s="19" t="s">
        <v>105</v>
      </c>
      <c r="D18" s="19" t="s">
        <v>849</v>
      </c>
      <c r="E18" s="21" t="s">
        <v>864</v>
      </c>
      <c r="F18" s="19"/>
      <c r="G18" s="18" t="s">
        <v>886</v>
      </c>
    </row>
    <row r="19" spans="1:7" ht="28">
      <c r="A19" s="21">
        <v>2029</v>
      </c>
      <c r="B19" s="21" t="s">
        <v>843</v>
      </c>
      <c r="C19" s="19" t="s">
        <v>105</v>
      </c>
      <c r="D19" s="19" t="s">
        <v>849</v>
      </c>
      <c r="E19" s="21" t="s">
        <v>865</v>
      </c>
      <c r="F19" s="19"/>
      <c r="G19" s="18" t="s">
        <v>886</v>
      </c>
    </row>
    <row r="20" spans="1:7" ht="28">
      <c r="A20" s="21">
        <v>2029</v>
      </c>
      <c r="B20" s="21" t="s">
        <v>843</v>
      </c>
      <c r="C20" s="19" t="s">
        <v>105</v>
      </c>
      <c r="D20" s="19" t="s">
        <v>849</v>
      </c>
      <c r="E20" s="21" t="s">
        <v>866</v>
      </c>
      <c r="F20" s="19"/>
      <c r="G20" s="18" t="s">
        <v>886</v>
      </c>
    </row>
    <row r="21" spans="1:7" ht="28">
      <c r="A21" s="21">
        <v>2029</v>
      </c>
      <c r="B21" s="21" t="s">
        <v>843</v>
      </c>
      <c r="C21" s="19" t="s">
        <v>105</v>
      </c>
      <c r="D21" s="19" t="s">
        <v>849</v>
      </c>
      <c r="E21" s="21" t="s">
        <v>867</v>
      </c>
      <c r="F21" s="19"/>
      <c r="G21" s="18" t="s">
        <v>886</v>
      </c>
    </row>
    <row r="22" spans="1:7" ht="28">
      <c r="A22" s="21">
        <v>2029</v>
      </c>
      <c r="B22" s="21" t="s">
        <v>843</v>
      </c>
      <c r="C22" s="19" t="s">
        <v>105</v>
      </c>
      <c r="D22" s="19" t="s">
        <v>849</v>
      </c>
      <c r="E22" s="21" t="s">
        <v>868</v>
      </c>
      <c r="F22" s="19"/>
      <c r="G22" s="18" t="s">
        <v>886</v>
      </c>
    </row>
    <row r="23" spans="1:7" ht="28">
      <c r="A23" s="21">
        <v>2029</v>
      </c>
      <c r="B23" s="21" t="s">
        <v>843</v>
      </c>
      <c r="C23" s="19" t="s">
        <v>105</v>
      </c>
      <c r="D23" s="19" t="s">
        <v>849</v>
      </c>
      <c r="E23" s="21" t="s">
        <v>869</v>
      </c>
      <c r="F23" s="19"/>
      <c r="G23" s="18" t="s">
        <v>886</v>
      </c>
    </row>
    <row r="24" spans="1:7" ht="28">
      <c r="A24" s="21">
        <v>2029</v>
      </c>
      <c r="B24" s="21" t="s">
        <v>843</v>
      </c>
      <c r="C24" s="19" t="s">
        <v>105</v>
      </c>
      <c r="D24" s="19" t="s">
        <v>849</v>
      </c>
      <c r="E24" s="21" t="s">
        <v>870</v>
      </c>
      <c r="F24" s="19"/>
      <c r="G24" s="18" t="s">
        <v>886</v>
      </c>
    </row>
    <row r="25" spans="1:7" ht="28">
      <c r="A25" s="21">
        <v>2029</v>
      </c>
      <c r="B25" s="21" t="s">
        <v>843</v>
      </c>
      <c r="C25" s="19" t="s">
        <v>105</v>
      </c>
      <c r="D25" s="19" t="s">
        <v>849</v>
      </c>
      <c r="E25" s="21" t="s">
        <v>871</v>
      </c>
      <c r="F25" s="19"/>
      <c r="G25" s="18" t="s">
        <v>886</v>
      </c>
    </row>
    <row r="26" spans="1:7" ht="28">
      <c r="A26" s="21">
        <v>2029</v>
      </c>
      <c r="B26" s="21" t="s">
        <v>843</v>
      </c>
      <c r="C26" s="19" t="s">
        <v>105</v>
      </c>
      <c r="D26" s="19" t="s">
        <v>849</v>
      </c>
      <c r="E26" s="21" t="s">
        <v>872</v>
      </c>
      <c r="F26" s="19"/>
      <c r="G26" s="18" t="s">
        <v>886</v>
      </c>
    </row>
    <row r="27" spans="1:7" ht="28">
      <c r="A27" s="21">
        <v>2029</v>
      </c>
      <c r="B27" s="21" t="s">
        <v>843</v>
      </c>
      <c r="C27" s="19" t="s">
        <v>105</v>
      </c>
      <c r="D27" s="19" t="s">
        <v>849</v>
      </c>
      <c r="E27" s="21" t="s">
        <v>873</v>
      </c>
      <c r="F27" s="19"/>
      <c r="G27" s="18" t="s">
        <v>886</v>
      </c>
    </row>
    <row r="28" spans="1:7" ht="28">
      <c r="A28" s="21">
        <v>2029</v>
      </c>
      <c r="B28" s="21" t="s">
        <v>843</v>
      </c>
      <c r="C28" s="19" t="s">
        <v>105</v>
      </c>
      <c r="D28" s="19" t="s">
        <v>849</v>
      </c>
      <c r="E28" s="21" t="s">
        <v>874</v>
      </c>
      <c r="F28" s="19"/>
      <c r="G28" s="18" t="s">
        <v>886</v>
      </c>
    </row>
    <row r="29" spans="1:7" ht="28">
      <c r="A29" s="21">
        <v>2029</v>
      </c>
      <c r="B29" s="21" t="s">
        <v>843</v>
      </c>
      <c r="C29" s="19" t="s">
        <v>105</v>
      </c>
      <c r="D29" s="19" t="s">
        <v>849</v>
      </c>
      <c r="E29" s="21" t="s">
        <v>875</v>
      </c>
      <c r="F29" s="19"/>
      <c r="G29" s="18" t="s">
        <v>886</v>
      </c>
    </row>
    <row r="30" spans="1:7" ht="28">
      <c r="A30" s="21">
        <v>2029</v>
      </c>
      <c r="B30" s="21" t="s">
        <v>843</v>
      </c>
      <c r="C30" s="19" t="s">
        <v>106</v>
      </c>
      <c r="D30" s="19" t="s">
        <v>844</v>
      </c>
      <c r="E30" s="21" t="s">
        <v>861</v>
      </c>
      <c r="F30" s="19">
        <v>1244</v>
      </c>
      <c r="G30" s="18" t="s">
        <v>886</v>
      </c>
    </row>
    <row r="31" spans="1:7" ht="28">
      <c r="A31" s="21">
        <v>2029</v>
      </c>
      <c r="B31" s="21" t="s">
        <v>843</v>
      </c>
      <c r="C31" s="19" t="s">
        <v>106</v>
      </c>
      <c r="D31" s="19" t="s">
        <v>844</v>
      </c>
      <c r="E31" s="21" t="s">
        <v>863</v>
      </c>
      <c r="F31" s="19">
        <v>747</v>
      </c>
      <c r="G31" s="18" t="s">
        <v>886</v>
      </c>
    </row>
    <row r="32" spans="1:7" ht="28">
      <c r="A32" s="21">
        <v>2029</v>
      </c>
      <c r="B32" s="21" t="s">
        <v>843</v>
      </c>
      <c r="C32" s="19" t="s">
        <v>106</v>
      </c>
      <c r="D32" s="19" t="s">
        <v>844</v>
      </c>
      <c r="E32" s="21" t="s">
        <v>864</v>
      </c>
      <c r="F32" s="19">
        <v>840</v>
      </c>
      <c r="G32" s="18" t="s">
        <v>886</v>
      </c>
    </row>
    <row r="33" spans="1:7" ht="28">
      <c r="A33" s="21">
        <v>2029</v>
      </c>
      <c r="B33" s="21" t="s">
        <v>843</v>
      </c>
      <c r="C33" s="19" t="s">
        <v>106</v>
      </c>
      <c r="D33" s="19" t="s">
        <v>844</v>
      </c>
      <c r="E33" s="21" t="s">
        <v>865</v>
      </c>
      <c r="F33" s="19">
        <v>691</v>
      </c>
      <c r="G33" s="18" t="s">
        <v>886</v>
      </c>
    </row>
    <row r="34" spans="1:7" ht="28">
      <c r="A34" s="21">
        <v>2029</v>
      </c>
      <c r="B34" s="21" t="s">
        <v>843</v>
      </c>
      <c r="C34" s="19" t="s">
        <v>106</v>
      </c>
      <c r="D34" s="19" t="s">
        <v>844</v>
      </c>
      <c r="E34" s="21" t="s">
        <v>866</v>
      </c>
      <c r="F34" s="19">
        <v>717</v>
      </c>
      <c r="G34" s="18" t="s">
        <v>886</v>
      </c>
    </row>
    <row r="35" spans="1:7" ht="28">
      <c r="A35" s="21">
        <v>2029</v>
      </c>
      <c r="B35" s="21" t="s">
        <v>843</v>
      </c>
      <c r="C35" s="19" t="s">
        <v>106</v>
      </c>
      <c r="D35" s="19" t="s">
        <v>844</v>
      </c>
      <c r="E35" s="21" t="s">
        <v>867</v>
      </c>
      <c r="F35" s="19">
        <v>715</v>
      </c>
      <c r="G35" s="18" t="s">
        <v>886</v>
      </c>
    </row>
    <row r="36" spans="1:7" ht="28">
      <c r="A36" s="21">
        <v>2029</v>
      </c>
      <c r="B36" s="21" t="s">
        <v>843</v>
      </c>
      <c r="C36" s="19" t="s">
        <v>106</v>
      </c>
      <c r="D36" s="19" t="s">
        <v>844</v>
      </c>
      <c r="E36" s="21" t="s">
        <v>868</v>
      </c>
      <c r="F36" s="19">
        <v>430</v>
      </c>
      <c r="G36" s="18" t="s">
        <v>886</v>
      </c>
    </row>
    <row r="37" spans="1:7" ht="28">
      <c r="A37" s="21">
        <v>2029</v>
      </c>
      <c r="B37" s="21" t="s">
        <v>843</v>
      </c>
      <c r="C37" s="19" t="s">
        <v>106</v>
      </c>
      <c r="D37" s="19" t="s">
        <v>844</v>
      </c>
      <c r="E37" s="21" t="s">
        <v>869</v>
      </c>
      <c r="F37" s="19">
        <v>484</v>
      </c>
      <c r="G37" s="18" t="s">
        <v>886</v>
      </c>
    </row>
    <row r="38" spans="1:7" ht="28">
      <c r="A38" s="21">
        <v>2029</v>
      </c>
      <c r="B38" s="21" t="s">
        <v>843</v>
      </c>
      <c r="C38" s="19" t="s">
        <v>106</v>
      </c>
      <c r="D38" s="19" t="s">
        <v>844</v>
      </c>
      <c r="E38" s="21" t="s">
        <v>870</v>
      </c>
      <c r="F38" s="19">
        <v>392</v>
      </c>
      <c r="G38" s="18" t="s">
        <v>886</v>
      </c>
    </row>
    <row r="39" spans="1:7" ht="28">
      <c r="A39" s="21">
        <v>2029</v>
      </c>
      <c r="B39" s="21" t="s">
        <v>843</v>
      </c>
      <c r="C39" s="19" t="s">
        <v>106</v>
      </c>
      <c r="D39" s="19" t="s">
        <v>844</v>
      </c>
      <c r="E39" s="21" t="s">
        <v>871</v>
      </c>
      <c r="F39" s="19">
        <v>432</v>
      </c>
      <c r="G39" s="18" t="s">
        <v>886</v>
      </c>
    </row>
    <row r="40" spans="1:7" ht="28">
      <c r="A40" s="21">
        <v>2029</v>
      </c>
      <c r="B40" s="21" t="s">
        <v>843</v>
      </c>
      <c r="C40" s="19" t="s">
        <v>106</v>
      </c>
      <c r="D40" s="19" t="s">
        <v>844</v>
      </c>
      <c r="E40" s="21" t="s">
        <v>872</v>
      </c>
      <c r="F40" s="19">
        <v>318</v>
      </c>
      <c r="G40" s="18" t="s">
        <v>886</v>
      </c>
    </row>
    <row r="41" spans="1:7" ht="28">
      <c r="A41" s="21">
        <v>2029</v>
      </c>
      <c r="B41" s="21" t="s">
        <v>843</v>
      </c>
      <c r="C41" s="19" t="s">
        <v>106</v>
      </c>
      <c r="D41" s="19" t="s">
        <v>844</v>
      </c>
      <c r="E41" s="21" t="s">
        <v>873</v>
      </c>
      <c r="F41" s="19">
        <v>225</v>
      </c>
      <c r="G41" s="18" t="s">
        <v>886</v>
      </c>
    </row>
    <row r="42" spans="1:7" ht="28">
      <c r="A42" s="21">
        <v>2029</v>
      </c>
      <c r="B42" s="21" t="s">
        <v>843</v>
      </c>
      <c r="C42" s="19" t="s">
        <v>106</v>
      </c>
      <c r="D42" s="19" t="s">
        <v>844</v>
      </c>
      <c r="E42" s="21" t="s">
        <v>874</v>
      </c>
      <c r="F42" s="19">
        <v>272</v>
      </c>
      <c r="G42" s="18" t="s">
        <v>886</v>
      </c>
    </row>
    <row r="43" spans="1:7" ht="28">
      <c r="A43" s="21">
        <v>2029</v>
      </c>
      <c r="B43" s="21" t="s">
        <v>843</v>
      </c>
      <c r="C43" s="19" t="s">
        <v>106</v>
      </c>
      <c r="D43" s="19" t="s">
        <v>844</v>
      </c>
      <c r="E43" s="21" t="s">
        <v>875</v>
      </c>
      <c r="F43" s="19">
        <v>213</v>
      </c>
      <c r="G43" s="18" t="s">
        <v>886</v>
      </c>
    </row>
    <row r="44" spans="1:7" ht="28">
      <c r="A44" s="21">
        <v>2029</v>
      </c>
      <c r="B44" s="21" t="s">
        <v>843</v>
      </c>
      <c r="C44" s="19" t="s">
        <v>106</v>
      </c>
      <c r="D44" s="19" t="s">
        <v>844</v>
      </c>
      <c r="E44" s="21" t="s">
        <v>877</v>
      </c>
      <c r="F44" s="19">
        <v>215</v>
      </c>
      <c r="G44" s="18" t="s">
        <v>886</v>
      </c>
    </row>
    <row r="45" spans="1:7" ht="28">
      <c r="A45" s="21">
        <v>2029</v>
      </c>
      <c r="B45" s="21" t="s">
        <v>843</v>
      </c>
      <c r="C45" s="19" t="s">
        <v>106</v>
      </c>
      <c r="D45" s="19" t="s">
        <v>844</v>
      </c>
      <c r="E45" s="21" t="s">
        <v>878</v>
      </c>
      <c r="F45" s="19">
        <v>17</v>
      </c>
      <c r="G45" s="18" t="s">
        <v>886</v>
      </c>
    </row>
    <row r="46" spans="1:7" ht="28">
      <c r="A46" s="21">
        <v>2029</v>
      </c>
      <c r="B46" s="21" t="s">
        <v>843</v>
      </c>
      <c r="C46" s="19" t="s">
        <v>106</v>
      </c>
      <c r="D46" s="19" t="s">
        <v>844</v>
      </c>
      <c r="E46" s="21" t="s">
        <v>879</v>
      </c>
      <c r="F46" s="19">
        <v>10</v>
      </c>
      <c r="G46" s="18" t="s">
        <v>886</v>
      </c>
    </row>
    <row r="47" spans="1:7" ht="28">
      <c r="A47" s="21">
        <v>2029</v>
      </c>
      <c r="B47" s="21" t="s">
        <v>843</v>
      </c>
      <c r="C47" s="19" t="s">
        <v>106</v>
      </c>
      <c r="D47" s="19" t="s">
        <v>844</v>
      </c>
      <c r="E47" s="21" t="s">
        <v>880</v>
      </c>
      <c r="F47" s="19">
        <v>8</v>
      </c>
      <c r="G47" s="18" t="s">
        <v>886</v>
      </c>
    </row>
    <row r="48" spans="1:7" ht="28">
      <c r="A48" s="21">
        <v>2029</v>
      </c>
      <c r="B48" s="21" t="s">
        <v>843</v>
      </c>
      <c r="C48" s="19" t="s">
        <v>106</v>
      </c>
      <c r="D48" s="19" t="s">
        <v>844</v>
      </c>
      <c r="E48" s="21" t="s">
        <v>881</v>
      </c>
      <c r="F48" s="19">
        <v>3</v>
      </c>
      <c r="G48" s="18" t="s">
        <v>886</v>
      </c>
    </row>
    <row r="49" spans="1:7" ht="28">
      <c r="A49" s="21">
        <v>2029</v>
      </c>
      <c r="B49" s="21" t="s">
        <v>843</v>
      </c>
      <c r="C49" s="19" t="s">
        <v>106</v>
      </c>
      <c r="D49" s="19" t="s">
        <v>849</v>
      </c>
      <c r="E49" s="21" t="s">
        <v>861</v>
      </c>
      <c r="F49" s="19"/>
      <c r="G49" s="18" t="s">
        <v>886</v>
      </c>
    </row>
    <row r="50" spans="1:7" ht="28">
      <c r="A50" s="21">
        <v>2029</v>
      </c>
      <c r="B50" s="21" t="s">
        <v>843</v>
      </c>
      <c r="C50" s="19" t="s">
        <v>106</v>
      </c>
      <c r="D50" s="19" t="s">
        <v>849</v>
      </c>
      <c r="E50" s="21" t="s">
        <v>863</v>
      </c>
      <c r="F50" s="19"/>
      <c r="G50" s="18" t="s">
        <v>886</v>
      </c>
    </row>
    <row r="51" spans="1:7" ht="28">
      <c r="A51" s="21">
        <v>2029</v>
      </c>
      <c r="B51" s="21" t="s">
        <v>843</v>
      </c>
      <c r="C51" s="19" t="s">
        <v>106</v>
      </c>
      <c r="D51" s="19" t="s">
        <v>849</v>
      </c>
      <c r="E51" s="21" t="s">
        <v>864</v>
      </c>
      <c r="F51" s="19"/>
      <c r="G51" s="18" t="s">
        <v>886</v>
      </c>
    </row>
    <row r="52" spans="1:7" ht="28">
      <c r="A52" s="21">
        <v>2029</v>
      </c>
      <c r="B52" s="21" t="s">
        <v>843</v>
      </c>
      <c r="C52" s="19" t="s">
        <v>106</v>
      </c>
      <c r="D52" s="19" t="s">
        <v>849</v>
      </c>
      <c r="E52" s="21" t="s">
        <v>865</v>
      </c>
      <c r="F52" s="19"/>
      <c r="G52" s="18" t="s">
        <v>886</v>
      </c>
    </row>
    <row r="53" spans="1:7" ht="28">
      <c r="A53" s="21">
        <v>2029</v>
      </c>
      <c r="B53" s="21" t="s">
        <v>843</v>
      </c>
      <c r="C53" s="19" t="s">
        <v>106</v>
      </c>
      <c r="D53" s="19" t="s">
        <v>849</v>
      </c>
      <c r="E53" s="21" t="s">
        <v>866</v>
      </c>
      <c r="F53" s="19"/>
      <c r="G53" s="18" t="s">
        <v>886</v>
      </c>
    </row>
    <row r="54" spans="1:7" ht="28">
      <c r="A54" s="21">
        <v>2029</v>
      </c>
      <c r="B54" s="21" t="s">
        <v>843</v>
      </c>
      <c r="C54" s="19" t="s">
        <v>106</v>
      </c>
      <c r="D54" s="19" t="s">
        <v>849</v>
      </c>
      <c r="E54" s="21" t="s">
        <v>867</v>
      </c>
      <c r="F54" s="19"/>
      <c r="G54" s="18" t="s">
        <v>886</v>
      </c>
    </row>
    <row r="55" spans="1:7" ht="28">
      <c r="A55" s="21">
        <v>2029</v>
      </c>
      <c r="B55" s="21" t="s">
        <v>843</v>
      </c>
      <c r="C55" s="19" t="s">
        <v>106</v>
      </c>
      <c r="D55" s="19" t="s">
        <v>849</v>
      </c>
      <c r="E55" s="21" t="s">
        <v>868</v>
      </c>
      <c r="F55" s="19"/>
      <c r="G55" s="18" t="s">
        <v>886</v>
      </c>
    </row>
    <row r="56" spans="1:7" ht="28">
      <c r="A56" s="21">
        <v>2029</v>
      </c>
      <c r="B56" s="21" t="s">
        <v>843</v>
      </c>
      <c r="C56" s="19" t="s">
        <v>106</v>
      </c>
      <c r="D56" s="19" t="s">
        <v>849</v>
      </c>
      <c r="E56" s="21" t="s">
        <v>869</v>
      </c>
      <c r="F56" s="19"/>
      <c r="G56" s="18" t="s">
        <v>886</v>
      </c>
    </row>
    <row r="57" spans="1:7" ht="28">
      <c r="A57" s="21">
        <v>2029</v>
      </c>
      <c r="B57" s="21" t="s">
        <v>843</v>
      </c>
      <c r="C57" s="19" t="s">
        <v>106</v>
      </c>
      <c r="D57" s="19" t="s">
        <v>849</v>
      </c>
      <c r="E57" s="21" t="s">
        <v>870</v>
      </c>
      <c r="F57" s="19"/>
      <c r="G57" s="18" t="s">
        <v>886</v>
      </c>
    </row>
    <row r="58" spans="1:7" ht="28">
      <c r="A58" s="21">
        <v>2029</v>
      </c>
      <c r="B58" s="21" t="s">
        <v>843</v>
      </c>
      <c r="C58" s="19" t="s">
        <v>106</v>
      </c>
      <c r="D58" s="19" t="s">
        <v>849</v>
      </c>
      <c r="E58" s="21" t="s">
        <v>871</v>
      </c>
      <c r="F58" s="19"/>
      <c r="G58" s="18" t="s">
        <v>886</v>
      </c>
    </row>
    <row r="59" spans="1:7" ht="28">
      <c r="A59" s="21">
        <v>2029</v>
      </c>
      <c r="B59" s="21" t="s">
        <v>843</v>
      </c>
      <c r="C59" s="19" t="s">
        <v>106</v>
      </c>
      <c r="D59" s="19" t="s">
        <v>849</v>
      </c>
      <c r="E59" s="21" t="s">
        <v>872</v>
      </c>
      <c r="F59" s="19"/>
      <c r="G59" s="18" t="s">
        <v>886</v>
      </c>
    </row>
    <row r="60" spans="1:7" ht="28">
      <c r="A60" s="21">
        <v>2029</v>
      </c>
      <c r="B60" s="21" t="s">
        <v>843</v>
      </c>
      <c r="C60" s="19" t="s">
        <v>106</v>
      </c>
      <c r="D60" s="19" t="s">
        <v>849</v>
      </c>
      <c r="E60" s="21" t="s">
        <v>873</v>
      </c>
      <c r="F60" s="19"/>
      <c r="G60" s="18" t="s">
        <v>886</v>
      </c>
    </row>
    <row r="61" spans="1:7" ht="28">
      <c r="A61" s="21">
        <v>2029</v>
      </c>
      <c r="B61" s="21" t="s">
        <v>843</v>
      </c>
      <c r="C61" s="19" t="s">
        <v>106</v>
      </c>
      <c r="D61" s="19" t="s">
        <v>849</v>
      </c>
      <c r="E61" s="21" t="s">
        <v>874</v>
      </c>
      <c r="F61" s="19"/>
      <c r="G61" s="18" t="s">
        <v>886</v>
      </c>
    </row>
    <row r="62" spans="1:7" ht="28">
      <c r="A62" s="21">
        <v>2029</v>
      </c>
      <c r="B62" s="21" t="s">
        <v>843</v>
      </c>
      <c r="C62" s="19" t="s">
        <v>106</v>
      </c>
      <c r="D62" s="19" t="s">
        <v>849</v>
      </c>
      <c r="E62" s="21" t="s">
        <v>875</v>
      </c>
      <c r="F62" s="19"/>
      <c r="G62" s="18" t="s">
        <v>886</v>
      </c>
    </row>
    <row r="63" spans="1:7" ht="28">
      <c r="A63" s="21">
        <v>2029</v>
      </c>
      <c r="B63" s="21" t="s">
        <v>843</v>
      </c>
      <c r="C63" s="19" t="s">
        <v>106</v>
      </c>
      <c r="D63" s="19" t="s">
        <v>849</v>
      </c>
      <c r="E63" s="21" t="s">
        <v>877</v>
      </c>
      <c r="F63" s="19"/>
      <c r="G63" s="18" t="s">
        <v>886</v>
      </c>
    </row>
    <row r="64" spans="1:7" ht="28">
      <c r="A64" s="21">
        <v>2029</v>
      </c>
      <c r="B64" s="21" t="s">
        <v>843</v>
      </c>
      <c r="C64" s="19" t="s">
        <v>106</v>
      </c>
      <c r="D64" s="19" t="s">
        <v>849</v>
      </c>
      <c r="E64" s="21" t="s">
        <v>878</v>
      </c>
      <c r="F64" s="19"/>
      <c r="G64" s="18" t="s">
        <v>886</v>
      </c>
    </row>
    <row r="65" spans="1:7" ht="28">
      <c r="A65" s="21">
        <v>2029</v>
      </c>
      <c r="B65" s="21" t="s">
        <v>843</v>
      </c>
      <c r="C65" s="19" t="s">
        <v>106</v>
      </c>
      <c r="D65" s="19" t="s">
        <v>849</v>
      </c>
      <c r="E65" s="21" t="s">
        <v>879</v>
      </c>
      <c r="F65" s="19"/>
      <c r="G65" s="18" t="s">
        <v>886</v>
      </c>
    </row>
    <row r="66" spans="1:7" ht="28">
      <c r="A66" s="21">
        <v>2029</v>
      </c>
      <c r="B66" s="21" t="s">
        <v>843</v>
      </c>
      <c r="C66" s="19" t="s">
        <v>106</v>
      </c>
      <c r="D66" s="19" t="s">
        <v>849</v>
      </c>
      <c r="E66" s="21" t="s">
        <v>880</v>
      </c>
      <c r="F66" s="19"/>
      <c r="G66" s="18" t="s">
        <v>886</v>
      </c>
    </row>
    <row r="67" spans="1:7" ht="28">
      <c r="A67" s="21">
        <v>2029</v>
      </c>
      <c r="B67" s="21" t="s">
        <v>843</v>
      </c>
      <c r="C67" s="19" t="s">
        <v>106</v>
      </c>
      <c r="D67" s="19" t="s">
        <v>849</v>
      </c>
      <c r="E67" s="21" t="s">
        <v>881</v>
      </c>
      <c r="F67" s="19"/>
      <c r="G67" s="18" t="s">
        <v>886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>
      <selection sqref="A1:C1"/>
    </sheetView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99" t="s">
        <v>887</v>
      </c>
      <c r="B1" s="99"/>
      <c r="C1" s="99"/>
      <c r="D1" s="48"/>
    </row>
    <row r="2" spans="1:4">
      <c r="A2" s="19" t="s">
        <v>888</v>
      </c>
      <c r="B2" s="19" t="s">
        <v>889</v>
      </c>
      <c r="C2" s="19"/>
      <c r="D2" s="18"/>
    </row>
    <row r="3" spans="1:4" ht="28">
      <c r="A3" s="19" t="s">
        <v>890</v>
      </c>
      <c r="B3" s="19" t="s">
        <v>891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892</v>
      </c>
      <c r="C5" s="19" t="s">
        <v>893</v>
      </c>
      <c r="D5" s="18" t="s">
        <v>709</v>
      </c>
    </row>
    <row r="6" spans="1:4">
      <c r="A6" s="19" t="s">
        <v>894</v>
      </c>
      <c r="B6" s="19" t="s">
        <v>895</v>
      </c>
      <c r="C6" s="19" t="s">
        <v>7</v>
      </c>
      <c r="D6" s="18" t="s">
        <v>896</v>
      </c>
    </row>
    <row r="7" spans="1:4">
      <c r="A7" s="19" t="s">
        <v>897</v>
      </c>
      <c r="B7" s="19" t="s">
        <v>898</v>
      </c>
      <c r="C7" s="19" t="s">
        <v>7</v>
      </c>
      <c r="D7" s="18" t="s">
        <v>899</v>
      </c>
    </row>
    <row r="8" spans="1:4" ht="28">
      <c r="A8" s="19" t="s">
        <v>900</v>
      </c>
      <c r="B8" s="19" t="s">
        <v>901</v>
      </c>
      <c r="C8" s="19" t="s">
        <v>902</v>
      </c>
      <c r="D8" s="18" t="s">
        <v>903</v>
      </c>
    </row>
    <row r="9" spans="1:4">
      <c r="A9" s="19" t="s">
        <v>904</v>
      </c>
      <c r="B9" s="19" t="s">
        <v>905</v>
      </c>
      <c r="C9" s="19" t="s">
        <v>906</v>
      </c>
      <c r="D9" s="18" t="s">
        <v>907</v>
      </c>
    </row>
    <row r="10" spans="1:4">
      <c r="A10" s="19" t="s">
        <v>908</v>
      </c>
      <c r="B10" s="19" t="s">
        <v>909</v>
      </c>
      <c r="C10" s="19" t="s">
        <v>7</v>
      </c>
      <c r="D10" s="18" t="s">
        <v>910</v>
      </c>
    </row>
    <row r="11" spans="1:4">
      <c r="A11" s="18" t="s">
        <v>911</v>
      </c>
      <c r="B11" s="18" t="s">
        <v>912</v>
      </c>
      <c r="C11" s="18" t="s">
        <v>7</v>
      </c>
      <c r="D11" s="18" t="s">
        <v>913</v>
      </c>
    </row>
    <row r="12" spans="1:4" ht="28">
      <c r="A12" s="18" t="s">
        <v>914</v>
      </c>
      <c r="B12" s="18" t="s">
        <v>915</v>
      </c>
      <c r="C12" s="18" t="s">
        <v>916</v>
      </c>
      <c r="D12" s="18" t="s">
        <v>917</v>
      </c>
    </row>
    <row r="13" spans="1:4">
      <c r="A13" s="18"/>
      <c r="B13" s="18"/>
      <c r="C13" s="18"/>
      <c r="D13" s="18"/>
    </row>
    <row r="14" spans="1:4">
      <c r="A14" s="18" t="s">
        <v>918</v>
      </c>
      <c r="B14" s="18" t="s">
        <v>919</v>
      </c>
      <c r="C14" s="18"/>
      <c r="D14" s="18"/>
    </row>
    <row r="15" spans="1:4">
      <c r="A15" s="18" t="s">
        <v>920</v>
      </c>
      <c r="B15" s="18" t="s">
        <v>921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882</v>
      </c>
      <c r="B1" s="47" t="s">
        <v>883</v>
      </c>
      <c r="C1" s="47" t="s">
        <v>37</v>
      </c>
      <c r="D1" s="47" t="s">
        <v>38</v>
      </c>
      <c r="E1" s="50" t="s">
        <v>922</v>
      </c>
      <c r="F1" s="50" t="s">
        <v>923</v>
      </c>
      <c r="G1" s="50" t="s">
        <v>924</v>
      </c>
      <c r="H1" s="47" t="s">
        <v>738</v>
      </c>
    </row>
    <row r="2" spans="1:8" ht="28">
      <c r="A2" s="18">
        <v>2026</v>
      </c>
      <c r="B2" s="18" t="s">
        <v>843</v>
      </c>
      <c r="C2" s="18" t="s">
        <v>105</v>
      </c>
      <c r="D2" s="18" t="s">
        <v>844</v>
      </c>
      <c r="E2" s="18"/>
      <c r="F2" s="18"/>
      <c r="G2" s="18"/>
      <c r="H2" s="18" t="s">
        <v>925</v>
      </c>
    </row>
    <row r="3" spans="1:8" ht="28">
      <c r="A3" s="18">
        <v>2026</v>
      </c>
      <c r="B3" s="18" t="s">
        <v>843</v>
      </c>
      <c r="C3" s="18" t="s">
        <v>105</v>
      </c>
      <c r="D3" s="18" t="s">
        <v>849</v>
      </c>
      <c r="E3" s="18"/>
      <c r="F3" s="18"/>
      <c r="G3" s="18"/>
      <c r="H3" s="18" t="s">
        <v>925</v>
      </c>
    </row>
    <row r="4" spans="1:8" ht="28">
      <c r="A4" s="18">
        <v>2026</v>
      </c>
      <c r="B4" s="18" t="s">
        <v>843</v>
      </c>
      <c r="C4" s="18" t="s">
        <v>106</v>
      </c>
      <c r="D4" s="18" t="s">
        <v>844</v>
      </c>
      <c r="E4" s="18"/>
      <c r="F4" s="18"/>
      <c r="G4" s="18"/>
      <c r="H4" s="18" t="s">
        <v>925</v>
      </c>
    </row>
    <row r="5" spans="1:8" ht="28">
      <c r="A5" s="18">
        <v>2026</v>
      </c>
      <c r="B5" s="18" t="s">
        <v>843</v>
      </c>
      <c r="C5" s="18" t="s">
        <v>106</v>
      </c>
      <c r="D5" s="18" t="s">
        <v>849</v>
      </c>
      <c r="E5" s="18"/>
      <c r="F5" s="18"/>
      <c r="G5" s="18"/>
      <c r="H5" s="18" t="s">
        <v>925</v>
      </c>
    </row>
    <row r="6" spans="1:8" ht="28">
      <c r="A6" s="18">
        <v>2027</v>
      </c>
      <c r="B6" s="18" t="s">
        <v>843</v>
      </c>
      <c r="C6" s="18" t="s">
        <v>105</v>
      </c>
      <c r="D6" s="18" t="s">
        <v>844</v>
      </c>
      <c r="E6" s="18"/>
      <c r="F6" s="18"/>
      <c r="G6" s="18"/>
      <c r="H6" s="18" t="s">
        <v>925</v>
      </c>
    </row>
    <row r="7" spans="1:8" ht="28">
      <c r="A7" s="18">
        <v>2027</v>
      </c>
      <c r="B7" s="18" t="s">
        <v>843</v>
      </c>
      <c r="C7" s="18" t="s">
        <v>105</v>
      </c>
      <c r="D7" s="18" t="s">
        <v>849</v>
      </c>
      <c r="E7" s="18"/>
      <c r="F7" s="18"/>
      <c r="G7" s="18"/>
      <c r="H7" s="18" t="s">
        <v>925</v>
      </c>
    </row>
    <row r="8" spans="1:8" ht="28">
      <c r="A8" s="18">
        <v>2027</v>
      </c>
      <c r="B8" s="18" t="s">
        <v>843</v>
      </c>
      <c r="C8" s="18" t="s">
        <v>106</v>
      </c>
      <c r="D8" s="18" t="s">
        <v>844</v>
      </c>
      <c r="E8" s="18"/>
      <c r="F8" s="18"/>
      <c r="G8" s="18"/>
      <c r="H8" s="18" t="s">
        <v>925</v>
      </c>
    </row>
    <row r="9" spans="1:8" ht="28">
      <c r="A9" s="18">
        <v>2027</v>
      </c>
      <c r="B9" s="18" t="s">
        <v>843</v>
      </c>
      <c r="C9" s="18" t="s">
        <v>106</v>
      </c>
      <c r="D9" s="18" t="s">
        <v>849</v>
      </c>
      <c r="E9" s="18"/>
      <c r="F9" s="18"/>
      <c r="G9" s="18"/>
      <c r="H9" s="18" t="s">
        <v>925</v>
      </c>
    </row>
    <row r="10" spans="1:8" ht="28">
      <c r="A10" s="18">
        <v>2028</v>
      </c>
      <c r="B10" s="18" t="s">
        <v>843</v>
      </c>
      <c r="C10" s="18" t="s">
        <v>105</v>
      </c>
      <c r="D10" s="18" t="s">
        <v>844</v>
      </c>
      <c r="E10" s="18"/>
      <c r="F10" s="18"/>
      <c r="G10" s="18"/>
      <c r="H10" s="18" t="s">
        <v>925</v>
      </c>
    </row>
    <row r="11" spans="1:8" ht="28">
      <c r="A11" s="18">
        <v>2028</v>
      </c>
      <c r="B11" s="18" t="s">
        <v>843</v>
      </c>
      <c r="C11" s="18" t="s">
        <v>105</v>
      </c>
      <c r="D11" s="18" t="s">
        <v>849</v>
      </c>
      <c r="E11" s="18">
        <v>80</v>
      </c>
      <c r="F11" s="18">
        <v>0</v>
      </c>
      <c r="G11" s="18"/>
      <c r="H11" s="18" t="s">
        <v>925</v>
      </c>
    </row>
    <row r="12" spans="1:8" ht="28">
      <c r="A12" s="18">
        <v>2028</v>
      </c>
      <c r="B12" s="18" t="s">
        <v>843</v>
      </c>
      <c r="C12" s="18" t="s">
        <v>106</v>
      </c>
      <c r="D12" s="18" t="s">
        <v>844</v>
      </c>
      <c r="E12" s="18"/>
      <c r="F12" s="18"/>
      <c r="G12" s="18"/>
      <c r="H12" s="18" t="s">
        <v>925</v>
      </c>
    </row>
    <row r="13" spans="1:8" ht="28">
      <c r="A13" s="18">
        <v>2028</v>
      </c>
      <c r="B13" s="18" t="s">
        <v>843</v>
      </c>
      <c r="C13" s="18" t="s">
        <v>106</v>
      </c>
      <c r="D13" s="18" t="s">
        <v>849</v>
      </c>
      <c r="E13" s="18">
        <v>36</v>
      </c>
      <c r="F13" s="18">
        <v>0</v>
      </c>
      <c r="G13" s="18"/>
      <c r="H13" s="18" t="s">
        <v>925</v>
      </c>
    </row>
    <row r="14" spans="1:8" ht="28">
      <c r="A14" s="18">
        <v>2029</v>
      </c>
      <c r="B14" s="18" t="s">
        <v>843</v>
      </c>
      <c r="C14" s="18" t="s">
        <v>105</v>
      </c>
      <c r="D14" s="18" t="s">
        <v>844</v>
      </c>
      <c r="E14" s="18"/>
      <c r="F14" s="18"/>
      <c r="G14" s="18"/>
      <c r="H14" s="18" t="s">
        <v>925</v>
      </c>
    </row>
    <row r="15" spans="1:8" ht="28">
      <c r="A15" s="18">
        <v>2029</v>
      </c>
      <c r="B15" s="18" t="s">
        <v>843</v>
      </c>
      <c r="C15" s="18" t="s">
        <v>105</v>
      </c>
      <c r="D15" s="18" t="s">
        <v>849</v>
      </c>
      <c r="E15" s="18">
        <v>226</v>
      </c>
      <c r="F15" s="18">
        <v>301</v>
      </c>
      <c r="G15" s="18"/>
      <c r="H15" s="18" t="s">
        <v>925</v>
      </c>
    </row>
    <row r="16" spans="1:8" ht="28">
      <c r="A16" s="18">
        <v>2029</v>
      </c>
      <c r="B16" s="18" t="s">
        <v>843</v>
      </c>
      <c r="C16" s="18" t="s">
        <v>106</v>
      </c>
      <c r="D16" s="18" t="s">
        <v>844</v>
      </c>
      <c r="E16" s="18"/>
      <c r="F16" s="18"/>
      <c r="G16" s="18"/>
      <c r="H16" s="18" t="s">
        <v>925</v>
      </c>
    </row>
    <row r="17" spans="1:8" ht="28">
      <c r="A17" s="18">
        <v>2029</v>
      </c>
      <c r="B17" s="18" t="s">
        <v>843</v>
      </c>
      <c r="C17" s="18" t="s">
        <v>106</v>
      </c>
      <c r="D17" s="18" t="s">
        <v>849</v>
      </c>
      <c r="E17" s="18">
        <v>49</v>
      </c>
      <c r="F17" s="18">
        <v>134</v>
      </c>
      <c r="G17" s="18"/>
      <c r="H17" s="18" t="s">
        <v>925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926</v>
      </c>
      <c r="G1" s="52" t="s">
        <v>884</v>
      </c>
      <c r="H1" s="52" t="s">
        <v>885</v>
      </c>
      <c r="I1" s="52" t="s">
        <v>738</v>
      </c>
    </row>
    <row r="2" spans="1:9" ht="28">
      <c r="A2" s="18">
        <v>2025</v>
      </c>
      <c r="B2" s="18" t="s">
        <v>845</v>
      </c>
      <c r="C2" s="18">
        <v>2025</v>
      </c>
      <c r="D2" s="18" t="s">
        <v>106</v>
      </c>
      <c r="E2" s="18" t="s">
        <v>844</v>
      </c>
      <c r="F2" s="18" t="s">
        <v>927</v>
      </c>
      <c r="G2" s="18" t="s">
        <v>861</v>
      </c>
      <c r="H2" s="18">
        <v>708</v>
      </c>
      <c r="I2" s="18" t="s">
        <v>928</v>
      </c>
    </row>
    <row r="3" spans="1:9" ht="28">
      <c r="A3" s="18">
        <v>2025</v>
      </c>
      <c r="B3" s="18" t="s">
        <v>846</v>
      </c>
      <c r="C3" s="18">
        <v>2026</v>
      </c>
      <c r="D3" s="18" t="s">
        <v>106</v>
      </c>
      <c r="E3" s="18" t="s">
        <v>844</v>
      </c>
      <c r="F3" s="18" t="s">
        <v>927</v>
      </c>
      <c r="G3" s="18" t="s">
        <v>861</v>
      </c>
      <c r="H3" s="18">
        <v>550</v>
      </c>
      <c r="I3" s="18" t="s">
        <v>929</v>
      </c>
    </row>
    <row r="4" spans="1:9" ht="28">
      <c r="A4" s="18">
        <v>2025</v>
      </c>
      <c r="B4" s="18" t="s">
        <v>846</v>
      </c>
      <c r="C4" s="18">
        <v>2026</v>
      </c>
      <c r="D4" s="18" t="s">
        <v>106</v>
      </c>
      <c r="E4" s="18" t="s">
        <v>844</v>
      </c>
      <c r="F4" s="18" t="s">
        <v>927</v>
      </c>
      <c r="G4" s="18" t="s">
        <v>863</v>
      </c>
      <c r="H4" s="18">
        <v>450</v>
      </c>
      <c r="I4" s="18" t="s">
        <v>930</v>
      </c>
    </row>
    <row r="5" spans="1:9" ht="28">
      <c r="A5" s="18">
        <v>2025</v>
      </c>
      <c r="B5" s="18" t="s">
        <v>847</v>
      </c>
      <c r="C5" s="18">
        <v>2026</v>
      </c>
      <c r="D5" s="18" t="s">
        <v>106</v>
      </c>
      <c r="E5" s="18" t="s">
        <v>844</v>
      </c>
      <c r="F5" s="18" t="s">
        <v>927</v>
      </c>
      <c r="G5" s="18" t="s">
        <v>864</v>
      </c>
      <c r="H5" s="18">
        <v>368</v>
      </c>
      <c r="I5" s="18" t="s">
        <v>931</v>
      </c>
    </row>
    <row r="6" spans="1:9">
      <c r="A6" s="18">
        <v>2025</v>
      </c>
      <c r="B6" s="18" t="s">
        <v>847</v>
      </c>
      <c r="C6" s="18">
        <v>2026</v>
      </c>
      <c r="D6" s="18" t="s">
        <v>106</v>
      </c>
      <c r="E6" s="18" t="s">
        <v>844</v>
      </c>
      <c r="F6" s="18" t="s">
        <v>927</v>
      </c>
      <c r="G6" s="18" t="s">
        <v>863</v>
      </c>
      <c r="H6" s="18">
        <v>325</v>
      </c>
    </row>
    <row r="7" spans="1:9">
      <c r="A7" s="18">
        <v>2025</v>
      </c>
      <c r="B7" s="18" t="s">
        <v>847</v>
      </c>
      <c r="C7" s="18">
        <v>2026</v>
      </c>
      <c r="D7" s="18" t="s">
        <v>106</v>
      </c>
      <c r="E7" s="18" t="s">
        <v>844</v>
      </c>
      <c r="F7" s="18" t="s">
        <v>927</v>
      </c>
      <c r="G7" s="18" t="s">
        <v>861</v>
      </c>
      <c r="H7" s="18">
        <v>793</v>
      </c>
    </row>
    <row r="8" spans="1:9">
      <c r="A8" s="18">
        <v>2025</v>
      </c>
      <c r="B8" s="18" t="s">
        <v>848</v>
      </c>
      <c r="C8" s="18">
        <v>2026</v>
      </c>
      <c r="D8" s="18" t="s">
        <v>106</v>
      </c>
      <c r="E8" s="18" t="s">
        <v>844</v>
      </c>
      <c r="F8" s="18" t="s">
        <v>927</v>
      </c>
      <c r="G8" s="18" t="s">
        <v>865</v>
      </c>
      <c r="H8" s="18">
        <v>2</v>
      </c>
    </row>
    <row r="9" spans="1:9">
      <c r="A9" s="18">
        <v>2025</v>
      </c>
      <c r="B9" s="18" t="s">
        <v>848</v>
      </c>
      <c r="C9" s="18">
        <v>2026</v>
      </c>
      <c r="D9" s="18" t="s">
        <v>106</v>
      </c>
      <c r="E9" s="18" t="s">
        <v>844</v>
      </c>
      <c r="F9" s="18" t="s">
        <v>927</v>
      </c>
      <c r="G9" s="18" t="s">
        <v>864</v>
      </c>
      <c r="H9" s="18">
        <v>301</v>
      </c>
    </row>
    <row r="10" spans="1:9">
      <c r="A10" s="18">
        <v>2025</v>
      </c>
      <c r="B10" s="18" t="s">
        <v>848</v>
      </c>
      <c r="C10" s="18">
        <v>2026</v>
      </c>
      <c r="D10" s="18" t="s">
        <v>106</v>
      </c>
      <c r="E10" s="18" t="s">
        <v>844</v>
      </c>
      <c r="F10" s="18" t="s">
        <v>927</v>
      </c>
      <c r="G10" s="18" t="s">
        <v>863</v>
      </c>
      <c r="H10" s="18">
        <v>766</v>
      </c>
    </row>
    <row r="11" spans="1:9">
      <c r="A11" s="18">
        <v>2025</v>
      </c>
      <c r="B11" s="18" t="s">
        <v>848</v>
      </c>
      <c r="C11" s="18">
        <v>2026</v>
      </c>
      <c r="D11" s="18" t="s">
        <v>106</v>
      </c>
      <c r="E11" s="18" t="s">
        <v>844</v>
      </c>
      <c r="F11" s="18" t="s">
        <v>927</v>
      </c>
      <c r="G11" s="18" t="s">
        <v>861</v>
      </c>
      <c r="H11" s="18">
        <v>420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932</v>
      </c>
      <c r="G1" s="52" t="s">
        <v>933</v>
      </c>
      <c r="H1" s="52" t="s">
        <v>934</v>
      </c>
      <c r="I1" s="52" t="s">
        <v>738</v>
      </c>
    </row>
    <row r="2" spans="1:9" ht="28">
      <c r="A2" s="18">
        <v>2028</v>
      </c>
      <c r="B2" s="18" t="s">
        <v>846</v>
      </c>
      <c r="C2" s="18">
        <v>2029</v>
      </c>
      <c r="D2" s="18" t="s">
        <v>105</v>
      </c>
      <c r="E2" s="18" t="s">
        <v>849</v>
      </c>
      <c r="F2" s="18">
        <v>0</v>
      </c>
      <c r="G2" s="18">
        <v>0</v>
      </c>
      <c r="H2" s="18">
        <v>0</v>
      </c>
      <c r="I2" s="18" t="s">
        <v>935</v>
      </c>
    </row>
    <row r="3" spans="1:9">
      <c r="A3" s="18">
        <v>2028</v>
      </c>
      <c r="B3" s="18" t="s">
        <v>847</v>
      </c>
      <c r="C3" s="18">
        <v>2029</v>
      </c>
      <c r="D3" s="18" t="s">
        <v>105</v>
      </c>
      <c r="E3" s="18" t="s">
        <v>849</v>
      </c>
      <c r="F3" s="18">
        <v>0</v>
      </c>
      <c r="G3" s="18">
        <v>0</v>
      </c>
      <c r="H3" s="18">
        <v>0</v>
      </c>
      <c r="I3" s="18" t="s">
        <v>936</v>
      </c>
    </row>
    <row r="4" spans="1:9" ht="28">
      <c r="A4" s="18">
        <v>2028</v>
      </c>
      <c r="B4" s="18" t="s">
        <v>848</v>
      </c>
      <c r="C4" s="18">
        <v>2029</v>
      </c>
      <c r="D4" s="18" t="s">
        <v>105</v>
      </c>
      <c r="E4" s="18" t="s">
        <v>849</v>
      </c>
      <c r="F4" s="18">
        <v>0</v>
      </c>
      <c r="G4" s="18">
        <v>0</v>
      </c>
      <c r="H4" s="18">
        <v>0</v>
      </c>
      <c r="I4" s="18" t="s">
        <v>937</v>
      </c>
    </row>
    <row r="5" spans="1:9" ht="28">
      <c r="A5" s="18">
        <v>2029</v>
      </c>
      <c r="B5" s="18" t="s">
        <v>843</v>
      </c>
      <c r="C5" s="18">
        <v>2029</v>
      </c>
      <c r="D5" s="18" t="s">
        <v>106</v>
      </c>
      <c r="E5" s="18" t="s">
        <v>844</v>
      </c>
      <c r="F5" s="18">
        <v>0</v>
      </c>
      <c r="G5" s="18">
        <v>0</v>
      </c>
      <c r="H5" s="18">
        <v>0</v>
      </c>
      <c r="I5" s="18" t="s">
        <v>938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939</v>
      </c>
      <c r="B1" s="53" t="s">
        <v>940</v>
      </c>
    </row>
    <row r="2" spans="1:2" ht="28">
      <c r="A2" s="18" t="s">
        <v>941</v>
      </c>
      <c r="B2" s="18" t="s">
        <v>942</v>
      </c>
    </row>
    <row r="3" spans="1:2">
      <c r="A3" s="18" t="s">
        <v>943</v>
      </c>
      <c r="B3" s="18" t="s">
        <v>944</v>
      </c>
    </row>
    <row r="4" spans="1:2" ht="28">
      <c r="A4" s="18" t="s">
        <v>945</v>
      </c>
      <c r="B4" s="18" t="s">
        <v>946</v>
      </c>
    </row>
    <row r="5" spans="1:2" ht="28">
      <c r="A5" s="18" t="s">
        <v>947</v>
      </c>
      <c r="B5" s="18" t="s">
        <v>948</v>
      </c>
    </row>
    <row r="6" spans="1:2" ht="28">
      <c r="A6" s="18" t="s">
        <v>949</v>
      </c>
      <c r="B6" s="18" t="s">
        <v>950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951</v>
      </c>
      <c r="B1" s="55" t="s">
        <v>940</v>
      </c>
    </row>
    <row r="2" spans="1:2" ht="28">
      <c r="A2" s="18" t="s">
        <v>952</v>
      </c>
      <c r="B2" s="18" t="s">
        <v>953</v>
      </c>
    </row>
    <row r="3" spans="1:2" ht="28">
      <c r="A3" s="18" t="s">
        <v>947</v>
      </c>
      <c r="B3" s="18" t="s">
        <v>954</v>
      </c>
    </row>
    <row r="4" spans="1:2" ht="28">
      <c r="A4" s="18" t="s">
        <v>955</v>
      </c>
      <c r="B4" s="18" t="s">
        <v>956</v>
      </c>
    </row>
    <row r="5" spans="1:2">
      <c r="A5" s="18" t="s">
        <v>957</v>
      </c>
      <c r="B5" s="18" t="s">
        <v>958</v>
      </c>
    </row>
    <row r="6" spans="1:2" ht="28">
      <c r="A6" s="18" t="s">
        <v>959</v>
      </c>
      <c r="B6" s="18" t="s">
        <v>960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6" t="s">
        <v>951</v>
      </c>
      <c r="B1" s="56" t="s">
        <v>940</v>
      </c>
    </row>
    <row r="2" spans="1:2">
      <c r="A2" s="18" t="s">
        <v>961</v>
      </c>
      <c r="B2" s="18" t="s">
        <v>962</v>
      </c>
    </row>
    <row r="3" spans="1:2">
      <c r="A3" s="18" t="s">
        <v>963</v>
      </c>
      <c r="B3" s="18" t="s">
        <v>964</v>
      </c>
    </row>
    <row r="4" spans="1:2">
      <c r="A4" s="18" t="s">
        <v>965</v>
      </c>
      <c r="B4" s="18" t="s">
        <v>966</v>
      </c>
    </row>
    <row r="5" spans="1:2">
      <c r="A5" s="18" t="s">
        <v>967</v>
      </c>
      <c r="B5" s="18" t="s">
        <v>968</v>
      </c>
    </row>
    <row r="6" spans="1:2">
      <c r="A6" s="18" t="s">
        <v>969</v>
      </c>
      <c r="B6" s="18" t="s">
        <v>970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"/>
  <sheetViews>
    <sheetView workbookViewId="0"/>
  </sheetViews>
  <sheetFormatPr baseColWidth="10" defaultColWidth="8.6640625" defaultRowHeight="14"/>
  <cols>
    <col min="1" max="1" width="30" customWidth="1"/>
    <col min="2" max="2" width="95" customWidth="1"/>
  </cols>
  <sheetData>
    <row r="1" spans="1:2">
      <c r="A1" s="57" t="s">
        <v>951</v>
      </c>
      <c r="B1" s="57" t="s">
        <v>940</v>
      </c>
    </row>
    <row r="2" spans="1:2">
      <c r="A2" s="18" t="s">
        <v>971</v>
      </c>
      <c r="B2" s="18" t="s">
        <v>972</v>
      </c>
    </row>
    <row r="3" spans="1:2" ht="28">
      <c r="A3" s="18" t="s">
        <v>973</v>
      </c>
      <c r="B3" s="18" t="s">
        <v>974</v>
      </c>
    </row>
    <row r="4" spans="1:2" ht="28">
      <c r="A4" s="18" t="s">
        <v>975</v>
      </c>
      <c r="B4" s="18" t="s">
        <v>976</v>
      </c>
    </row>
    <row r="5" spans="1:2">
      <c r="A5" s="18" t="s">
        <v>977</v>
      </c>
      <c r="B5" s="18" t="s">
        <v>978</v>
      </c>
    </row>
    <row r="6" spans="1:2">
      <c r="A6" s="18" t="s">
        <v>979</v>
      </c>
      <c r="B6" s="18" t="s">
        <v>980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8" t="s">
        <v>951</v>
      </c>
      <c r="B1" s="58" t="s">
        <v>940</v>
      </c>
    </row>
    <row r="2" spans="1:2">
      <c r="A2" s="18" t="s">
        <v>981</v>
      </c>
      <c r="B2" s="18" t="s">
        <v>982</v>
      </c>
    </row>
    <row r="3" spans="1:2">
      <c r="A3" s="18" t="s">
        <v>983</v>
      </c>
      <c r="B3" s="18" t="s">
        <v>984</v>
      </c>
    </row>
    <row r="4" spans="1:2">
      <c r="A4" s="18" t="s">
        <v>985</v>
      </c>
      <c r="B4" s="18" t="s">
        <v>986</v>
      </c>
    </row>
    <row r="5" spans="1:2">
      <c r="A5" s="18" t="s">
        <v>987</v>
      </c>
      <c r="B5" s="18" t="s">
        <v>988</v>
      </c>
    </row>
    <row r="6" spans="1:2">
      <c r="A6" s="18" t="s">
        <v>989</v>
      </c>
      <c r="B6" s="18" t="s">
        <v>990</v>
      </c>
    </row>
    <row r="7" spans="1:2">
      <c r="A7" s="18" t="s">
        <v>991</v>
      </c>
      <c r="B7" s="18" t="s">
        <v>992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9" t="s">
        <v>951</v>
      </c>
      <c r="B1" s="59" t="s">
        <v>940</v>
      </c>
    </row>
    <row r="2" spans="1:2" ht="28">
      <c r="A2" s="18" t="s">
        <v>993</v>
      </c>
      <c r="B2" s="18" t="s">
        <v>994</v>
      </c>
    </row>
    <row r="3" spans="1:2">
      <c r="A3" s="18" t="s">
        <v>959</v>
      </c>
      <c r="B3" s="18" t="s">
        <v>995</v>
      </c>
    </row>
    <row r="4" spans="1:2" ht="28">
      <c r="A4" s="18" t="s">
        <v>996</v>
      </c>
      <c r="B4" s="18" t="s">
        <v>997</v>
      </c>
    </row>
    <row r="5" spans="1:2">
      <c r="A5" s="18" t="s">
        <v>998</v>
      </c>
      <c r="B5" s="18" t="s">
        <v>999</v>
      </c>
    </row>
    <row r="6" spans="1:2">
      <c r="A6" s="18" t="s">
        <v>844</v>
      </c>
      <c r="B6" s="18" t="s">
        <v>1000</v>
      </c>
    </row>
    <row r="7" spans="1:2">
      <c r="A7" s="18" t="s">
        <v>849</v>
      </c>
      <c r="B7" s="18" t="s">
        <v>1001</v>
      </c>
    </row>
    <row r="8" spans="1:2">
      <c r="A8" s="18" t="s">
        <v>130</v>
      </c>
      <c r="B8" s="18" t="s">
        <v>1002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0" t="s">
        <v>951</v>
      </c>
      <c r="B1" s="60" t="s">
        <v>940</v>
      </c>
    </row>
    <row r="2" spans="1:2">
      <c r="A2" s="18" t="s">
        <v>1003</v>
      </c>
      <c r="B2" s="18" t="s">
        <v>1004</v>
      </c>
    </row>
    <row r="3" spans="1:2">
      <c r="A3" s="18" t="s">
        <v>993</v>
      </c>
      <c r="B3" s="18" t="s">
        <v>1005</v>
      </c>
    </row>
    <row r="4" spans="1:2">
      <c r="A4" s="18" t="s">
        <v>959</v>
      </c>
      <c r="B4" s="18" t="s">
        <v>1006</v>
      </c>
    </row>
    <row r="5" spans="1:2">
      <c r="A5" s="18" t="s">
        <v>981</v>
      </c>
      <c r="B5" s="18" t="s">
        <v>1007</v>
      </c>
    </row>
    <row r="6" spans="1:2">
      <c r="A6" s="18" t="s">
        <v>1008</v>
      </c>
      <c r="B6" s="18" t="s">
        <v>1009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1" t="s">
        <v>951</v>
      </c>
      <c r="B1" s="61" t="s">
        <v>940</v>
      </c>
    </row>
    <row r="2" spans="1:2">
      <c r="A2" s="18" t="s">
        <v>1010</v>
      </c>
      <c r="B2" s="18" t="s">
        <v>1011</v>
      </c>
    </row>
    <row r="3" spans="1:2">
      <c r="A3" s="18" t="s">
        <v>1012</v>
      </c>
      <c r="B3" s="18" t="s">
        <v>1013</v>
      </c>
    </row>
    <row r="4" spans="1:2">
      <c r="A4" s="18" t="s">
        <v>1014</v>
      </c>
      <c r="B4" s="18" t="s">
        <v>1015</v>
      </c>
    </row>
    <row r="5" spans="1:2">
      <c r="A5" s="18" t="s">
        <v>1016</v>
      </c>
      <c r="B5" s="18" t="s">
        <v>1017</v>
      </c>
    </row>
    <row r="6" spans="1:2">
      <c r="A6" s="18" t="s">
        <v>998</v>
      </c>
      <c r="B6" s="18" t="s">
        <v>1018</v>
      </c>
    </row>
    <row r="7" spans="1:2">
      <c r="A7" s="18" t="s">
        <v>1019</v>
      </c>
      <c r="B7" s="18" t="s">
        <v>1020</v>
      </c>
    </row>
    <row r="8" spans="1:2">
      <c r="A8" s="18" t="s">
        <v>1021</v>
      </c>
      <c r="B8" s="18" t="s">
        <v>1022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8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2" t="s">
        <v>951</v>
      </c>
      <c r="B1" s="62" t="s">
        <v>940</v>
      </c>
    </row>
    <row r="2" spans="1:2">
      <c r="A2" s="18" t="s">
        <v>1023</v>
      </c>
      <c r="B2" s="18" t="s">
        <v>1024</v>
      </c>
    </row>
    <row r="3" spans="1:2" ht="28">
      <c r="A3" s="18" t="s">
        <v>1025</v>
      </c>
      <c r="B3" s="18" t="s">
        <v>1026</v>
      </c>
    </row>
    <row r="4" spans="1:2">
      <c r="A4" s="18" t="s">
        <v>1027</v>
      </c>
      <c r="B4" s="18" t="s">
        <v>1028</v>
      </c>
    </row>
    <row r="5" spans="1:2">
      <c r="A5" s="18" t="s">
        <v>1029</v>
      </c>
      <c r="B5" s="18" t="s">
        <v>1030</v>
      </c>
    </row>
    <row r="6" spans="1:2">
      <c r="A6" s="18" t="s">
        <v>998</v>
      </c>
      <c r="B6" s="18" t="s">
        <v>1031</v>
      </c>
    </row>
    <row r="7" spans="1:2">
      <c r="A7" s="18" t="s">
        <v>1032</v>
      </c>
      <c r="B7" s="18" t="s">
        <v>1033</v>
      </c>
    </row>
    <row r="8" spans="1:2">
      <c r="A8" s="18" t="s">
        <v>1034</v>
      </c>
      <c r="B8" s="18" t="s">
        <v>1035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3" t="s">
        <v>951</v>
      </c>
      <c r="B1" s="63" t="s">
        <v>940</v>
      </c>
    </row>
    <row r="2" spans="1:2">
      <c r="A2" s="18" t="s">
        <v>1036</v>
      </c>
      <c r="B2" s="18" t="s">
        <v>1037</v>
      </c>
    </row>
    <row r="3" spans="1:2">
      <c r="A3" s="18" t="s">
        <v>1038</v>
      </c>
      <c r="B3" s="18" t="s">
        <v>1039</v>
      </c>
    </row>
    <row r="4" spans="1:2">
      <c r="A4" s="18" t="s">
        <v>1040</v>
      </c>
      <c r="B4" s="18" t="s">
        <v>1041</v>
      </c>
    </row>
    <row r="5" spans="1:2">
      <c r="A5" s="18" t="s">
        <v>1029</v>
      </c>
      <c r="B5" s="18" t="s">
        <v>1042</v>
      </c>
    </row>
    <row r="6" spans="1:2">
      <c r="A6" s="18" t="s">
        <v>1043</v>
      </c>
      <c r="B6" s="18" t="s">
        <v>1044</v>
      </c>
    </row>
    <row r="7" spans="1:2">
      <c r="A7" s="18" t="s">
        <v>1045</v>
      </c>
      <c r="B7" s="18" t="s">
        <v>1046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20"/>
  <sheetViews>
    <sheetView workbookViewId="0"/>
  </sheetViews>
  <sheetFormatPr baseColWidth="10" defaultColWidth="8.6640625" defaultRowHeight="14"/>
  <cols>
    <col min="1" max="1" width="16" customWidth="1"/>
    <col min="2" max="5" width="24" customWidth="1"/>
    <col min="6" max="6" width="74" customWidth="1"/>
  </cols>
  <sheetData>
    <row r="1" spans="1:6" ht="28">
      <c r="A1" s="86" t="s">
        <v>840</v>
      </c>
      <c r="B1" s="86" t="s">
        <v>791</v>
      </c>
      <c r="C1" s="86" t="s">
        <v>1253</v>
      </c>
      <c r="D1" s="86" t="s">
        <v>795</v>
      </c>
      <c r="E1" s="86" t="s">
        <v>1254</v>
      </c>
      <c r="F1" s="86" t="s">
        <v>738</v>
      </c>
    </row>
    <row r="2" spans="1:6">
      <c r="A2" s="18">
        <v>2027</v>
      </c>
      <c r="B2" s="49" t="s">
        <v>1255</v>
      </c>
      <c r="C2" s="49" t="s">
        <v>792</v>
      </c>
      <c r="D2" s="49" t="s">
        <v>1255</v>
      </c>
      <c r="E2" s="49" t="s">
        <v>792</v>
      </c>
      <c r="F2" s="18" t="s">
        <v>1256</v>
      </c>
    </row>
    <row r="3" spans="1:6">
      <c r="A3" s="18">
        <v>2028</v>
      </c>
      <c r="B3" s="49" t="s">
        <v>1255</v>
      </c>
      <c r="C3" s="49" t="s">
        <v>792</v>
      </c>
      <c r="D3" s="49" t="s">
        <v>1255</v>
      </c>
      <c r="E3" s="49" t="s">
        <v>792</v>
      </c>
      <c r="F3" s="18" t="s">
        <v>1256</v>
      </c>
    </row>
    <row r="4" spans="1:6">
      <c r="A4" s="18">
        <v>2029</v>
      </c>
      <c r="B4" s="49" t="s">
        <v>1255</v>
      </c>
      <c r="C4" s="49" t="s">
        <v>792</v>
      </c>
      <c r="D4" s="49" t="s">
        <v>1255</v>
      </c>
      <c r="E4" s="49" t="s">
        <v>792</v>
      </c>
      <c r="F4" s="18" t="s">
        <v>1256</v>
      </c>
    </row>
    <row r="5" spans="1:6">
      <c r="A5" s="18">
        <v>2030</v>
      </c>
      <c r="B5" s="49" t="s">
        <v>792</v>
      </c>
      <c r="C5" s="49" t="s">
        <v>1255</v>
      </c>
      <c r="D5" s="49" t="s">
        <v>792</v>
      </c>
      <c r="E5" s="49" t="s">
        <v>1255</v>
      </c>
      <c r="F5" s="18" t="s">
        <v>1257</v>
      </c>
    </row>
    <row r="6" spans="1:6">
      <c r="A6" s="18">
        <v>2031</v>
      </c>
      <c r="B6" s="49" t="s">
        <v>792</v>
      </c>
      <c r="C6" s="49" t="s">
        <v>1255</v>
      </c>
      <c r="D6" s="49" t="s">
        <v>792</v>
      </c>
      <c r="E6" s="49" t="s">
        <v>1255</v>
      </c>
      <c r="F6" s="18" t="s">
        <v>1257</v>
      </c>
    </row>
    <row r="7" spans="1:6">
      <c r="A7" s="18">
        <v>2032</v>
      </c>
      <c r="B7" s="49" t="s">
        <v>792</v>
      </c>
      <c r="C7" s="49" t="s">
        <v>1255</v>
      </c>
      <c r="D7" s="49" t="s">
        <v>792</v>
      </c>
      <c r="E7" s="49" t="s">
        <v>1255</v>
      </c>
      <c r="F7" s="18" t="s">
        <v>1257</v>
      </c>
    </row>
    <row r="8" spans="1:6">
      <c r="A8" s="18">
        <v>2033</v>
      </c>
      <c r="B8" s="49" t="s">
        <v>792</v>
      </c>
      <c r="C8" s="49" t="s">
        <v>1255</v>
      </c>
      <c r="D8" s="49" t="s">
        <v>792</v>
      </c>
      <c r="E8" s="49" t="s">
        <v>1255</v>
      </c>
      <c r="F8" s="18" t="s">
        <v>1257</v>
      </c>
    </row>
    <row r="9" spans="1:6">
      <c r="A9" s="18">
        <v>2034</v>
      </c>
      <c r="B9" s="49" t="s">
        <v>792</v>
      </c>
      <c r="C9" s="49" t="s">
        <v>1255</v>
      </c>
      <c r="D9" s="49" t="s">
        <v>792</v>
      </c>
      <c r="E9" s="49" t="s">
        <v>1255</v>
      </c>
      <c r="F9" s="18" t="s">
        <v>1257</v>
      </c>
    </row>
    <row r="10" spans="1:6">
      <c r="A10" s="18">
        <v>2035</v>
      </c>
      <c r="B10" s="49" t="s">
        <v>792</v>
      </c>
      <c r="C10" s="49" t="s">
        <v>1255</v>
      </c>
      <c r="D10" s="49" t="s">
        <v>792</v>
      </c>
      <c r="E10" s="49" t="s">
        <v>1255</v>
      </c>
      <c r="F10" s="18" t="s">
        <v>1257</v>
      </c>
    </row>
    <row r="11" spans="1:6">
      <c r="A11" s="18">
        <v>2036</v>
      </c>
      <c r="B11" s="49" t="s">
        <v>792</v>
      </c>
      <c r="C11" s="49" t="s">
        <v>1255</v>
      </c>
      <c r="D11" s="49" t="s">
        <v>792</v>
      </c>
      <c r="E11" s="49" t="s">
        <v>1255</v>
      </c>
      <c r="F11" s="18" t="s">
        <v>1257</v>
      </c>
    </row>
    <row r="12" spans="1:6">
      <c r="A12" s="18">
        <v>2037</v>
      </c>
      <c r="B12" s="49" t="s">
        <v>792</v>
      </c>
      <c r="C12" s="49" t="s">
        <v>1255</v>
      </c>
      <c r="D12" s="49" t="s">
        <v>792</v>
      </c>
      <c r="E12" s="49" t="s">
        <v>1255</v>
      </c>
      <c r="F12" s="18" t="s">
        <v>1257</v>
      </c>
    </row>
    <row r="13" spans="1:6">
      <c r="A13" s="18">
        <v>2038</v>
      </c>
      <c r="B13" s="49" t="s">
        <v>792</v>
      </c>
      <c r="C13" s="49" t="s">
        <v>1255</v>
      </c>
      <c r="D13" s="49" t="s">
        <v>792</v>
      </c>
      <c r="E13" s="49" t="s">
        <v>1255</v>
      </c>
      <c r="F13" s="18" t="s">
        <v>1257</v>
      </c>
    </row>
    <row r="14" spans="1:6">
      <c r="A14" s="18">
        <v>2039</v>
      </c>
      <c r="B14" s="49" t="s">
        <v>792</v>
      </c>
      <c r="C14" s="49" t="s">
        <v>1255</v>
      </c>
      <c r="D14" s="49" t="s">
        <v>792</v>
      </c>
      <c r="E14" s="49" t="s">
        <v>1255</v>
      </c>
      <c r="F14" s="18" t="s">
        <v>1257</v>
      </c>
    </row>
    <row r="15" spans="1:6">
      <c r="A15" s="18">
        <v>2040</v>
      </c>
      <c r="B15" s="49" t="s">
        <v>792</v>
      </c>
      <c r="C15" s="49" t="s">
        <v>1255</v>
      </c>
      <c r="D15" s="49" t="s">
        <v>792</v>
      </c>
      <c r="E15" s="49" t="s">
        <v>1255</v>
      </c>
      <c r="F15" s="18" t="s">
        <v>1257</v>
      </c>
    </row>
    <row r="16" spans="1:6">
      <c r="A16" s="18">
        <v>2041</v>
      </c>
      <c r="B16" s="49" t="s">
        <v>792</v>
      </c>
      <c r="C16" s="49" t="s">
        <v>1255</v>
      </c>
      <c r="D16" s="49" t="s">
        <v>792</v>
      </c>
      <c r="E16" s="49" t="s">
        <v>1255</v>
      </c>
      <c r="F16" s="18" t="s">
        <v>1257</v>
      </c>
    </row>
    <row r="17" spans="1:6">
      <c r="A17" s="18">
        <v>2042</v>
      </c>
      <c r="B17" s="49" t="s">
        <v>792</v>
      </c>
      <c r="C17" s="49" t="s">
        <v>1255</v>
      </c>
      <c r="D17" s="49" t="s">
        <v>792</v>
      </c>
      <c r="E17" s="49" t="s">
        <v>1255</v>
      </c>
      <c r="F17" s="18" t="s">
        <v>1257</v>
      </c>
    </row>
    <row r="18" spans="1:6">
      <c r="A18" s="18">
        <v>2043</v>
      </c>
      <c r="B18" s="49" t="s">
        <v>792</v>
      </c>
      <c r="C18" s="49" t="s">
        <v>1255</v>
      </c>
      <c r="D18" s="49" t="s">
        <v>792</v>
      </c>
      <c r="E18" s="49" t="s">
        <v>1255</v>
      </c>
      <c r="F18" s="18" t="s">
        <v>1257</v>
      </c>
    </row>
    <row r="19" spans="1:6">
      <c r="A19" s="18">
        <v>2044</v>
      </c>
      <c r="B19" s="49" t="s">
        <v>792</v>
      </c>
      <c r="C19" s="49" t="s">
        <v>1255</v>
      </c>
      <c r="D19" s="49" t="s">
        <v>792</v>
      </c>
      <c r="E19" s="49" t="s">
        <v>1255</v>
      </c>
      <c r="F19" s="18" t="s">
        <v>1257</v>
      </c>
    </row>
    <row r="20" spans="1:6">
      <c r="A20" s="18">
        <v>2045</v>
      </c>
      <c r="B20" s="49" t="s">
        <v>792</v>
      </c>
      <c r="C20" s="49" t="s">
        <v>1255</v>
      </c>
      <c r="D20" s="49" t="s">
        <v>792</v>
      </c>
      <c r="E20" s="49" t="s">
        <v>1255</v>
      </c>
      <c r="F20" s="18" t="s">
        <v>1257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4" t="s">
        <v>951</v>
      </c>
      <c r="B1" s="64" t="s">
        <v>940</v>
      </c>
    </row>
    <row r="2" spans="1:2">
      <c r="A2" s="18" t="s">
        <v>1047</v>
      </c>
      <c r="B2" s="18" t="s">
        <v>1048</v>
      </c>
    </row>
    <row r="3" spans="1:2">
      <c r="A3" s="18" t="s">
        <v>1049</v>
      </c>
      <c r="B3" s="18" t="s">
        <v>1050</v>
      </c>
    </row>
    <row r="4" spans="1:2">
      <c r="A4" s="18" t="s">
        <v>1051</v>
      </c>
      <c r="B4" s="18" t="s">
        <v>1052</v>
      </c>
    </row>
    <row r="5" spans="1:2" ht="28">
      <c r="A5" s="18" t="s">
        <v>1053</v>
      </c>
      <c r="B5" s="18" t="s">
        <v>1054</v>
      </c>
    </row>
    <row r="6" spans="1:2">
      <c r="A6" s="18" t="s">
        <v>1055</v>
      </c>
      <c r="B6" s="18" t="s">
        <v>1056</v>
      </c>
    </row>
    <row r="7" spans="1:2">
      <c r="A7" s="18" t="s">
        <v>1057</v>
      </c>
      <c r="B7" s="18" t="s">
        <v>1058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0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5" t="s">
        <v>951</v>
      </c>
      <c r="B1" s="65" t="s">
        <v>940</v>
      </c>
    </row>
    <row r="2" spans="1:2">
      <c r="A2" s="18" t="s">
        <v>1059</v>
      </c>
      <c r="B2" s="18" t="s">
        <v>1060</v>
      </c>
    </row>
    <row r="3" spans="1:2">
      <c r="A3" s="18" t="s">
        <v>1061</v>
      </c>
      <c r="B3" s="18" t="s">
        <v>1062</v>
      </c>
    </row>
    <row r="4" spans="1:2">
      <c r="A4" s="18" t="s">
        <v>1063</v>
      </c>
      <c r="B4" s="18" t="s">
        <v>1064</v>
      </c>
    </row>
    <row r="5" spans="1:2">
      <c r="A5" s="18" t="s">
        <v>1065</v>
      </c>
      <c r="B5" s="18" t="s">
        <v>1066</v>
      </c>
    </row>
    <row r="6" spans="1:2">
      <c r="A6" s="18" t="s">
        <v>769</v>
      </c>
      <c r="B6" s="18" t="s">
        <v>1067</v>
      </c>
    </row>
    <row r="7" spans="1:2">
      <c r="A7" s="18" t="s">
        <v>1068</v>
      </c>
      <c r="B7" s="18" t="s">
        <v>1069</v>
      </c>
    </row>
    <row r="8" spans="1:2">
      <c r="A8" s="18" t="s">
        <v>1070</v>
      </c>
      <c r="B8" s="18" t="s">
        <v>1071</v>
      </c>
    </row>
    <row r="9" spans="1:2">
      <c r="A9" s="18" t="s">
        <v>1072</v>
      </c>
      <c r="B9" s="18" t="s">
        <v>1073</v>
      </c>
    </row>
    <row r="10" spans="1:2">
      <c r="A10" s="18" t="s">
        <v>1074</v>
      </c>
      <c r="B10" s="18" t="s">
        <v>1075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9"/>
  <sheetViews>
    <sheetView workbookViewId="0"/>
  </sheetViews>
  <sheetFormatPr baseColWidth="10" defaultColWidth="8.6640625" defaultRowHeight="14"/>
  <cols>
    <col min="1" max="5" width="18" customWidth="1"/>
  </cols>
  <sheetData>
    <row r="1" spans="1:5">
      <c r="A1" s="66" t="s">
        <v>37</v>
      </c>
      <c r="B1" s="66" t="s">
        <v>1076</v>
      </c>
      <c r="C1" s="66" t="s">
        <v>1077</v>
      </c>
      <c r="D1" s="66" t="s">
        <v>1078</v>
      </c>
      <c r="E1" s="66" t="s">
        <v>1079</v>
      </c>
    </row>
    <row r="2" spans="1:5">
      <c r="A2" s="18" t="s">
        <v>105</v>
      </c>
      <c r="B2" s="18">
        <v>2030</v>
      </c>
      <c r="C2" s="18">
        <v>2034</v>
      </c>
      <c r="D2" s="18" t="s">
        <v>1080</v>
      </c>
      <c r="E2" s="49" t="s">
        <v>798</v>
      </c>
    </row>
    <row r="3" spans="1:5">
      <c r="A3" s="18" t="s">
        <v>105</v>
      </c>
      <c r="B3" s="18">
        <v>2035</v>
      </c>
      <c r="C3" s="18">
        <v>2040</v>
      </c>
      <c r="D3" s="18" t="s">
        <v>1081</v>
      </c>
      <c r="E3" s="49" t="s">
        <v>798</v>
      </c>
    </row>
    <row r="4" spans="1:5">
      <c r="A4" s="18" t="s">
        <v>105</v>
      </c>
      <c r="B4" s="18">
        <v>2041</v>
      </c>
      <c r="C4" s="18">
        <v>2043</v>
      </c>
      <c r="D4" s="18" t="s">
        <v>1082</v>
      </c>
      <c r="E4" s="49" t="s">
        <v>798</v>
      </c>
    </row>
    <row r="5" spans="1:5">
      <c r="A5" s="18" t="s">
        <v>105</v>
      </c>
      <c r="B5" s="18">
        <v>2044</v>
      </c>
      <c r="C5" s="18">
        <v>2045</v>
      </c>
      <c r="D5" s="18" t="s">
        <v>1083</v>
      </c>
      <c r="E5" s="49" t="s">
        <v>798</v>
      </c>
    </row>
    <row r="6" spans="1:5">
      <c r="A6" s="18" t="s">
        <v>106</v>
      </c>
      <c r="B6" s="18">
        <v>2030</v>
      </c>
      <c r="C6" s="18">
        <v>2034</v>
      </c>
      <c r="D6" s="18" t="s">
        <v>1080</v>
      </c>
      <c r="E6" s="49" t="s">
        <v>798</v>
      </c>
    </row>
    <row r="7" spans="1:5">
      <c r="A7" s="18" t="s">
        <v>106</v>
      </c>
      <c r="B7" s="18">
        <v>2035</v>
      </c>
      <c r="C7" s="18">
        <v>2040</v>
      </c>
      <c r="D7" s="18" t="s">
        <v>1081</v>
      </c>
      <c r="E7" s="49" t="s">
        <v>798</v>
      </c>
    </row>
    <row r="8" spans="1:5">
      <c r="A8" s="18" t="s">
        <v>106</v>
      </c>
      <c r="B8" s="18">
        <v>2041</v>
      </c>
      <c r="C8" s="18">
        <v>2043</v>
      </c>
      <c r="D8" s="18" t="s">
        <v>1082</v>
      </c>
      <c r="E8" s="49" t="s">
        <v>798</v>
      </c>
    </row>
    <row r="9" spans="1:5">
      <c r="A9" s="18" t="s">
        <v>106</v>
      </c>
      <c r="B9" s="18">
        <v>2044</v>
      </c>
      <c r="C9" s="18">
        <v>2045</v>
      </c>
      <c r="D9" s="18" t="s">
        <v>1083</v>
      </c>
      <c r="E9" s="49" t="s">
        <v>798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3"/>
  <sheetViews>
    <sheetView workbookViewId="0"/>
  </sheetViews>
  <sheetFormatPr baseColWidth="10" defaultColWidth="8.6640625" defaultRowHeight="14"/>
  <cols>
    <col min="1" max="4" width="24" customWidth="1"/>
    <col min="5" max="5" width="70" customWidth="1"/>
  </cols>
  <sheetData>
    <row r="1" spans="1:5">
      <c r="A1" s="66" t="s">
        <v>37</v>
      </c>
      <c r="B1" s="67" t="s">
        <v>1084</v>
      </c>
      <c r="C1" s="67" t="s">
        <v>1085</v>
      </c>
      <c r="D1" s="66" t="s">
        <v>1086</v>
      </c>
      <c r="E1" s="66" t="s">
        <v>738</v>
      </c>
    </row>
    <row r="2" spans="1:5">
      <c r="A2" s="18" t="s">
        <v>105</v>
      </c>
      <c r="B2" s="18">
        <v>9800</v>
      </c>
      <c r="C2" s="18">
        <v>5000</v>
      </c>
      <c r="D2" s="18" t="s">
        <v>1087</v>
      </c>
      <c r="E2" s="18" t="s">
        <v>1088</v>
      </c>
    </row>
    <row r="3" spans="1:5">
      <c r="A3" s="18" t="s">
        <v>106</v>
      </c>
      <c r="B3" s="18">
        <v>6100</v>
      </c>
      <c r="C3" s="18">
        <v>1200</v>
      </c>
      <c r="D3" s="18" t="s">
        <v>1087</v>
      </c>
      <c r="E3" s="18" t="s">
        <v>1088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1"/>
  <sheetViews>
    <sheetView workbookViewId="0"/>
  </sheetViews>
  <sheetFormatPr baseColWidth="10" defaultColWidth="8.6640625" defaultRowHeight="14"/>
  <cols>
    <col min="1" max="1" width="32" customWidth="1"/>
    <col min="2" max="2" width="100" customWidth="1"/>
  </cols>
  <sheetData>
    <row r="1" spans="1:2">
      <c r="A1" s="66" t="s">
        <v>951</v>
      </c>
      <c r="B1" s="66" t="s">
        <v>940</v>
      </c>
    </row>
    <row r="2" spans="1:2">
      <c r="A2" s="18" t="s">
        <v>1089</v>
      </c>
      <c r="B2" s="18" t="s">
        <v>1090</v>
      </c>
    </row>
    <row r="3" spans="1:2">
      <c r="A3" s="18" t="s">
        <v>1091</v>
      </c>
      <c r="B3" s="18" t="s">
        <v>1092</v>
      </c>
    </row>
    <row r="4" spans="1:2">
      <c r="A4" s="18" t="s">
        <v>1070</v>
      </c>
      <c r="B4" s="18" t="s">
        <v>1093</v>
      </c>
    </row>
    <row r="5" spans="1:2">
      <c r="A5" s="18" t="s">
        <v>1094</v>
      </c>
      <c r="B5" s="18" t="s">
        <v>1095</v>
      </c>
    </row>
    <row r="6" spans="1:2">
      <c r="A6" s="18" t="s">
        <v>1096</v>
      </c>
      <c r="B6" s="18" t="s">
        <v>1097</v>
      </c>
    </row>
    <row r="7" spans="1:2">
      <c r="A7" s="18" t="s">
        <v>1098</v>
      </c>
      <c r="B7" s="18" t="s">
        <v>1099</v>
      </c>
    </row>
    <row r="8" spans="1:2">
      <c r="A8" s="18" t="s">
        <v>1072</v>
      </c>
      <c r="B8" s="18" t="s">
        <v>1100</v>
      </c>
    </row>
    <row r="9" spans="1:2">
      <c r="A9" s="18" t="s">
        <v>1101</v>
      </c>
      <c r="B9" s="18" t="s">
        <v>1102</v>
      </c>
    </row>
    <row r="10" spans="1:2">
      <c r="A10" s="18" t="s">
        <v>1074</v>
      </c>
      <c r="B10" s="18" t="s">
        <v>1103</v>
      </c>
    </row>
    <row r="11" spans="1:2">
      <c r="A11" s="18" t="s">
        <v>1057</v>
      </c>
      <c r="B11" s="18" t="s">
        <v>1104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3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8" t="s">
        <v>951</v>
      </c>
      <c r="B1" s="68" t="s">
        <v>940</v>
      </c>
    </row>
    <row r="2" spans="1:2">
      <c r="A2" s="18" t="s">
        <v>1105</v>
      </c>
      <c r="B2" s="18" t="s">
        <v>1106</v>
      </c>
    </row>
    <row r="3" spans="1:2">
      <c r="A3" s="18" t="s">
        <v>1107</v>
      </c>
      <c r="B3" s="18" t="s">
        <v>1108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44"/>
  <sheetViews>
    <sheetView workbookViewId="0">
      <selection activeCell="E10" sqref="E10"/>
    </sheetView>
  </sheetViews>
  <sheetFormatPr baseColWidth="10" defaultColWidth="8.6640625" defaultRowHeight="14"/>
  <cols>
    <col min="1" max="4" width="16" customWidth="1"/>
    <col min="5" max="5" width="14" customWidth="1"/>
    <col min="6" max="6" width="85" customWidth="1"/>
    <col min="8" max="12" width="18" customWidth="1"/>
  </cols>
  <sheetData>
    <row r="1" spans="1:12">
      <c r="A1" s="74" t="s">
        <v>841</v>
      </c>
      <c r="B1" s="74" t="s">
        <v>39</v>
      </c>
      <c r="C1" s="74" t="s">
        <v>37</v>
      </c>
      <c r="D1" s="74" t="s">
        <v>38</v>
      </c>
      <c r="E1" s="74" t="s">
        <v>1109</v>
      </c>
      <c r="F1" s="74" t="s">
        <v>738</v>
      </c>
      <c r="H1" s="72" t="s">
        <v>841</v>
      </c>
      <c r="I1" s="72" t="s">
        <v>39</v>
      </c>
      <c r="J1" s="72" t="s">
        <v>37</v>
      </c>
      <c r="K1" s="72" t="s">
        <v>38</v>
      </c>
      <c r="L1" s="72" t="s">
        <v>1109</v>
      </c>
    </row>
    <row r="2" spans="1:12">
      <c r="A2" s="18">
        <v>2026</v>
      </c>
      <c r="B2" s="18" t="s">
        <v>843</v>
      </c>
      <c r="C2" s="18" t="s">
        <v>105</v>
      </c>
      <c r="D2" s="18" t="s">
        <v>1110</v>
      </c>
      <c r="E2" s="70">
        <v>14561</v>
      </c>
      <c r="F2" s="18" t="s">
        <v>1111</v>
      </c>
      <c r="H2" s="18">
        <v>2027</v>
      </c>
      <c r="I2" s="18" t="s">
        <v>843</v>
      </c>
      <c r="J2" s="18" t="s">
        <v>1110</v>
      </c>
      <c r="K2" s="18" t="s">
        <v>1110</v>
      </c>
      <c r="L2" s="70"/>
    </row>
    <row r="3" spans="1:12">
      <c r="A3" s="18">
        <v>2026</v>
      </c>
      <c r="B3" s="18" t="s">
        <v>843</v>
      </c>
      <c r="C3" s="18" t="s">
        <v>106</v>
      </c>
      <c r="D3" s="18" t="s">
        <v>1110</v>
      </c>
      <c r="E3" s="70">
        <v>10207</v>
      </c>
      <c r="F3" s="18" t="s">
        <v>1112</v>
      </c>
      <c r="H3" s="18">
        <v>2028</v>
      </c>
      <c r="I3" s="18" t="s">
        <v>843</v>
      </c>
      <c r="J3" s="18" t="s">
        <v>1110</v>
      </c>
      <c r="K3" s="18" t="s">
        <v>1110</v>
      </c>
      <c r="L3" s="70"/>
    </row>
    <row r="4" spans="1:12">
      <c r="A4" s="18">
        <v>2027</v>
      </c>
      <c r="B4" s="18" t="s">
        <v>843</v>
      </c>
      <c r="C4" s="18" t="s">
        <v>105</v>
      </c>
      <c r="D4" s="18" t="s">
        <v>1110</v>
      </c>
      <c r="E4" s="70">
        <v>15271</v>
      </c>
      <c r="F4" s="18" t="s">
        <v>1113</v>
      </c>
      <c r="H4" s="18">
        <v>2029</v>
      </c>
      <c r="I4" s="18" t="s">
        <v>843</v>
      </c>
      <c r="J4" s="18" t="s">
        <v>1110</v>
      </c>
      <c r="K4" s="18" t="s">
        <v>1110</v>
      </c>
      <c r="L4" s="70">
        <v>30000</v>
      </c>
    </row>
    <row r="5" spans="1:12" ht="56">
      <c r="A5" s="18">
        <v>2027</v>
      </c>
      <c r="B5" s="18" t="s">
        <v>843</v>
      </c>
      <c r="C5" s="18" t="s">
        <v>106</v>
      </c>
      <c r="D5" s="18" t="s">
        <v>1110</v>
      </c>
      <c r="E5" s="70">
        <v>10729</v>
      </c>
      <c r="F5" s="18" t="s">
        <v>1114</v>
      </c>
      <c r="H5" s="18" t="s">
        <v>1115</v>
      </c>
      <c r="I5" s="18" t="s">
        <v>1116</v>
      </c>
      <c r="J5" s="18"/>
      <c r="K5" s="18"/>
      <c r="L5" s="18"/>
    </row>
    <row r="6" spans="1:12">
      <c r="A6" s="18">
        <v>2028</v>
      </c>
      <c r="B6" s="18" t="s">
        <v>843</v>
      </c>
      <c r="C6" s="18" t="s">
        <v>105</v>
      </c>
      <c r="D6" s="18" t="s">
        <v>1110</v>
      </c>
      <c r="E6" s="70">
        <v>16108</v>
      </c>
      <c r="F6" s="18" t="s">
        <v>1117</v>
      </c>
    </row>
    <row r="7" spans="1:12">
      <c r="A7" s="18">
        <v>2028</v>
      </c>
      <c r="B7" s="18" t="s">
        <v>843</v>
      </c>
      <c r="C7" s="18" t="s">
        <v>106</v>
      </c>
      <c r="D7" s="18" t="s">
        <v>1110</v>
      </c>
      <c r="E7" s="70">
        <v>12095</v>
      </c>
      <c r="F7" s="18" t="s">
        <v>1118</v>
      </c>
    </row>
    <row r="8" spans="1:12">
      <c r="A8" s="18">
        <v>2029</v>
      </c>
      <c r="B8" s="18" t="s">
        <v>843</v>
      </c>
      <c r="C8" s="18" t="s">
        <v>105</v>
      </c>
      <c r="D8" s="18" t="s">
        <v>1110</v>
      </c>
      <c r="E8" s="70">
        <v>17341</v>
      </c>
      <c r="F8" s="18" t="s">
        <v>1119</v>
      </c>
    </row>
    <row r="9" spans="1:12">
      <c r="A9" s="18">
        <v>2029</v>
      </c>
      <c r="B9" s="18" t="s">
        <v>843</v>
      </c>
      <c r="C9" s="18" t="s">
        <v>106</v>
      </c>
      <c r="D9" s="18" t="s">
        <v>1110</v>
      </c>
      <c r="E9" s="70">
        <v>12757</v>
      </c>
      <c r="F9" s="18" t="s">
        <v>1120</v>
      </c>
    </row>
    <row r="10" spans="1:12">
      <c r="A10" s="18">
        <v>2029</v>
      </c>
      <c r="B10" s="18" t="s">
        <v>843</v>
      </c>
      <c r="C10" s="18" t="s">
        <v>1110</v>
      </c>
      <c r="D10" s="18" t="s">
        <v>1110</v>
      </c>
      <c r="E10" s="70">
        <v>30098</v>
      </c>
      <c r="F10" s="18" t="s">
        <v>1121</v>
      </c>
    </row>
    <row r="11" spans="1:12">
      <c r="A11" s="18"/>
      <c r="B11" s="18"/>
      <c r="C11" s="18"/>
      <c r="D11" s="18"/>
      <c r="E11" s="70"/>
      <c r="F11" s="18"/>
    </row>
    <row r="12" spans="1:12">
      <c r="A12" s="18"/>
      <c r="B12" s="18"/>
      <c r="C12" s="18"/>
      <c r="D12" s="18"/>
      <c r="E12" s="70"/>
      <c r="F12" s="18"/>
    </row>
    <row r="13" spans="1:12">
      <c r="A13" s="18"/>
      <c r="B13" s="18"/>
      <c r="C13" s="18"/>
      <c r="D13" s="18"/>
      <c r="E13" s="70"/>
      <c r="F13" s="18"/>
    </row>
    <row r="14" spans="1:12">
      <c r="A14" s="18"/>
      <c r="B14" s="18"/>
      <c r="C14" s="18"/>
      <c r="D14" s="18"/>
      <c r="E14" s="70"/>
      <c r="F14" s="18"/>
    </row>
    <row r="15" spans="1:12">
      <c r="A15" s="18"/>
      <c r="B15" s="18"/>
      <c r="C15" s="18"/>
      <c r="D15" s="18"/>
      <c r="E15" s="70"/>
      <c r="F15" s="18"/>
    </row>
    <row r="16" spans="1:12">
      <c r="A16" s="18"/>
      <c r="B16" s="18"/>
      <c r="C16" s="18"/>
      <c r="D16" s="18"/>
      <c r="E16" s="70"/>
      <c r="F16" s="18"/>
    </row>
    <row r="17" spans="1:6">
      <c r="A17" s="18"/>
      <c r="B17" s="18"/>
      <c r="C17" s="18"/>
      <c r="D17" s="18"/>
      <c r="E17" s="70"/>
      <c r="F17" s="18"/>
    </row>
    <row r="18" spans="1:6">
      <c r="A18" s="18"/>
      <c r="B18" s="18"/>
      <c r="C18" s="18"/>
      <c r="D18" s="18"/>
      <c r="E18" s="70"/>
      <c r="F18" s="18"/>
    </row>
    <row r="19" spans="1:6">
      <c r="A19" s="18"/>
      <c r="B19" s="18"/>
      <c r="C19" s="18"/>
      <c r="D19" s="18"/>
      <c r="E19" s="70"/>
      <c r="F19" s="18"/>
    </row>
    <row r="20" spans="1:6">
      <c r="A20" s="18"/>
      <c r="B20" s="18"/>
      <c r="C20" s="18"/>
      <c r="D20" s="18"/>
      <c r="E20" s="70"/>
      <c r="F20" s="18"/>
    </row>
    <row r="21" spans="1:6">
      <c r="A21" s="18"/>
      <c r="B21" s="18"/>
      <c r="C21" s="18"/>
      <c r="D21" s="18"/>
      <c r="E21" s="70"/>
      <c r="F21" s="18"/>
    </row>
    <row r="22" spans="1:6">
      <c r="A22" s="18"/>
      <c r="B22" s="18"/>
      <c r="C22" s="18"/>
      <c r="D22" s="18"/>
      <c r="E22" s="70"/>
      <c r="F22" s="18"/>
    </row>
    <row r="23" spans="1:6">
      <c r="A23" s="18"/>
      <c r="B23" s="18"/>
      <c r="C23" s="18"/>
      <c r="D23" s="18"/>
      <c r="E23" s="70"/>
      <c r="F23" s="18"/>
    </row>
    <row r="24" spans="1:6">
      <c r="A24" s="18"/>
      <c r="B24" s="18"/>
      <c r="C24" s="18"/>
      <c r="D24" s="18"/>
      <c r="E24" s="70"/>
      <c r="F24" s="18"/>
    </row>
    <row r="25" spans="1:6">
      <c r="A25" s="18"/>
      <c r="B25" s="18"/>
      <c r="C25" s="18"/>
      <c r="D25" s="18"/>
      <c r="E25" s="70"/>
      <c r="F25" s="18"/>
    </row>
    <row r="26" spans="1:6">
      <c r="A26" s="18"/>
      <c r="B26" s="18"/>
      <c r="C26" s="18"/>
      <c r="D26" s="18"/>
      <c r="E26" s="70"/>
      <c r="F26" s="18"/>
    </row>
    <row r="27" spans="1:6">
      <c r="A27" s="18"/>
      <c r="B27" s="18"/>
      <c r="C27" s="18"/>
      <c r="D27" s="18"/>
      <c r="E27" s="70"/>
      <c r="F27" s="18"/>
    </row>
    <row r="28" spans="1:6">
      <c r="A28" s="18"/>
      <c r="B28" s="18"/>
      <c r="C28" s="18"/>
      <c r="D28" s="18"/>
      <c r="E28" s="70"/>
      <c r="F28" s="18"/>
    </row>
    <row r="29" spans="1:6">
      <c r="A29" s="18"/>
      <c r="B29" s="18"/>
      <c r="C29" s="18"/>
      <c r="D29" s="18"/>
      <c r="E29" s="70"/>
      <c r="F29" s="18"/>
    </row>
    <row r="30" spans="1:6">
      <c r="A30" s="18"/>
      <c r="B30" s="18"/>
      <c r="C30" s="18"/>
      <c r="D30" s="18"/>
      <c r="E30" s="70"/>
      <c r="F30" s="18"/>
    </row>
    <row r="31" spans="1:6">
      <c r="A31" s="18"/>
      <c r="B31" s="18"/>
      <c r="C31" s="18"/>
      <c r="D31" s="18"/>
      <c r="E31" s="70"/>
      <c r="F31" s="18"/>
    </row>
    <row r="32" spans="1:6">
      <c r="A32" s="18"/>
      <c r="B32" s="18"/>
      <c r="C32" s="18"/>
      <c r="D32" s="18"/>
      <c r="E32" s="70"/>
      <c r="F32" s="18"/>
    </row>
    <row r="33" spans="1:6">
      <c r="A33" s="18"/>
      <c r="B33" s="18"/>
      <c r="C33" s="18"/>
      <c r="D33" s="18"/>
      <c r="E33" s="70"/>
      <c r="F33" s="18"/>
    </row>
    <row r="34" spans="1:6">
      <c r="A34" s="18"/>
      <c r="B34" s="18"/>
      <c r="C34" s="18"/>
      <c r="D34" s="18"/>
      <c r="E34" s="70"/>
      <c r="F34" s="18"/>
    </row>
    <row r="35" spans="1:6">
      <c r="A35" s="18"/>
      <c r="B35" s="18"/>
      <c r="C35" s="18"/>
      <c r="D35" s="18"/>
      <c r="E35" s="70"/>
      <c r="F35" s="18"/>
    </row>
    <row r="36" spans="1:6">
      <c r="A36" s="18"/>
      <c r="B36" s="18"/>
      <c r="C36" s="18"/>
      <c r="D36" s="18"/>
      <c r="E36" s="70"/>
      <c r="F36" s="18"/>
    </row>
    <row r="37" spans="1:6">
      <c r="A37" s="18"/>
      <c r="B37" s="18"/>
      <c r="C37" s="18"/>
      <c r="D37" s="18"/>
      <c r="E37" s="70"/>
      <c r="F37" s="18"/>
    </row>
    <row r="38" spans="1:6">
      <c r="A38" s="18"/>
      <c r="B38" s="18"/>
      <c r="C38" s="18"/>
      <c r="D38" s="18"/>
      <c r="E38" s="70"/>
      <c r="F38" s="18"/>
    </row>
    <row r="39" spans="1:6">
      <c r="A39" s="18"/>
      <c r="B39" s="18"/>
      <c r="C39" s="18"/>
      <c r="D39" s="18"/>
      <c r="E39" s="70"/>
      <c r="F39" s="18"/>
    </row>
    <row r="40" spans="1:6">
      <c r="A40" s="18"/>
      <c r="B40" s="18"/>
      <c r="C40" s="18"/>
      <c r="D40" s="18"/>
      <c r="E40" s="70"/>
      <c r="F40" s="18"/>
    </row>
    <row r="41" spans="1:6">
      <c r="A41" s="18">
        <v>2029</v>
      </c>
      <c r="B41" s="18" t="s">
        <v>845</v>
      </c>
      <c r="C41" s="18" t="s">
        <v>106</v>
      </c>
      <c r="D41" s="18" t="s">
        <v>1110</v>
      </c>
      <c r="E41" s="70"/>
      <c r="F41" s="18" t="s">
        <v>1122</v>
      </c>
    </row>
    <row r="42" spans="1:6">
      <c r="A42" s="18">
        <v>2027</v>
      </c>
      <c r="B42" s="18" t="s">
        <v>843</v>
      </c>
      <c r="C42" s="18" t="s">
        <v>1110</v>
      </c>
      <c r="D42" s="18" t="s">
        <v>1110</v>
      </c>
      <c r="E42" s="70"/>
      <c r="F42" s="18" t="s">
        <v>1123</v>
      </c>
    </row>
    <row r="43" spans="1:6">
      <c r="A43" s="18">
        <v>2028</v>
      </c>
      <c r="B43" s="18" t="s">
        <v>843</v>
      </c>
      <c r="C43" s="18" t="s">
        <v>1110</v>
      </c>
      <c r="D43" s="18" t="s">
        <v>1110</v>
      </c>
      <c r="E43" s="70"/>
      <c r="F43" s="18" t="s">
        <v>1124</v>
      </c>
    </row>
    <row r="44" spans="1:6">
      <c r="A44" s="18">
        <v>2029</v>
      </c>
      <c r="B44" s="18" t="s">
        <v>843</v>
      </c>
      <c r="C44" s="18" t="s">
        <v>1110</v>
      </c>
      <c r="D44" s="18" t="s">
        <v>1110</v>
      </c>
      <c r="E44" s="70">
        <v>30000</v>
      </c>
      <c r="F44" s="18" t="s">
        <v>1125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69" t="s">
        <v>951</v>
      </c>
      <c r="B1" s="69" t="s">
        <v>940</v>
      </c>
    </row>
    <row r="2" spans="1:2">
      <c r="A2" s="18" t="s">
        <v>1126</v>
      </c>
      <c r="B2" s="18" t="s">
        <v>1127</v>
      </c>
    </row>
    <row r="3" spans="1:2">
      <c r="A3" s="18" t="s">
        <v>1128</v>
      </c>
      <c r="B3" s="18" t="s">
        <v>1129</v>
      </c>
    </row>
    <row r="4" spans="1:2">
      <c r="A4" s="18" t="s">
        <v>1130</v>
      </c>
      <c r="B4" s="18" t="s">
        <v>1131</v>
      </c>
    </row>
    <row r="5" spans="1:2">
      <c r="A5" s="18" t="s">
        <v>1132</v>
      </c>
      <c r="B5" s="18" t="s">
        <v>1133</v>
      </c>
    </row>
    <row r="6" spans="1:2">
      <c r="A6" s="18" t="s">
        <v>1134</v>
      </c>
      <c r="B6" s="18" t="s">
        <v>1135</v>
      </c>
    </row>
    <row r="7" spans="1:2">
      <c r="A7" s="18" t="s">
        <v>1136</v>
      </c>
      <c r="B7" s="18" t="s">
        <v>1137</v>
      </c>
    </row>
    <row r="8" spans="1:2">
      <c r="A8" s="18" t="s">
        <v>1138</v>
      </c>
      <c r="B8" s="18" t="s">
        <v>1139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6640625" defaultRowHeight="14"/>
  <cols>
    <col min="1" max="1" width="28" customWidth="1"/>
    <col min="2" max="2" width="34" customWidth="1"/>
    <col min="3" max="3" width="90" customWidth="1"/>
  </cols>
  <sheetData>
    <row r="1" spans="1:3">
      <c r="A1" s="71" t="s">
        <v>1140</v>
      </c>
      <c r="B1" s="71" t="s">
        <v>1141</v>
      </c>
      <c r="C1" s="71" t="s">
        <v>709</v>
      </c>
    </row>
    <row r="2" spans="1:3">
      <c r="A2" s="18" t="s">
        <v>1142</v>
      </c>
      <c r="B2" s="18" t="s">
        <v>1143</v>
      </c>
      <c r="C2" s="18" t="s">
        <v>1144</v>
      </c>
    </row>
    <row r="3" spans="1:3">
      <c r="A3" s="18" t="s">
        <v>691</v>
      </c>
      <c r="B3" s="18" t="s">
        <v>1145</v>
      </c>
      <c r="C3" s="18" t="s">
        <v>1146</v>
      </c>
    </row>
    <row r="4" spans="1:3">
      <c r="A4" s="18" t="s">
        <v>1147</v>
      </c>
      <c r="B4" s="18" t="s">
        <v>798</v>
      </c>
      <c r="C4" s="18" t="s">
        <v>1148</v>
      </c>
    </row>
    <row r="5" spans="1:3">
      <c r="A5" s="18" t="s">
        <v>1149</v>
      </c>
      <c r="B5" s="18" t="s">
        <v>798</v>
      </c>
      <c r="C5" s="18" t="s">
        <v>1148</v>
      </c>
    </row>
    <row r="6" spans="1:3">
      <c r="A6" s="18" t="s">
        <v>1150</v>
      </c>
      <c r="B6" s="18" t="s">
        <v>1151</v>
      </c>
      <c r="C6" s="18" t="s">
        <v>1152</v>
      </c>
    </row>
    <row r="7" spans="1:3">
      <c r="A7" s="18" t="s">
        <v>1070</v>
      </c>
      <c r="B7" s="18" t="s">
        <v>826</v>
      </c>
      <c r="C7" s="18" t="s">
        <v>1153</v>
      </c>
    </row>
    <row r="8" spans="1:3">
      <c r="A8" s="18" t="s">
        <v>1154</v>
      </c>
      <c r="B8" s="18" t="s">
        <v>1155</v>
      </c>
      <c r="C8" s="18" t="s">
        <v>1156</v>
      </c>
    </row>
    <row r="9" spans="1:3">
      <c r="A9" s="18" t="s">
        <v>1157</v>
      </c>
      <c r="B9" s="18" t="s">
        <v>911</v>
      </c>
      <c r="C9" s="18" t="s">
        <v>1158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7"/>
  <sheetViews>
    <sheetView workbookViewId="0"/>
  </sheetViews>
  <sheetFormatPr baseColWidth="10" defaultColWidth="8.6640625" defaultRowHeight="14"/>
  <cols>
    <col min="1" max="3" width="28" customWidth="1"/>
    <col min="4" max="4" width="90" customWidth="1"/>
  </cols>
  <sheetData>
    <row r="1" spans="1:4">
      <c r="A1" s="71" t="s">
        <v>1159</v>
      </c>
      <c r="B1" s="71" t="s">
        <v>2</v>
      </c>
      <c r="C1" s="71" t="s">
        <v>1160</v>
      </c>
      <c r="D1" s="71" t="s">
        <v>709</v>
      </c>
    </row>
    <row r="2" spans="1:4">
      <c r="A2" s="18" t="s">
        <v>1157</v>
      </c>
      <c r="B2" s="18" t="s">
        <v>911</v>
      </c>
      <c r="C2" s="18" t="s">
        <v>1161</v>
      </c>
      <c r="D2" s="18" t="s">
        <v>1162</v>
      </c>
    </row>
    <row r="3" spans="1:4">
      <c r="A3" s="18" t="s">
        <v>415</v>
      </c>
      <c r="B3" s="18" t="s">
        <v>911</v>
      </c>
      <c r="C3" s="18" t="s">
        <v>1163</v>
      </c>
      <c r="D3" s="18" t="s">
        <v>1164</v>
      </c>
    </row>
    <row r="4" spans="1:4">
      <c r="A4" s="18" t="s">
        <v>416</v>
      </c>
      <c r="B4" s="18" t="s">
        <v>911</v>
      </c>
      <c r="C4" s="18" t="s">
        <v>1165</v>
      </c>
      <c r="D4" s="18" t="s">
        <v>1166</v>
      </c>
    </row>
    <row r="5" spans="1:4">
      <c r="A5" s="18" t="s">
        <v>1167</v>
      </c>
      <c r="B5" s="18" t="s">
        <v>911</v>
      </c>
      <c r="C5" s="18" t="s">
        <v>1168</v>
      </c>
      <c r="D5" s="18" t="s">
        <v>1169</v>
      </c>
    </row>
    <row r="6" spans="1:4">
      <c r="A6" s="18" t="s">
        <v>1170</v>
      </c>
      <c r="B6" s="18" t="s">
        <v>911</v>
      </c>
      <c r="C6" s="18" t="s">
        <v>1171</v>
      </c>
      <c r="D6" s="18" t="s">
        <v>1172</v>
      </c>
    </row>
    <row r="7" spans="1:4">
      <c r="A7" s="18" t="s">
        <v>1173</v>
      </c>
      <c r="B7" s="18" t="s">
        <v>1174</v>
      </c>
      <c r="C7" s="18" t="s">
        <v>1175</v>
      </c>
      <c r="D7" s="18" t="s">
        <v>1176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1" t="s">
        <v>951</v>
      </c>
      <c r="B1" s="71" t="s">
        <v>940</v>
      </c>
    </row>
    <row r="2" spans="1:2">
      <c r="A2" s="18" t="s">
        <v>1177</v>
      </c>
      <c r="B2" s="18" t="s">
        <v>1178</v>
      </c>
    </row>
    <row r="3" spans="1:2">
      <c r="A3" s="18" t="s">
        <v>1179</v>
      </c>
      <c r="B3" s="18" t="s">
        <v>1180</v>
      </c>
    </row>
    <row r="4" spans="1:2">
      <c r="A4" s="18" t="s">
        <v>1181</v>
      </c>
      <c r="B4" s="18" t="s">
        <v>1182</v>
      </c>
    </row>
    <row r="5" spans="1:2">
      <c r="A5" s="18" t="s">
        <v>1157</v>
      </c>
      <c r="B5" s="18" t="s">
        <v>1183</v>
      </c>
    </row>
    <row r="6" spans="1:2">
      <c r="A6" s="18" t="s">
        <v>1184</v>
      </c>
      <c r="B6" s="18" t="s">
        <v>1185</v>
      </c>
    </row>
    <row r="7" spans="1:2">
      <c r="A7" s="18" t="s">
        <v>1186</v>
      </c>
      <c r="B7" s="18" t="s">
        <v>1187</v>
      </c>
    </row>
    <row r="8" spans="1:2">
      <c r="A8" s="18" t="s">
        <v>1188</v>
      </c>
      <c r="B8" s="18" t="s">
        <v>1189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8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2" t="s">
        <v>951</v>
      </c>
      <c r="B1" s="72" t="s">
        <v>940</v>
      </c>
    </row>
    <row r="2" spans="1:2">
      <c r="A2" s="18" t="s">
        <v>1190</v>
      </c>
      <c r="B2" s="18" t="s">
        <v>1191</v>
      </c>
    </row>
    <row r="3" spans="1:2">
      <c r="A3" s="18" t="s">
        <v>1192</v>
      </c>
      <c r="B3" s="18" t="s">
        <v>1193</v>
      </c>
    </row>
    <row r="4" spans="1:2">
      <c r="A4" s="18" t="s">
        <v>1186</v>
      </c>
      <c r="B4" s="18" t="s">
        <v>1194</v>
      </c>
    </row>
    <row r="5" spans="1:2">
      <c r="A5" s="18" t="s">
        <v>1195</v>
      </c>
      <c r="B5" s="18" t="s">
        <v>1196</v>
      </c>
    </row>
    <row r="6" spans="1:2">
      <c r="A6" s="18" t="s">
        <v>1197</v>
      </c>
      <c r="B6" s="18" t="s">
        <v>1198</v>
      </c>
    </row>
    <row r="7" spans="1:2">
      <c r="A7" s="18" t="s">
        <v>1199</v>
      </c>
      <c r="B7" s="18" t="s">
        <v>1200</v>
      </c>
    </row>
    <row r="8" spans="1:2">
      <c r="A8" s="18" t="s">
        <v>1201</v>
      </c>
      <c r="B8" s="18" t="s">
        <v>1202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F5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75" customWidth="1"/>
  </cols>
  <sheetData>
    <row r="1" spans="1:6">
      <c r="A1" s="73" t="s">
        <v>841</v>
      </c>
      <c r="B1" s="73" t="s">
        <v>39</v>
      </c>
      <c r="C1" s="73" t="s">
        <v>37</v>
      </c>
      <c r="D1" s="73" t="s">
        <v>38</v>
      </c>
      <c r="E1" s="73" t="s">
        <v>30</v>
      </c>
      <c r="F1" s="73" t="s">
        <v>738</v>
      </c>
    </row>
    <row r="2" spans="1:6">
      <c r="A2" s="18">
        <v>2026</v>
      </c>
      <c r="B2" s="18" t="s">
        <v>843</v>
      </c>
      <c r="C2" s="18" t="s">
        <v>1110</v>
      </c>
      <c r="D2" s="18" t="s">
        <v>1110</v>
      </c>
      <c r="E2" s="70"/>
      <c r="F2" s="18" t="s">
        <v>1203</v>
      </c>
    </row>
    <row r="3" spans="1:6">
      <c r="A3" s="18">
        <v>2027</v>
      </c>
      <c r="B3" s="18" t="s">
        <v>843</v>
      </c>
      <c r="C3" s="18" t="s">
        <v>1110</v>
      </c>
      <c r="D3" s="18" t="s">
        <v>1110</v>
      </c>
      <c r="E3" s="70"/>
      <c r="F3" s="18" t="s">
        <v>1204</v>
      </c>
    </row>
    <row r="4" spans="1:6">
      <c r="A4" s="18">
        <v>2028</v>
      </c>
      <c r="B4" s="18" t="s">
        <v>843</v>
      </c>
      <c r="C4" s="18" t="s">
        <v>1110</v>
      </c>
      <c r="D4" s="18" t="s">
        <v>1110</v>
      </c>
      <c r="E4" s="70"/>
      <c r="F4" s="18" t="s">
        <v>1205</v>
      </c>
    </row>
    <row r="5" spans="1:6">
      <c r="A5" s="18">
        <v>2029</v>
      </c>
      <c r="B5" s="18" t="s">
        <v>843</v>
      </c>
      <c r="C5" s="18" t="s">
        <v>1110</v>
      </c>
      <c r="D5" s="18" t="s">
        <v>1110</v>
      </c>
      <c r="E5" s="70">
        <v>30000</v>
      </c>
      <c r="F5" s="18" t="s">
        <v>1125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3" t="s">
        <v>951</v>
      </c>
      <c r="B1" s="73" t="s">
        <v>940</v>
      </c>
    </row>
    <row r="2" spans="1:2">
      <c r="A2" s="18" t="s">
        <v>1206</v>
      </c>
      <c r="B2" s="18" t="s">
        <v>1207</v>
      </c>
    </row>
    <row r="3" spans="1:2">
      <c r="A3" s="18" t="s">
        <v>1208</v>
      </c>
      <c r="B3" s="18" t="s">
        <v>1209</v>
      </c>
    </row>
    <row r="4" spans="1:2">
      <c r="A4" s="18" t="s">
        <v>1195</v>
      </c>
      <c r="B4" s="18" t="s">
        <v>1210</v>
      </c>
    </row>
    <row r="5" spans="1:2">
      <c r="A5" s="18" t="s">
        <v>1211</v>
      </c>
      <c r="B5" s="18" t="s">
        <v>1212</v>
      </c>
    </row>
    <row r="6" spans="1:2">
      <c r="A6" s="18" t="s">
        <v>1213</v>
      </c>
      <c r="B6" s="18" t="s">
        <v>1214</v>
      </c>
    </row>
    <row r="7" spans="1:2">
      <c r="A7" s="18" t="s">
        <v>1201</v>
      </c>
      <c r="B7" s="18" t="s">
        <v>1202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2"/>
  <sheetViews>
    <sheetView workbookViewId="0"/>
  </sheetViews>
  <sheetFormatPr baseColWidth="10" defaultColWidth="8.6640625" defaultRowHeight="14"/>
  <cols>
    <col min="1" max="4" width="20" customWidth="1"/>
    <col min="5" max="5" width="82" customWidth="1"/>
  </cols>
  <sheetData>
    <row r="1" spans="1:5">
      <c r="A1" s="77" t="s">
        <v>98</v>
      </c>
      <c r="B1" s="77" t="s">
        <v>842</v>
      </c>
      <c r="C1" s="77" t="s">
        <v>1258</v>
      </c>
      <c r="D1" s="77" t="s">
        <v>30</v>
      </c>
      <c r="E1" s="77" t="s">
        <v>738</v>
      </c>
    </row>
    <row r="2" spans="1:5">
      <c r="A2" s="18">
        <v>2026</v>
      </c>
      <c r="B2" s="70">
        <v>0</v>
      </c>
      <c r="C2" s="70">
        <f t="shared" ref="C2:C12" si="0">MAX(0,D2-(B2/5))</f>
        <v>0</v>
      </c>
      <c r="D2" s="70">
        <v>0</v>
      </c>
      <c r="E2" s="18" t="s">
        <v>1215</v>
      </c>
    </row>
    <row r="3" spans="1:5">
      <c r="A3" s="18">
        <v>2027</v>
      </c>
      <c r="B3" s="70">
        <v>307</v>
      </c>
      <c r="C3" s="70">
        <f t="shared" si="0"/>
        <v>193.57600000000002</v>
      </c>
      <c r="D3" s="70">
        <v>254.97600000000003</v>
      </c>
      <c r="E3" s="18" t="s">
        <v>1216</v>
      </c>
    </row>
    <row r="4" spans="1:5">
      <c r="A4" s="18">
        <v>2028</v>
      </c>
      <c r="B4" s="70">
        <v>1162</v>
      </c>
      <c r="C4" s="70">
        <f t="shared" si="0"/>
        <v>949.58655999999985</v>
      </c>
      <c r="D4" s="70">
        <v>1181.9865599999998</v>
      </c>
      <c r="E4" s="18" t="s">
        <v>1217</v>
      </c>
    </row>
    <row r="5" spans="1:5">
      <c r="A5" s="18">
        <v>2029</v>
      </c>
      <c r="B5" s="70">
        <v>1854</v>
      </c>
      <c r="C5" s="70">
        <f t="shared" si="0"/>
        <v>2159.1126144999998</v>
      </c>
      <c r="D5" s="70">
        <v>2529.9126145</v>
      </c>
      <c r="E5" s="18" t="s">
        <v>1218</v>
      </c>
    </row>
    <row r="6" spans="1:5">
      <c r="A6" s="18">
        <v>2030</v>
      </c>
      <c r="B6" s="70">
        <v>1989</v>
      </c>
      <c r="C6" s="70">
        <f t="shared" si="0"/>
        <v>3424.6650744999997</v>
      </c>
      <c r="D6" s="70">
        <v>3822.4650744999999</v>
      </c>
      <c r="E6" s="18" t="s">
        <v>1219</v>
      </c>
    </row>
    <row r="7" spans="1:5">
      <c r="A7" s="18">
        <v>2031</v>
      </c>
      <c r="B7" s="70">
        <v>2349</v>
      </c>
      <c r="C7" s="70">
        <f t="shared" si="0"/>
        <v>4864.9430769999999</v>
      </c>
      <c r="D7" s="70">
        <v>5334.7430770000001</v>
      </c>
      <c r="E7" s="18" t="s">
        <v>1220</v>
      </c>
    </row>
    <row r="8" spans="1:5">
      <c r="A8" s="18">
        <v>2032</v>
      </c>
      <c r="B8" s="70">
        <v>3667</v>
      </c>
      <c r="C8" s="70">
        <f t="shared" si="0"/>
        <v>6969.5933890000015</v>
      </c>
      <c r="D8" s="70">
        <v>7702.9933890000011</v>
      </c>
      <c r="E8" s="18" t="s">
        <v>1221</v>
      </c>
    </row>
    <row r="9" spans="1:5">
      <c r="A9" s="18">
        <v>2033</v>
      </c>
      <c r="B9" s="70">
        <v>3845</v>
      </c>
      <c r="C9" s="70">
        <f t="shared" si="0"/>
        <v>8847.848215</v>
      </c>
      <c r="D9" s="70">
        <v>9616.848215</v>
      </c>
      <c r="E9" s="18" t="s">
        <v>1222</v>
      </c>
    </row>
    <row r="10" spans="1:5">
      <c r="A10" s="18">
        <v>2034</v>
      </c>
      <c r="B10" s="70">
        <v>4543</v>
      </c>
      <c r="C10" s="70">
        <f t="shared" si="0"/>
        <v>10903.391531499999</v>
      </c>
      <c r="D10" s="70">
        <v>11811.9915315</v>
      </c>
      <c r="E10" s="18" t="s">
        <v>1223</v>
      </c>
    </row>
    <row r="11" spans="1:5">
      <c r="A11" s="18">
        <v>2035</v>
      </c>
      <c r="B11" s="70">
        <v>4543</v>
      </c>
      <c r="C11" s="70">
        <f t="shared" si="0"/>
        <v>12902.501949</v>
      </c>
      <c r="D11" s="70">
        <v>13811.101949</v>
      </c>
      <c r="E11" s="18" t="s">
        <v>1224</v>
      </c>
    </row>
    <row r="12" spans="1:5">
      <c r="A12" s="18">
        <v>2036</v>
      </c>
      <c r="B12" s="70">
        <v>4543</v>
      </c>
      <c r="C12" s="70">
        <f t="shared" si="0"/>
        <v>15562.886228000001</v>
      </c>
      <c r="D12" s="70">
        <v>16471.486228000002</v>
      </c>
      <c r="E12" s="18" t="s">
        <v>1225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E10"/>
  <sheetViews>
    <sheetView workbookViewId="0"/>
  </sheetViews>
  <sheetFormatPr baseColWidth="10" defaultColWidth="8.6640625" defaultRowHeight="14"/>
  <cols>
    <col min="1" max="1" width="12" customWidth="1"/>
    <col min="2" max="4" width="18" customWidth="1"/>
    <col min="5" max="5" width="75" customWidth="1"/>
  </cols>
  <sheetData>
    <row r="1" spans="1:5">
      <c r="A1" s="74" t="s">
        <v>98</v>
      </c>
      <c r="B1" s="74" t="s">
        <v>1226</v>
      </c>
      <c r="C1" s="74" t="s">
        <v>1227</v>
      </c>
      <c r="D1" s="74" t="s">
        <v>1228</v>
      </c>
      <c r="E1" s="74" t="s">
        <v>738</v>
      </c>
    </row>
    <row r="2" spans="1:5">
      <c r="A2" s="18">
        <v>2037</v>
      </c>
      <c r="B2" s="75">
        <v>0.03</v>
      </c>
      <c r="C2" s="75">
        <v>0.03</v>
      </c>
      <c r="D2" s="75">
        <v>0.03</v>
      </c>
      <c r="E2" s="18" t="s">
        <v>1229</v>
      </c>
    </row>
    <row r="3" spans="1:5">
      <c r="A3" s="18">
        <v>2038</v>
      </c>
      <c r="B3" s="75">
        <v>0.03</v>
      </c>
      <c r="C3" s="75">
        <v>0.03</v>
      </c>
      <c r="D3" s="75">
        <v>0.03</v>
      </c>
      <c r="E3" s="18" t="s">
        <v>1229</v>
      </c>
    </row>
    <row r="4" spans="1:5">
      <c r="A4" s="18">
        <v>2039</v>
      </c>
      <c r="B4" s="75">
        <v>0.03</v>
      </c>
      <c r="C4" s="75">
        <v>0.03</v>
      </c>
      <c r="D4" s="75">
        <v>0.03</v>
      </c>
      <c r="E4" s="18" t="s">
        <v>1229</v>
      </c>
    </row>
    <row r="5" spans="1:5">
      <c r="A5" s="18">
        <v>2040</v>
      </c>
      <c r="B5" s="75">
        <v>0.03</v>
      </c>
      <c r="C5" s="75">
        <v>0.03</v>
      </c>
      <c r="D5" s="75">
        <v>0.03</v>
      </c>
      <c r="E5" s="18" t="s">
        <v>1229</v>
      </c>
    </row>
    <row r="6" spans="1:5">
      <c r="A6" s="18">
        <v>2041</v>
      </c>
      <c r="B6" s="75">
        <v>0.03</v>
      </c>
      <c r="C6" s="75">
        <v>0.03</v>
      </c>
      <c r="D6" s="75">
        <v>0.03</v>
      </c>
      <c r="E6" s="18" t="s">
        <v>1229</v>
      </c>
    </row>
    <row r="7" spans="1:5">
      <c r="A7" s="18">
        <v>2042</v>
      </c>
      <c r="B7" s="75">
        <v>0.03</v>
      </c>
      <c r="C7" s="75">
        <v>0.03</v>
      </c>
      <c r="D7" s="75">
        <v>0.03</v>
      </c>
      <c r="E7" s="18" t="s">
        <v>1229</v>
      </c>
    </row>
    <row r="8" spans="1:5">
      <c r="A8" s="18">
        <v>2043</v>
      </c>
      <c r="B8" s="75">
        <v>0.03</v>
      </c>
      <c r="C8" s="75">
        <v>0.03</v>
      </c>
      <c r="D8" s="75">
        <v>0.03</v>
      </c>
      <c r="E8" s="18" t="s">
        <v>1229</v>
      </c>
    </row>
    <row r="9" spans="1:5">
      <c r="A9" s="18">
        <v>2044</v>
      </c>
      <c r="B9" s="75">
        <v>0.03</v>
      </c>
      <c r="C9" s="75">
        <v>0.03</v>
      </c>
      <c r="D9" s="75">
        <v>0.03</v>
      </c>
      <c r="E9" s="18" t="s">
        <v>1229</v>
      </c>
    </row>
    <row r="10" spans="1:5">
      <c r="A10" s="18">
        <v>2045</v>
      </c>
      <c r="B10" s="75">
        <v>0.03</v>
      </c>
      <c r="C10" s="75">
        <v>0.03</v>
      </c>
      <c r="D10" s="75">
        <v>0.03</v>
      </c>
      <c r="E10" s="18" t="s">
        <v>1229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12"/>
  <sheetViews>
    <sheetView workbookViewId="0"/>
  </sheetViews>
  <sheetFormatPr baseColWidth="10" defaultColWidth="8.6640625" defaultRowHeight="14"/>
  <cols>
    <col min="1" max="1" width="30" customWidth="1"/>
    <col min="2" max="2" width="110" customWidth="1"/>
  </cols>
  <sheetData>
    <row r="1" spans="1:2">
      <c r="A1" s="74" t="s">
        <v>951</v>
      </c>
      <c r="B1" s="74" t="s">
        <v>940</v>
      </c>
    </row>
    <row r="2" spans="1:2">
      <c r="A2" s="18" t="s">
        <v>1230</v>
      </c>
      <c r="B2" s="18" t="s">
        <v>1231</v>
      </c>
    </row>
    <row r="3" spans="1:2">
      <c r="A3" s="18" t="s">
        <v>1232</v>
      </c>
      <c r="B3" s="18" t="s">
        <v>1233</v>
      </c>
    </row>
    <row r="4" spans="1:2">
      <c r="A4" s="18" t="s">
        <v>1234</v>
      </c>
      <c r="B4" s="18" t="s">
        <v>1235</v>
      </c>
    </row>
    <row r="5" spans="1:2">
      <c r="A5" s="18" t="s">
        <v>1236</v>
      </c>
      <c r="B5" s="18" t="s">
        <v>1237</v>
      </c>
    </row>
    <row r="6" spans="1:2">
      <c r="A6" s="18" t="s">
        <v>1238</v>
      </c>
      <c r="B6" s="18" t="s">
        <v>1239</v>
      </c>
    </row>
    <row r="7" spans="1:2">
      <c r="A7" s="18" t="s">
        <v>1240</v>
      </c>
      <c r="B7" s="18" t="s">
        <v>1241</v>
      </c>
    </row>
    <row r="8" spans="1:2">
      <c r="A8" s="18" t="s">
        <v>1242</v>
      </c>
      <c r="B8" s="18" t="s">
        <v>1243</v>
      </c>
    </row>
    <row r="9" spans="1:2">
      <c r="A9" s="18" t="s">
        <v>1244</v>
      </c>
      <c r="B9" s="18" t="s">
        <v>1245</v>
      </c>
    </row>
    <row r="10" spans="1:2">
      <c r="A10" s="18" t="s">
        <v>1246</v>
      </c>
      <c r="B10" s="18" t="s">
        <v>1247</v>
      </c>
    </row>
    <row r="11" spans="1:2">
      <c r="A11" s="18" t="s">
        <v>1248</v>
      </c>
      <c r="B11" s="18" t="s">
        <v>1249</v>
      </c>
    </row>
    <row r="12" spans="1:2">
      <c r="A12" s="18" t="s">
        <v>1250</v>
      </c>
      <c r="B12" s="18" t="s">
        <v>1251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101"/>
  <sheetViews>
    <sheetView workbookViewId="0"/>
  </sheetViews>
  <sheetFormatPr baseColWidth="10" defaultColWidth="8.6640625" defaultRowHeight="14"/>
  <cols>
    <col min="1" max="2" width="45" customWidth="1"/>
    <col min="3" max="4" width="16" customWidth="1"/>
    <col min="5" max="9" width="20" customWidth="1"/>
  </cols>
  <sheetData>
    <row r="1" spans="1:9">
      <c r="A1" s="77" t="s">
        <v>1259</v>
      </c>
      <c r="B1" s="77" t="s">
        <v>1260</v>
      </c>
      <c r="C1" s="76"/>
      <c r="D1" s="76"/>
      <c r="E1" s="76"/>
      <c r="F1" s="76"/>
      <c r="G1" s="76"/>
      <c r="H1" s="76"/>
      <c r="I1" s="76"/>
    </row>
    <row r="2" spans="1:9" ht="28">
      <c r="A2" s="18" t="s">
        <v>1261</v>
      </c>
      <c r="B2" s="18" t="s">
        <v>1262</v>
      </c>
      <c r="C2" s="18"/>
      <c r="D2" s="18"/>
      <c r="E2" s="70"/>
      <c r="F2" s="70"/>
      <c r="G2" s="70"/>
      <c r="H2" s="70"/>
      <c r="I2" s="70"/>
    </row>
    <row r="3" spans="1:9" ht="28">
      <c r="A3" s="18" t="s">
        <v>837</v>
      </c>
      <c r="B3" s="18" t="s">
        <v>1263</v>
      </c>
      <c r="C3" s="18"/>
      <c r="D3" s="18"/>
      <c r="E3" s="70"/>
      <c r="F3" s="70"/>
      <c r="G3" s="70"/>
      <c r="H3" s="70"/>
      <c r="I3" s="70"/>
    </row>
    <row r="4" spans="1:9">
      <c r="A4" s="18"/>
      <c r="B4" s="18"/>
      <c r="C4" s="18"/>
      <c r="D4" s="18"/>
      <c r="E4" s="70"/>
      <c r="F4" s="70"/>
      <c r="G4" s="70"/>
      <c r="H4" s="70"/>
      <c r="I4" s="70"/>
    </row>
    <row r="5" spans="1:9">
      <c r="A5" s="18"/>
      <c r="B5" s="18"/>
      <c r="C5" s="18"/>
      <c r="D5" s="18"/>
      <c r="E5" s="70"/>
      <c r="F5" s="70"/>
      <c r="G5" s="70"/>
      <c r="H5" s="70"/>
      <c r="I5" s="70"/>
    </row>
    <row r="6" spans="1:9">
      <c r="A6" s="18"/>
      <c r="B6" s="18"/>
      <c r="C6" s="18"/>
      <c r="D6" s="18"/>
      <c r="E6" s="70"/>
      <c r="F6" s="70"/>
      <c r="G6" s="70"/>
      <c r="H6" s="70"/>
      <c r="I6" s="70"/>
    </row>
    <row r="7" spans="1:9">
      <c r="A7" s="18"/>
      <c r="B7" s="18"/>
      <c r="C7" s="18"/>
      <c r="D7" s="18"/>
      <c r="E7" s="70"/>
      <c r="F7" s="70"/>
      <c r="G7" s="70"/>
      <c r="H7" s="70"/>
      <c r="I7" s="70"/>
    </row>
    <row r="8" spans="1:9">
      <c r="A8" s="18"/>
      <c r="B8" s="18"/>
      <c r="C8" s="18"/>
      <c r="D8" s="18"/>
      <c r="E8" s="70"/>
      <c r="F8" s="70"/>
      <c r="G8" s="70"/>
      <c r="H8" s="70"/>
      <c r="I8" s="70"/>
    </row>
    <row r="9" spans="1:9">
      <c r="A9" s="18"/>
      <c r="B9" s="18"/>
      <c r="C9" s="18"/>
      <c r="D9" s="18"/>
      <c r="E9" s="70"/>
      <c r="F9" s="70"/>
      <c r="G9" s="70"/>
      <c r="H9" s="70"/>
      <c r="I9" s="70"/>
    </row>
    <row r="10" spans="1:9">
      <c r="A10" s="18"/>
      <c r="B10" s="18"/>
      <c r="C10" s="18"/>
      <c r="D10" s="18"/>
      <c r="E10" s="70"/>
      <c r="F10" s="70"/>
      <c r="G10" s="70"/>
      <c r="H10" s="70"/>
      <c r="I10" s="70"/>
    </row>
    <row r="11" spans="1:9">
      <c r="A11" s="18"/>
      <c r="B11" s="18"/>
      <c r="C11" s="18"/>
      <c r="D11" s="18"/>
      <c r="E11" s="70"/>
      <c r="F11" s="70"/>
      <c r="G11" s="70"/>
      <c r="H11" s="70"/>
      <c r="I11" s="70"/>
    </row>
    <row r="12" spans="1:9">
      <c r="A12" s="18"/>
      <c r="B12" s="18"/>
      <c r="C12" s="18"/>
      <c r="D12" s="18"/>
      <c r="E12" s="70"/>
      <c r="F12" s="70"/>
      <c r="G12" s="70"/>
      <c r="H12" s="70"/>
      <c r="I12" s="70"/>
    </row>
    <row r="13" spans="1:9">
      <c r="A13" s="18"/>
      <c r="B13" s="18"/>
      <c r="C13" s="18"/>
      <c r="D13" s="18"/>
      <c r="E13" s="70"/>
      <c r="F13" s="70"/>
      <c r="G13" s="70"/>
      <c r="H13" s="70"/>
      <c r="I13" s="70"/>
    </row>
    <row r="14" spans="1:9">
      <c r="A14" s="18"/>
      <c r="B14" s="18"/>
      <c r="C14" s="18"/>
      <c r="D14" s="18"/>
      <c r="E14" s="70"/>
      <c r="F14" s="70"/>
      <c r="G14" s="70"/>
      <c r="H14" s="70"/>
      <c r="I14" s="70"/>
    </row>
    <row r="15" spans="1:9">
      <c r="A15" s="18"/>
      <c r="B15" s="18"/>
      <c r="C15" s="18"/>
      <c r="D15" s="18"/>
      <c r="E15" s="70"/>
      <c r="F15" s="70"/>
      <c r="G15" s="70"/>
      <c r="H15" s="70"/>
      <c r="I15" s="70"/>
    </row>
    <row r="16" spans="1:9">
      <c r="A16" s="18"/>
      <c r="B16" s="18"/>
      <c r="C16" s="18"/>
      <c r="D16" s="18"/>
      <c r="E16" s="70"/>
      <c r="F16" s="70"/>
      <c r="G16" s="70"/>
      <c r="H16" s="70"/>
      <c r="I16" s="70"/>
    </row>
    <row r="17" spans="1:9">
      <c r="A17" s="18"/>
      <c r="B17" s="18"/>
      <c r="C17" s="18"/>
      <c r="D17" s="18"/>
      <c r="E17" s="70"/>
      <c r="F17" s="70"/>
      <c r="G17" s="70"/>
      <c r="H17" s="70"/>
      <c r="I17" s="70"/>
    </row>
    <row r="18" spans="1:9">
      <c r="A18" s="18"/>
      <c r="B18" s="18"/>
      <c r="C18" s="18"/>
      <c r="D18" s="18"/>
      <c r="E18" s="70"/>
      <c r="F18" s="70"/>
      <c r="G18" s="70"/>
      <c r="H18" s="70"/>
      <c r="I18" s="70"/>
    </row>
    <row r="19" spans="1:9">
      <c r="A19" s="18"/>
      <c r="B19" s="18"/>
      <c r="C19" s="18"/>
      <c r="D19" s="18"/>
      <c r="E19" s="70"/>
      <c r="F19" s="70"/>
      <c r="G19" s="70"/>
      <c r="H19" s="70"/>
      <c r="I19" s="70"/>
    </row>
    <row r="20" spans="1:9">
      <c r="A20" s="18"/>
      <c r="B20" s="18"/>
      <c r="C20" s="18"/>
      <c r="D20" s="18"/>
      <c r="E20" s="70"/>
      <c r="F20" s="70"/>
      <c r="G20" s="70"/>
      <c r="H20" s="70"/>
      <c r="I20" s="70"/>
    </row>
    <row r="21" spans="1:9">
      <c r="A21" s="18"/>
      <c r="B21" s="18"/>
      <c r="C21" s="18"/>
      <c r="D21" s="18"/>
      <c r="E21" s="70"/>
      <c r="F21" s="70"/>
      <c r="G21" s="70"/>
      <c r="H21" s="70"/>
      <c r="I21" s="70"/>
    </row>
    <row r="22" spans="1:9">
      <c r="A22" s="18"/>
      <c r="B22" s="18"/>
      <c r="C22" s="18"/>
      <c r="D22" s="18"/>
      <c r="E22" s="70"/>
      <c r="F22" s="70"/>
      <c r="G22" s="70"/>
      <c r="H22" s="70"/>
      <c r="I22" s="70"/>
    </row>
    <row r="23" spans="1:9">
      <c r="A23" s="18"/>
      <c r="B23" s="18"/>
      <c r="C23" s="18"/>
      <c r="D23" s="18"/>
      <c r="E23" s="70"/>
      <c r="F23" s="70"/>
      <c r="G23" s="70"/>
      <c r="H23" s="70"/>
      <c r="I23" s="70"/>
    </row>
    <row r="24" spans="1:9">
      <c r="A24" s="18"/>
      <c r="B24" s="18"/>
      <c r="C24" s="18"/>
      <c r="D24" s="18"/>
      <c r="E24" s="70"/>
      <c r="F24" s="70"/>
      <c r="G24" s="70"/>
      <c r="H24" s="70"/>
      <c r="I24" s="70"/>
    </row>
    <row r="25" spans="1:9">
      <c r="A25" s="18"/>
      <c r="B25" s="18"/>
      <c r="C25" s="18"/>
      <c r="D25" s="18"/>
      <c r="E25" s="70"/>
      <c r="F25" s="70"/>
      <c r="G25" s="70"/>
      <c r="H25" s="70"/>
      <c r="I25" s="70"/>
    </row>
    <row r="26" spans="1:9">
      <c r="A26" s="18"/>
      <c r="B26" s="18"/>
      <c r="C26" s="18"/>
      <c r="D26" s="18"/>
      <c r="E26" s="70"/>
      <c r="F26" s="70"/>
      <c r="G26" s="70"/>
      <c r="H26" s="70"/>
      <c r="I26" s="70"/>
    </row>
    <row r="27" spans="1:9">
      <c r="A27" s="18"/>
      <c r="B27" s="18"/>
      <c r="C27" s="18"/>
      <c r="D27" s="18"/>
      <c r="E27" s="70"/>
      <c r="F27" s="70"/>
      <c r="G27" s="70"/>
      <c r="H27" s="70"/>
      <c r="I27" s="70"/>
    </row>
    <row r="28" spans="1:9">
      <c r="A28" s="18"/>
      <c r="B28" s="18"/>
      <c r="C28" s="18"/>
      <c r="D28" s="18"/>
      <c r="E28" s="70"/>
      <c r="F28" s="70"/>
      <c r="G28" s="70"/>
      <c r="H28" s="70"/>
      <c r="I28" s="70"/>
    </row>
    <row r="29" spans="1:9">
      <c r="A29" s="18"/>
      <c r="B29" s="18"/>
      <c r="C29" s="18"/>
      <c r="D29" s="18"/>
      <c r="E29" s="70"/>
      <c r="F29" s="70"/>
      <c r="G29" s="70"/>
      <c r="H29" s="70"/>
      <c r="I29" s="70"/>
    </row>
    <row r="30" spans="1:9">
      <c r="A30" s="18"/>
      <c r="B30" s="18"/>
      <c r="C30" s="18"/>
      <c r="D30" s="18"/>
      <c r="E30" s="70"/>
      <c r="F30" s="70"/>
      <c r="G30" s="70"/>
      <c r="H30" s="70"/>
      <c r="I30" s="70"/>
    </row>
    <row r="31" spans="1:9">
      <c r="A31" s="18"/>
      <c r="B31" s="18"/>
      <c r="C31" s="18"/>
      <c r="D31" s="18"/>
      <c r="E31" s="70"/>
      <c r="F31" s="70"/>
      <c r="G31" s="70"/>
      <c r="H31" s="70"/>
      <c r="I31" s="70"/>
    </row>
    <row r="32" spans="1:9">
      <c r="A32" s="18"/>
      <c r="B32" s="18"/>
      <c r="C32" s="18"/>
      <c r="D32" s="18"/>
      <c r="E32" s="70"/>
      <c r="F32" s="70"/>
      <c r="G32" s="70"/>
      <c r="H32" s="70"/>
      <c r="I32" s="70"/>
    </row>
    <row r="33" spans="1:9">
      <c r="A33" s="18"/>
      <c r="B33" s="18"/>
      <c r="C33" s="18"/>
      <c r="D33" s="18"/>
      <c r="E33" s="70"/>
      <c r="F33" s="70"/>
      <c r="G33" s="70"/>
      <c r="H33" s="70"/>
      <c r="I33" s="70"/>
    </row>
    <row r="34" spans="1:9">
      <c r="A34" s="18"/>
      <c r="B34" s="18"/>
      <c r="C34" s="18"/>
      <c r="D34" s="18"/>
      <c r="E34" s="70"/>
      <c r="F34" s="70"/>
      <c r="G34" s="70"/>
      <c r="H34" s="70"/>
      <c r="I34" s="70"/>
    </row>
    <row r="35" spans="1:9">
      <c r="A35" s="18"/>
      <c r="B35" s="18"/>
      <c r="C35" s="18"/>
      <c r="D35" s="18"/>
      <c r="E35" s="70"/>
      <c r="F35" s="70"/>
      <c r="G35" s="70"/>
      <c r="H35" s="70"/>
      <c r="I35" s="70"/>
    </row>
    <row r="36" spans="1:9">
      <c r="A36" s="18"/>
      <c r="B36" s="18"/>
      <c r="C36" s="18"/>
      <c r="D36" s="18"/>
      <c r="E36" s="70"/>
      <c r="F36" s="70"/>
      <c r="G36" s="70"/>
      <c r="H36" s="70"/>
      <c r="I36" s="70"/>
    </row>
    <row r="37" spans="1:9">
      <c r="A37" s="18"/>
      <c r="B37" s="18"/>
      <c r="C37" s="18"/>
      <c r="D37" s="18"/>
      <c r="E37" s="70"/>
      <c r="F37" s="70"/>
      <c r="G37" s="70"/>
      <c r="H37" s="70"/>
      <c r="I37" s="70"/>
    </row>
    <row r="38" spans="1:9">
      <c r="A38" s="18"/>
      <c r="B38" s="18"/>
      <c r="C38" s="18"/>
      <c r="D38" s="18"/>
      <c r="E38" s="70"/>
      <c r="F38" s="70"/>
      <c r="G38" s="70"/>
      <c r="H38" s="70"/>
      <c r="I38" s="70"/>
    </row>
    <row r="39" spans="1:9">
      <c r="A39" s="18"/>
      <c r="B39" s="18"/>
      <c r="C39" s="18"/>
      <c r="D39" s="18"/>
      <c r="E39" s="70"/>
      <c r="F39" s="70"/>
      <c r="G39" s="70"/>
      <c r="H39" s="70"/>
      <c r="I39" s="70"/>
    </row>
    <row r="40" spans="1:9">
      <c r="A40" s="18"/>
      <c r="B40" s="18"/>
      <c r="C40" s="18"/>
      <c r="D40" s="18"/>
      <c r="E40" s="70"/>
      <c r="F40" s="70"/>
      <c r="G40" s="70"/>
      <c r="H40" s="70"/>
      <c r="I40" s="70"/>
    </row>
    <row r="41" spans="1:9">
      <c r="A41" s="18"/>
      <c r="B41" s="18"/>
      <c r="C41" s="18"/>
      <c r="D41" s="18"/>
      <c r="E41" s="70"/>
      <c r="F41" s="70"/>
      <c r="G41" s="70"/>
      <c r="H41" s="70"/>
      <c r="I41" s="70"/>
    </row>
    <row r="42" spans="1:9">
      <c r="A42" s="18"/>
      <c r="B42" s="18"/>
      <c r="C42" s="18"/>
      <c r="D42" s="18"/>
      <c r="E42" s="70"/>
      <c r="F42" s="70"/>
      <c r="G42" s="70"/>
      <c r="H42" s="70"/>
      <c r="I42" s="70"/>
    </row>
    <row r="43" spans="1:9">
      <c r="A43" s="18"/>
      <c r="B43" s="18"/>
      <c r="C43" s="18"/>
      <c r="D43" s="18"/>
      <c r="E43" s="70"/>
      <c r="F43" s="70"/>
      <c r="G43" s="70"/>
      <c r="H43" s="70"/>
      <c r="I43" s="70"/>
    </row>
    <row r="44" spans="1:9">
      <c r="A44" s="18"/>
      <c r="B44" s="18"/>
      <c r="C44" s="18"/>
      <c r="D44" s="18"/>
      <c r="E44" s="70"/>
      <c r="F44" s="70"/>
      <c r="G44" s="70"/>
      <c r="H44" s="70"/>
      <c r="I44" s="70"/>
    </row>
    <row r="45" spans="1:9">
      <c r="A45" s="18"/>
      <c r="B45" s="18"/>
      <c r="C45" s="18"/>
      <c r="D45" s="18"/>
      <c r="E45" s="70"/>
      <c r="F45" s="70"/>
      <c r="G45" s="70"/>
      <c r="H45" s="70"/>
      <c r="I45" s="70"/>
    </row>
    <row r="46" spans="1:9">
      <c r="A46" s="18"/>
      <c r="B46" s="18"/>
      <c r="C46" s="18"/>
      <c r="D46" s="18"/>
      <c r="E46" s="70"/>
      <c r="F46" s="70"/>
      <c r="G46" s="70"/>
      <c r="H46" s="70"/>
      <c r="I46" s="70"/>
    </row>
    <row r="47" spans="1:9">
      <c r="A47" s="18"/>
      <c r="B47" s="18"/>
      <c r="C47" s="18"/>
      <c r="D47" s="18"/>
      <c r="E47" s="70"/>
      <c r="F47" s="70"/>
      <c r="G47" s="70"/>
      <c r="H47" s="70"/>
      <c r="I47" s="70"/>
    </row>
    <row r="48" spans="1:9">
      <c r="A48" s="18"/>
      <c r="B48" s="18"/>
      <c r="C48" s="18"/>
      <c r="D48" s="18"/>
      <c r="E48" s="70"/>
      <c r="F48" s="70"/>
      <c r="G48" s="70"/>
      <c r="H48" s="70"/>
      <c r="I48" s="70"/>
    </row>
    <row r="49" spans="1:9">
      <c r="A49" s="18"/>
      <c r="B49" s="18"/>
      <c r="C49" s="18"/>
      <c r="D49" s="18"/>
      <c r="E49" s="70"/>
      <c r="F49" s="70"/>
      <c r="G49" s="70"/>
      <c r="H49" s="70"/>
      <c r="I49" s="70"/>
    </row>
    <row r="50" spans="1:9">
      <c r="A50" s="18"/>
      <c r="B50" s="18"/>
      <c r="C50" s="18"/>
      <c r="D50" s="18"/>
      <c r="E50" s="70"/>
      <c r="F50" s="70"/>
      <c r="G50" s="70"/>
      <c r="H50" s="70"/>
      <c r="I50" s="70"/>
    </row>
    <row r="51" spans="1:9">
      <c r="A51" s="18"/>
      <c r="B51" s="18"/>
      <c r="C51" s="18"/>
      <c r="D51" s="18"/>
      <c r="E51" s="70"/>
      <c r="F51" s="70"/>
      <c r="G51" s="70"/>
      <c r="H51" s="70"/>
      <c r="I51" s="70"/>
    </row>
    <row r="52" spans="1:9">
      <c r="A52" s="18"/>
      <c r="B52" s="18"/>
      <c r="C52" s="18"/>
      <c r="D52" s="18"/>
      <c r="E52" s="70"/>
      <c r="F52" s="70"/>
      <c r="G52" s="70"/>
      <c r="H52" s="70"/>
      <c r="I52" s="70"/>
    </row>
    <row r="53" spans="1:9">
      <c r="A53" s="18"/>
      <c r="B53" s="18"/>
      <c r="C53" s="18"/>
      <c r="D53" s="18"/>
      <c r="E53" s="70"/>
      <c r="F53" s="70"/>
      <c r="G53" s="70"/>
      <c r="H53" s="70"/>
      <c r="I53" s="70"/>
    </row>
    <row r="54" spans="1:9">
      <c r="A54" s="18"/>
      <c r="B54" s="18"/>
      <c r="C54" s="18"/>
      <c r="D54" s="18"/>
      <c r="E54" s="70"/>
      <c r="F54" s="70"/>
      <c r="G54" s="70"/>
      <c r="H54" s="70"/>
      <c r="I54" s="70"/>
    </row>
    <row r="55" spans="1:9">
      <c r="A55" s="18"/>
      <c r="B55" s="18"/>
      <c r="C55" s="18"/>
      <c r="D55" s="18"/>
      <c r="E55" s="70"/>
      <c r="F55" s="70"/>
      <c r="G55" s="70"/>
      <c r="H55" s="70"/>
      <c r="I55" s="70"/>
    </row>
    <row r="56" spans="1:9">
      <c r="A56" s="18"/>
      <c r="B56" s="18"/>
      <c r="C56" s="18"/>
      <c r="D56" s="18"/>
      <c r="E56" s="70"/>
      <c r="F56" s="70"/>
      <c r="G56" s="70"/>
      <c r="H56" s="70"/>
      <c r="I56" s="70"/>
    </row>
    <row r="57" spans="1:9">
      <c r="A57" s="18"/>
      <c r="B57" s="18"/>
      <c r="C57" s="18"/>
      <c r="D57" s="18"/>
      <c r="E57" s="70"/>
      <c r="F57" s="70"/>
      <c r="G57" s="70"/>
      <c r="H57" s="70"/>
      <c r="I57" s="70"/>
    </row>
    <row r="58" spans="1:9">
      <c r="A58" s="18"/>
      <c r="B58" s="18"/>
      <c r="C58" s="18"/>
      <c r="D58" s="18"/>
      <c r="E58" s="70"/>
      <c r="F58" s="70"/>
      <c r="G58" s="70"/>
      <c r="H58" s="70"/>
      <c r="I58" s="70"/>
    </row>
    <row r="59" spans="1:9">
      <c r="A59" s="18"/>
      <c r="B59" s="18"/>
      <c r="C59" s="18"/>
      <c r="D59" s="18"/>
      <c r="E59" s="70"/>
      <c r="F59" s="70"/>
      <c r="G59" s="70"/>
      <c r="H59" s="70"/>
      <c r="I59" s="70"/>
    </row>
    <row r="60" spans="1:9">
      <c r="A60" s="18"/>
      <c r="B60" s="18"/>
      <c r="C60" s="18"/>
      <c r="D60" s="18"/>
      <c r="E60" s="70"/>
      <c r="F60" s="70"/>
      <c r="G60" s="70"/>
      <c r="H60" s="70"/>
      <c r="I60" s="70"/>
    </row>
    <row r="61" spans="1:9">
      <c r="A61" s="18"/>
      <c r="B61" s="18"/>
      <c r="C61" s="18"/>
      <c r="D61" s="18"/>
      <c r="E61" s="70"/>
      <c r="F61" s="70"/>
      <c r="G61" s="70"/>
      <c r="H61" s="70"/>
      <c r="I61" s="70"/>
    </row>
    <row r="62" spans="1:9">
      <c r="A62" s="18"/>
      <c r="B62" s="18"/>
      <c r="C62" s="18"/>
      <c r="D62" s="18"/>
      <c r="E62" s="70"/>
      <c r="F62" s="70"/>
      <c r="G62" s="70"/>
      <c r="H62" s="70"/>
      <c r="I62" s="70"/>
    </row>
    <row r="63" spans="1:9">
      <c r="A63" s="18"/>
      <c r="B63" s="18"/>
      <c r="C63" s="18"/>
      <c r="D63" s="18"/>
      <c r="E63" s="70"/>
      <c r="F63" s="70"/>
      <c r="G63" s="70"/>
      <c r="H63" s="70"/>
      <c r="I63" s="70"/>
    </row>
    <row r="64" spans="1:9">
      <c r="A64" s="18"/>
      <c r="B64" s="18"/>
      <c r="C64" s="18"/>
      <c r="D64" s="18"/>
      <c r="E64" s="70"/>
      <c r="F64" s="70"/>
      <c r="G64" s="70"/>
      <c r="H64" s="70"/>
      <c r="I64" s="70"/>
    </row>
    <row r="65" spans="1:9">
      <c r="A65" s="18"/>
      <c r="B65" s="18"/>
      <c r="C65" s="18"/>
      <c r="D65" s="18"/>
      <c r="E65" s="70"/>
      <c r="F65" s="70"/>
      <c r="G65" s="70"/>
      <c r="H65" s="70"/>
      <c r="I65" s="70"/>
    </row>
    <row r="66" spans="1:9">
      <c r="A66" s="18"/>
      <c r="B66" s="18"/>
      <c r="C66" s="18"/>
      <c r="D66" s="18"/>
      <c r="E66" s="70"/>
      <c r="F66" s="70"/>
      <c r="G66" s="70"/>
      <c r="H66" s="70"/>
      <c r="I66" s="70"/>
    </row>
    <row r="67" spans="1:9">
      <c r="A67" s="18"/>
      <c r="B67" s="18"/>
      <c r="C67" s="18"/>
      <c r="D67" s="18"/>
      <c r="E67" s="70"/>
      <c r="F67" s="70"/>
      <c r="G67" s="70"/>
      <c r="H67" s="70"/>
      <c r="I67" s="70"/>
    </row>
    <row r="68" spans="1:9">
      <c r="A68" s="18"/>
      <c r="B68" s="18"/>
      <c r="C68" s="18"/>
      <c r="D68" s="18"/>
      <c r="E68" s="70"/>
      <c r="F68" s="70"/>
      <c r="G68" s="70"/>
      <c r="H68" s="70"/>
      <c r="I68" s="70"/>
    </row>
    <row r="69" spans="1:9">
      <c r="A69" s="18"/>
      <c r="B69" s="18"/>
      <c r="C69" s="18"/>
      <c r="D69" s="18"/>
      <c r="E69" s="70"/>
      <c r="F69" s="70"/>
      <c r="G69" s="70"/>
      <c r="H69" s="70"/>
      <c r="I69" s="70"/>
    </row>
    <row r="70" spans="1:9">
      <c r="A70" s="18"/>
      <c r="B70" s="18"/>
      <c r="C70" s="18"/>
      <c r="D70" s="18"/>
      <c r="E70" s="70"/>
      <c r="F70" s="70"/>
      <c r="G70" s="70"/>
      <c r="H70" s="70"/>
      <c r="I70" s="70"/>
    </row>
    <row r="71" spans="1:9">
      <c r="A71" s="18"/>
      <c r="B71" s="18"/>
      <c r="C71" s="18"/>
      <c r="D71" s="18"/>
      <c r="E71" s="70"/>
      <c r="F71" s="70"/>
      <c r="G71" s="70"/>
      <c r="H71" s="70"/>
      <c r="I71" s="70"/>
    </row>
    <row r="72" spans="1:9">
      <c r="A72" s="18"/>
      <c r="B72" s="18"/>
      <c r="C72" s="18"/>
      <c r="D72" s="18"/>
      <c r="E72" s="70"/>
      <c r="F72" s="70"/>
      <c r="G72" s="70"/>
      <c r="H72" s="70"/>
      <c r="I72" s="70"/>
    </row>
    <row r="73" spans="1:9">
      <c r="A73" s="18"/>
      <c r="B73" s="18"/>
      <c r="C73" s="18"/>
      <c r="D73" s="18"/>
      <c r="E73" s="70"/>
      <c r="F73" s="70"/>
      <c r="G73" s="70"/>
      <c r="H73" s="70"/>
      <c r="I73" s="70"/>
    </row>
    <row r="74" spans="1:9">
      <c r="A74" s="18"/>
      <c r="B74" s="18"/>
      <c r="C74" s="18"/>
      <c r="D74" s="18"/>
      <c r="E74" s="70"/>
      <c r="F74" s="70"/>
      <c r="G74" s="70"/>
      <c r="H74" s="70"/>
      <c r="I74" s="70"/>
    </row>
    <row r="75" spans="1:9">
      <c r="A75" s="18"/>
      <c r="B75" s="18"/>
      <c r="C75" s="18"/>
      <c r="D75" s="18"/>
      <c r="E75" s="70"/>
      <c r="F75" s="70"/>
      <c r="G75" s="70"/>
      <c r="H75" s="70"/>
      <c r="I75" s="70"/>
    </row>
    <row r="76" spans="1:9">
      <c r="A76" s="18"/>
      <c r="B76" s="18"/>
      <c r="C76" s="18"/>
      <c r="D76" s="18"/>
      <c r="E76" s="70"/>
      <c r="F76" s="70"/>
      <c r="G76" s="70"/>
      <c r="H76" s="70"/>
      <c r="I76" s="70"/>
    </row>
    <row r="77" spans="1:9">
      <c r="A77" s="18"/>
      <c r="B77" s="18"/>
      <c r="C77" s="18"/>
      <c r="D77" s="18"/>
      <c r="E77" s="70"/>
      <c r="F77" s="70"/>
      <c r="G77" s="70"/>
      <c r="H77" s="70"/>
      <c r="I77" s="70"/>
    </row>
    <row r="78" spans="1:9">
      <c r="A78" s="18"/>
      <c r="B78" s="18"/>
      <c r="C78" s="18"/>
      <c r="D78" s="18"/>
      <c r="E78" s="70"/>
      <c r="F78" s="70"/>
      <c r="G78" s="70"/>
      <c r="H78" s="70"/>
      <c r="I78" s="70"/>
    </row>
    <row r="79" spans="1:9">
      <c r="A79" s="18"/>
      <c r="B79" s="18"/>
      <c r="C79" s="18"/>
      <c r="D79" s="18"/>
      <c r="E79" s="70"/>
      <c r="F79" s="70"/>
      <c r="G79" s="70"/>
      <c r="H79" s="70"/>
      <c r="I79" s="70"/>
    </row>
    <row r="80" spans="1:9">
      <c r="A80" s="18"/>
      <c r="B80" s="18"/>
      <c r="C80" s="18"/>
      <c r="D80" s="18"/>
      <c r="E80" s="70"/>
      <c r="F80" s="70"/>
      <c r="G80" s="70"/>
      <c r="H80" s="70"/>
      <c r="I80" s="70"/>
    </row>
    <row r="81" spans="1:9">
      <c r="A81" s="18"/>
      <c r="B81" s="18"/>
      <c r="C81" s="18"/>
      <c r="D81" s="18"/>
      <c r="E81" s="70"/>
      <c r="F81" s="70"/>
      <c r="G81" s="70"/>
      <c r="H81" s="70"/>
      <c r="I81" s="70"/>
    </row>
    <row r="82" spans="1:9">
      <c r="A82" s="18"/>
      <c r="B82" s="18"/>
      <c r="C82" s="18"/>
      <c r="D82" s="18"/>
      <c r="E82" s="70"/>
      <c r="F82" s="70"/>
      <c r="G82" s="70"/>
      <c r="H82" s="70"/>
      <c r="I82" s="70"/>
    </row>
    <row r="83" spans="1:9">
      <c r="A83" s="18"/>
      <c r="B83" s="18"/>
      <c r="C83" s="18"/>
      <c r="D83" s="18"/>
      <c r="E83" s="70"/>
      <c r="F83" s="70"/>
      <c r="G83" s="70"/>
      <c r="H83" s="70"/>
      <c r="I83" s="70"/>
    </row>
    <row r="84" spans="1:9">
      <c r="A84" s="18"/>
      <c r="B84" s="18"/>
      <c r="C84" s="18"/>
      <c r="D84" s="18"/>
      <c r="E84" s="70"/>
      <c r="F84" s="70"/>
      <c r="G84" s="70"/>
      <c r="H84" s="70"/>
      <c r="I84" s="70"/>
    </row>
    <row r="85" spans="1:9">
      <c r="A85" s="18"/>
      <c r="B85" s="18"/>
      <c r="C85" s="18"/>
      <c r="D85" s="18"/>
      <c r="E85" s="70"/>
      <c r="F85" s="70"/>
      <c r="G85" s="70"/>
      <c r="H85" s="70"/>
      <c r="I85" s="70"/>
    </row>
    <row r="86" spans="1:9">
      <c r="A86" s="18"/>
      <c r="B86" s="18"/>
      <c r="C86" s="18"/>
      <c r="D86" s="18"/>
      <c r="E86" s="70"/>
      <c r="F86" s="70"/>
      <c r="G86" s="70"/>
      <c r="H86" s="70"/>
      <c r="I86" s="70"/>
    </row>
    <row r="87" spans="1:9">
      <c r="A87" s="18"/>
      <c r="B87" s="18"/>
      <c r="C87" s="18"/>
      <c r="D87" s="18"/>
      <c r="E87" s="70"/>
      <c r="F87" s="70"/>
      <c r="G87" s="70"/>
      <c r="H87" s="70"/>
      <c r="I87" s="70"/>
    </row>
    <row r="88" spans="1:9">
      <c r="A88" s="18"/>
      <c r="B88" s="18"/>
      <c r="C88" s="18"/>
      <c r="D88" s="18"/>
      <c r="E88" s="70"/>
      <c r="F88" s="70"/>
      <c r="G88" s="70"/>
      <c r="H88" s="70"/>
      <c r="I88" s="70"/>
    </row>
    <row r="89" spans="1:9">
      <c r="A89" s="18"/>
      <c r="B89" s="18"/>
      <c r="C89" s="18"/>
      <c r="D89" s="18"/>
      <c r="E89" s="70"/>
      <c r="F89" s="70"/>
      <c r="G89" s="70"/>
      <c r="H89" s="70"/>
      <c r="I89" s="70"/>
    </row>
    <row r="90" spans="1:9">
      <c r="A90" s="18"/>
      <c r="B90" s="18"/>
      <c r="C90" s="18"/>
      <c r="D90" s="18"/>
      <c r="E90" s="70"/>
      <c r="F90" s="70"/>
      <c r="G90" s="70"/>
      <c r="H90" s="70"/>
      <c r="I90" s="70"/>
    </row>
    <row r="91" spans="1:9">
      <c r="A91" s="18"/>
      <c r="B91" s="18"/>
      <c r="C91" s="18"/>
      <c r="D91" s="18"/>
      <c r="E91" s="70"/>
      <c r="F91" s="70"/>
      <c r="G91" s="70"/>
      <c r="H91" s="70"/>
      <c r="I91" s="70"/>
    </row>
    <row r="92" spans="1:9">
      <c r="A92" s="18"/>
      <c r="B92" s="18"/>
      <c r="C92" s="18"/>
      <c r="D92" s="18"/>
      <c r="E92" s="70"/>
      <c r="F92" s="70"/>
      <c r="G92" s="70"/>
      <c r="H92" s="70"/>
      <c r="I92" s="70"/>
    </row>
    <row r="93" spans="1:9">
      <c r="A93" s="18"/>
      <c r="B93" s="18"/>
      <c r="C93" s="18"/>
      <c r="D93" s="18"/>
      <c r="E93" s="70"/>
      <c r="F93" s="70"/>
      <c r="G93" s="70"/>
      <c r="H93" s="70"/>
      <c r="I93" s="70"/>
    </row>
    <row r="94" spans="1:9">
      <c r="A94" s="18"/>
      <c r="B94" s="18"/>
      <c r="C94" s="18"/>
      <c r="D94" s="18"/>
      <c r="E94" s="70"/>
      <c r="F94" s="70"/>
      <c r="G94" s="70"/>
      <c r="H94" s="70"/>
      <c r="I94" s="70"/>
    </row>
    <row r="95" spans="1:9">
      <c r="A95" s="18"/>
      <c r="B95" s="18"/>
      <c r="C95" s="18"/>
      <c r="D95" s="18"/>
      <c r="E95" s="70"/>
      <c r="F95" s="70"/>
      <c r="G95" s="70"/>
      <c r="H95" s="70"/>
      <c r="I95" s="70"/>
    </row>
    <row r="96" spans="1:9">
      <c r="A96" s="18"/>
      <c r="B96" s="18"/>
      <c r="C96" s="18"/>
      <c r="D96" s="18"/>
      <c r="E96" s="70"/>
      <c r="F96" s="70"/>
      <c r="G96" s="70"/>
      <c r="H96" s="70"/>
      <c r="I96" s="70"/>
    </row>
    <row r="97" spans="1:9">
      <c r="A97" s="18"/>
      <c r="B97" s="18"/>
      <c r="C97" s="18"/>
      <c r="D97" s="18"/>
      <c r="E97" s="70"/>
      <c r="F97" s="70"/>
      <c r="G97" s="70"/>
      <c r="H97" s="70"/>
      <c r="I97" s="70"/>
    </row>
    <row r="98" spans="1:9">
      <c r="A98" s="18"/>
      <c r="B98" s="18"/>
      <c r="C98" s="18"/>
      <c r="D98" s="18"/>
      <c r="E98" s="70"/>
      <c r="F98" s="70"/>
      <c r="G98" s="70"/>
      <c r="H98" s="70"/>
      <c r="I98" s="70"/>
    </row>
    <row r="99" spans="1:9">
      <c r="A99" s="18"/>
      <c r="B99" s="18"/>
      <c r="C99" s="18"/>
      <c r="D99" s="18"/>
      <c r="E99" s="70"/>
      <c r="F99" s="70"/>
      <c r="G99" s="70"/>
      <c r="H99" s="70"/>
      <c r="I99" s="70"/>
    </row>
    <row r="100" spans="1:9">
      <c r="A100" s="18"/>
      <c r="B100" s="18"/>
      <c r="C100" s="18"/>
      <c r="D100" s="18"/>
      <c r="E100" s="70"/>
      <c r="F100" s="70"/>
      <c r="G100" s="70"/>
      <c r="H100" s="70"/>
      <c r="I100" s="70"/>
    </row>
    <row r="101" spans="1:9">
      <c r="A101" s="18"/>
      <c r="B101" s="18"/>
      <c r="C101" s="18"/>
      <c r="D101" s="18"/>
      <c r="E101" s="70"/>
      <c r="F101" s="70"/>
      <c r="G101" s="70"/>
      <c r="H101" s="70"/>
      <c r="I101" s="7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6" t="s">
        <v>951</v>
      </c>
      <c r="B1" s="76" t="s">
        <v>940</v>
      </c>
    </row>
    <row r="2" spans="1:2">
      <c r="A2" s="18" t="s">
        <v>1230</v>
      </c>
      <c r="B2" s="18" t="s">
        <v>1264</v>
      </c>
    </row>
    <row r="3" spans="1:2">
      <c r="A3" s="18" t="s">
        <v>1265</v>
      </c>
      <c r="B3" s="18" t="s">
        <v>1266</v>
      </c>
    </row>
    <row r="4" spans="1:2">
      <c r="A4" s="18" t="s">
        <v>1267</v>
      </c>
      <c r="B4" s="18" t="s">
        <v>1268</v>
      </c>
    </row>
    <row r="5" spans="1:2">
      <c r="A5" s="18" t="s">
        <v>1269</v>
      </c>
      <c r="B5" s="18" t="s">
        <v>1270</v>
      </c>
    </row>
    <row r="6" spans="1:2">
      <c r="A6" s="18" t="s">
        <v>1271</v>
      </c>
      <c r="B6" s="18" t="s">
        <v>1272</v>
      </c>
    </row>
    <row r="7" spans="1:2">
      <c r="A7" s="18" t="s">
        <v>1273</v>
      </c>
      <c r="B7" s="18" t="s">
        <v>1274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1"/>
  <sheetViews>
    <sheetView workbookViewId="0"/>
  </sheetViews>
  <sheetFormatPr baseColWidth="10" defaultColWidth="8.6640625" defaultRowHeight="14"/>
  <cols>
    <col min="1" max="3" width="16" customWidth="1"/>
    <col min="4" max="8" width="22" customWidth="1"/>
  </cols>
  <sheetData>
    <row r="1" spans="1:8">
      <c r="A1" s="77" t="s">
        <v>98</v>
      </c>
      <c r="B1" s="77" t="s">
        <v>39</v>
      </c>
      <c r="C1" s="77" t="s">
        <v>786</v>
      </c>
      <c r="D1" s="77" t="s">
        <v>1275</v>
      </c>
      <c r="E1" s="77" t="s">
        <v>1276</v>
      </c>
      <c r="F1" s="77" t="s">
        <v>1277</v>
      </c>
      <c r="G1" s="77" t="s">
        <v>1258</v>
      </c>
      <c r="H1" s="77" t="s">
        <v>1278</v>
      </c>
    </row>
    <row r="2" spans="1:8">
      <c r="A2" s="18">
        <v>2026</v>
      </c>
      <c r="B2" s="18" t="s">
        <v>843</v>
      </c>
      <c r="C2" s="18" t="str">
        <f t="shared" ref="C2:C12" si="0">"Base Excel"</f>
        <v>Base Excel</v>
      </c>
      <c r="D2" s="70">
        <f>IFERROR(INDEX(internacional_base!$B:$B,MATCH(A2,internacional_base!$A:$A,0)),0)</f>
        <v>0</v>
      </c>
      <c r="E2" s="70">
        <f>IFERROR(INDEX(internacional_base!$D:$D,MATCH(A2,internacional_base!$A:$A,0)),0)</f>
        <v>0</v>
      </c>
      <c r="F2" s="70">
        <f t="shared" ref="F2:F21" si="1">D2/5</f>
        <v>0</v>
      </c>
      <c r="G2" s="70">
        <f t="shared" ref="G2:G21" si="2">MAX(0,E2-F2)</f>
        <v>0</v>
      </c>
      <c r="H2" s="70">
        <f t="shared" ref="H2:H21" si="3">F2+G2</f>
        <v>0</v>
      </c>
    </row>
    <row r="3" spans="1:8">
      <c r="A3" s="18">
        <v>2027</v>
      </c>
      <c r="B3" s="18" t="s">
        <v>843</v>
      </c>
      <c r="C3" s="18" t="str">
        <f t="shared" si="0"/>
        <v>Base Excel</v>
      </c>
      <c r="D3" s="70">
        <f>IFERROR(INDEX(internacional_base!$B:$B,MATCH(A3,internacional_base!$A:$A,0)),0)</f>
        <v>307</v>
      </c>
      <c r="E3" s="70">
        <f>IFERROR(INDEX(internacional_base!$D:$D,MATCH(A3,internacional_base!$A:$A,0)),0)</f>
        <v>254.97600000000003</v>
      </c>
      <c r="F3" s="70">
        <f t="shared" si="1"/>
        <v>61.4</v>
      </c>
      <c r="G3" s="70">
        <f t="shared" si="2"/>
        <v>193.57600000000002</v>
      </c>
      <c r="H3" s="70">
        <f t="shared" si="3"/>
        <v>254.97600000000003</v>
      </c>
    </row>
    <row r="4" spans="1:8">
      <c r="A4" s="18">
        <v>2028</v>
      </c>
      <c r="B4" s="18" t="s">
        <v>843</v>
      </c>
      <c r="C4" s="18" t="str">
        <f t="shared" si="0"/>
        <v>Base Excel</v>
      </c>
      <c r="D4" s="70">
        <f>IFERROR(INDEX(internacional_base!$B:$B,MATCH(A4,internacional_base!$A:$A,0)),0)</f>
        <v>1162</v>
      </c>
      <c r="E4" s="70">
        <f>IFERROR(INDEX(internacional_base!$D:$D,MATCH(A4,internacional_base!$A:$A,0)),0)</f>
        <v>1181.9865599999998</v>
      </c>
      <c r="F4" s="70">
        <f t="shared" si="1"/>
        <v>232.4</v>
      </c>
      <c r="G4" s="70">
        <f t="shared" si="2"/>
        <v>949.58655999999985</v>
      </c>
      <c r="H4" s="70">
        <f t="shared" si="3"/>
        <v>1181.9865599999998</v>
      </c>
    </row>
    <row r="5" spans="1:8">
      <c r="A5" s="18">
        <v>2029</v>
      </c>
      <c r="B5" s="18" t="s">
        <v>843</v>
      </c>
      <c r="C5" s="18" t="str">
        <f t="shared" si="0"/>
        <v>Base Excel</v>
      </c>
      <c r="D5" s="70">
        <f>IFERROR(INDEX(internacional_base!$B:$B,MATCH(A5,internacional_base!$A:$A,0)),0)</f>
        <v>1854</v>
      </c>
      <c r="E5" s="70">
        <f>IFERROR(INDEX(internacional_base!$D:$D,MATCH(A5,internacional_base!$A:$A,0)),0)</f>
        <v>2529.9126145</v>
      </c>
      <c r="F5" s="70">
        <f t="shared" si="1"/>
        <v>370.8</v>
      </c>
      <c r="G5" s="70">
        <f t="shared" si="2"/>
        <v>2159.1126144999998</v>
      </c>
      <c r="H5" s="70">
        <f t="shared" si="3"/>
        <v>2529.9126145</v>
      </c>
    </row>
    <row r="6" spans="1:8">
      <c r="A6" s="18">
        <v>2030</v>
      </c>
      <c r="B6" s="18" t="s">
        <v>843</v>
      </c>
      <c r="C6" s="18" t="str">
        <f t="shared" si="0"/>
        <v>Base Excel</v>
      </c>
      <c r="D6" s="70">
        <f>IFERROR(INDEX(internacional_base!$B:$B,MATCH(A6,internacional_base!$A:$A,0)),0)</f>
        <v>1989</v>
      </c>
      <c r="E6" s="70">
        <f>IFERROR(INDEX(internacional_base!$D:$D,MATCH(A6,internacional_base!$A:$A,0)),0)</f>
        <v>3822.4650744999999</v>
      </c>
      <c r="F6" s="70">
        <f t="shared" si="1"/>
        <v>397.8</v>
      </c>
      <c r="G6" s="70">
        <f t="shared" si="2"/>
        <v>3424.6650744999997</v>
      </c>
      <c r="H6" s="70">
        <f t="shared" si="3"/>
        <v>3822.4650744999999</v>
      </c>
    </row>
    <row r="7" spans="1:8">
      <c r="A7" s="18">
        <v>2031</v>
      </c>
      <c r="B7" s="18" t="s">
        <v>843</v>
      </c>
      <c r="C7" s="18" t="str">
        <f t="shared" si="0"/>
        <v>Base Excel</v>
      </c>
      <c r="D7" s="70">
        <f>IFERROR(INDEX(internacional_base!$B:$B,MATCH(A7,internacional_base!$A:$A,0)),0)</f>
        <v>2349</v>
      </c>
      <c r="E7" s="70">
        <f>IFERROR(INDEX(internacional_base!$D:$D,MATCH(A7,internacional_base!$A:$A,0)),0)</f>
        <v>5334.7430770000001</v>
      </c>
      <c r="F7" s="70">
        <f t="shared" si="1"/>
        <v>469.8</v>
      </c>
      <c r="G7" s="70">
        <f t="shared" si="2"/>
        <v>4864.9430769999999</v>
      </c>
      <c r="H7" s="70">
        <f t="shared" si="3"/>
        <v>5334.7430770000001</v>
      </c>
    </row>
    <row r="8" spans="1:8">
      <c r="A8" s="18">
        <v>2032</v>
      </c>
      <c r="B8" s="18" t="s">
        <v>843</v>
      </c>
      <c r="C8" s="18" t="str">
        <f t="shared" si="0"/>
        <v>Base Excel</v>
      </c>
      <c r="D8" s="70">
        <f>IFERROR(INDEX(internacional_base!$B:$B,MATCH(A8,internacional_base!$A:$A,0)),0)</f>
        <v>3667</v>
      </c>
      <c r="E8" s="70">
        <f>IFERROR(INDEX(internacional_base!$D:$D,MATCH(A8,internacional_base!$A:$A,0)),0)</f>
        <v>7702.9933890000011</v>
      </c>
      <c r="F8" s="70">
        <f t="shared" si="1"/>
        <v>733.4</v>
      </c>
      <c r="G8" s="70">
        <f t="shared" si="2"/>
        <v>6969.5933890000015</v>
      </c>
      <c r="H8" s="70">
        <f t="shared" si="3"/>
        <v>7702.9933890000011</v>
      </c>
    </row>
    <row r="9" spans="1:8">
      <c r="A9" s="18">
        <v>2033</v>
      </c>
      <c r="B9" s="18" t="s">
        <v>843</v>
      </c>
      <c r="C9" s="18" t="str">
        <f t="shared" si="0"/>
        <v>Base Excel</v>
      </c>
      <c r="D9" s="70">
        <f>IFERROR(INDEX(internacional_base!$B:$B,MATCH(A9,internacional_base!$A:$A,0)),0)</f>
        <v>3845</v>
      </c>
      <c r="E9" s="70">
        <f>IFERROR(INDEX(internacional_base!$D:$D,MATCH(A9,internacional_base!$A:$A,0)),0)</f>
        <v>9616.848215</v>
      </c>
      <c r="F9" s="70">
        <f t="shared" si="1"/>
        <v>769</v>
      </c>
      <c r="G9" s="70">
        <f t="shared" si="2"/>
        <v>8847.848215</v>
      </c>
      <c r="H9" s="70">
        <f t="shared" si="3"/>
        <v>9616.848215</v>
      </c>
    </row>
    <row r="10" spans="1:8">
      <c r="A10" s="18">
        <v>2034</v>
      </c>
      <c r="B10" s="18" t="s">
        <v>843</v>
      </c>
      <c r="C10" s="18" t="str">
        <f t="shared" si="0"/>
        <v>Base Excel</v>
      </c>
      <c r="D10" s="70">
        <f>IFERROR(INDEX(internacional_base!$B:$B,MATCH(A10,internacional_base!$A:$A,0)),0)</f>
        <v>4543</v>
      </c>
      <c r="E10" s="70">
        <f>IFERROR(INDEX(internacional_base!$D:$D,MATCH(A10,internacional_base!$A:$A,0)),0)</f>
        <v>11811.9915315</v>
      </c>
      <c r="F10" s="70">
        <f t="shared" si="1"/>
        <v>908.6</v>
      </c>
      <c r="G10" s="70">
        <f t="shared" si="2"/>
        <v>10903.391531499999</v>
      </c>
      <c r="H10" s="70">
        <f t="shared" si="3"/>
        <v>11811.9915315</v>
      </c>
    </row>
    <row r="11" spans="1:8">
      <c r="A11" s="18">
        <v>2035</v>
      </c>
      <c r="B11" s="18" t="s">
        <v>843</v>
      </c>
      <c r="C11" s="18" t="str">
        <f t="shared" si="0"/>
        <v>Base Excel</v>
      </c>
      <c r="D11" s="70">
        <f>IFERROR(INDEX(internacional_base!$B:$B,MATCH(A11,internacional_base!$A:$A,0)),0)</f>
        <v>4543</v>
      </c>
      <c r="E11" s="70">
        <f>IFERROR(INDEX(internacional_base!$D:$D,MATCH(A11,internacional_base!$A:$A,0)),0)</f>
        <v>13811.101949</v>
      </c>
      <c r="F11" s="70">
        <f t="shared" si="1"/>
        <v>908.6</v>
      </c>
      <c r="G11" s="70">
        <f t="shared" si="2"/>
        <v>12902.501949</v>
      </c>
      <c r="H11" s="70">
        <f t="shared" si="3"/>
        <v>13811.101949</v>
      </c>
    </row>
    <row r="12" spans="1:8">
      <c r="A12" s="18">
        <v>2036</v>
      </c>
      <c r="B12" s="18" t="s">
        <v>843</v>
      </c>
      <c r="C12" s="18" t="str">
        <f t="shared" si="0"/>
        <v>Base Excel</v>
      </c>
      <c r="D12" s="70">
        <f>IFERROR(INDEX(internacional_base!$B:$B,MATCH(A12,internacional_base!$A:$A,0)),0)</f>
        <v>4543</v>
      </c>
      <c r="E12" s="70">
        <f>IFERROR(INDEX(internacional_base!$D:$D,MATCH(A12,internacional_base!$A:$A,0)),0)</f>
        <v>16471.486228000002</v>
      </c>
      <c r="F12" s="70">
        <f t="shared" si="1"/>
        <v>908.6</v>
      </c>
      <c r="G12" s="70">
        <f t="shared" si="2"/>
        <v>15562.886228000001</v>
      </c>
      <c r="H12" s="70">
        <f t="shared" si="3"/>
        <v>16471.486228000002</v>
      </c>
    </row>
    <row r="13" spans="1:8">
      <c r="A13" s="18">
        <v>2037</v>
      </c>
      <c r="B13" s="18" t="s">
        <v>843</v>
      </c>
      <c r="C13" s="18" t="str">
        <f t="shared" ref="C13:C21" si="4">"Proyección"</f>
        <v>Proyección</v>
      </c>
      <c r="D13" s="70">
        <f>D12*(1+IFERROR(INDEX(internacional_crecimiento!$B:$B,MATCH(A13,internacional_crecimiento!$A:$A,0)),3%))</f>
        <v>4679.29</v>
      </c>
      <c r="E13" s="70">
        <f>E12*(1+IFERROR(INDEX(internacional_crecimiento!$D:$D,MATCH(A13,internacional_crecimiento!$A:$A,0)),3%))</f>
        <v>16965.630814840002</v>
      </c>
      <c r="F13" s="70">
        <f t="shared" si="1"/>
        <v>935.85799999999995</v>
      </c>
      <c r="G13" s="70">
        <f t="shared" si="2"/>
        <v>16029.772814840002</v>
      </c>
      <c r="H13" s="70">
        <f t="shared" si="3"/>
        <v>16965.630814840002</v>
      </c>
    </row>
    <row r="14" spans="1:8">
      <c r="A14" s="18">
        <v>2038</v>
      </c>
      <c r="B14" s="18" t="s">
        <v>843</v>
      </c>
      <c r="C14" s="18" t="str">
        <f t="shared" si="4"/>
        <v>Proyección</v>
      </c>
      <c r="D14" s="70">
        <f>D13*(1+IFERROR(INDEX(internacional_crecimiento!$B:$B,MATCH(A14,internacional_crecimiento!$A:$A,0)),3%))</f>
        <v>4819.6687000000002</v>
      </c>
      <c r="E14" s="70">
        <f>E13*(1+IFERROR(INDEX(internacional_crecimiento!$D:$D,MATCH(A14,internacional_crecimiento!$A:$A,0)),3%))</f>
        <v>17474.599739285204</v>
      </c>
      <c r="F14" s="70">
        <f t="shared" si="1"/>
        <v>963.93374000000006</v>
      </c>
      <c r="G14" s="70">
        <f t="shared" si="2"/>
        <v>16510.665999285204</v>
      </c>
      <c r="H14" s="70">
        <f t="shared" si="3"/>
        <v>17474.599739285204</v>
      </c>
    </row>
    <row r="15" spans="1:8">
      <c r="A15" s="18">
        <v>2039</v>
      </c>
      <c r="B15" s="18" t="s">
        <v>843</v>
      </c>
      <c r="C15" s="18" t="str">
        <f t="shared" si="4"/>
        <v>Proyección</v>
      </c>
      <c r="D15" s="70">
        <f>D14*(1+IFERROR(INDEX(internacional_crecimiento!$B:$B,MATCH(A15,internacional_crecimiento!$A:$A,0)),3%))</f>
        <v>4964.258761</v>
      </c>
      <c r="E15" s="70">
        <f>E14*(1+IFERROR(INDEX(internacional_crecimiento!$D:$D,MATCH(A15,internacional_crecimiento!$A:$A,0)),3%))</f>
        <v>17998.837731463762</v>
      </c>
      <c r="F15" s="70">
        <f t="shared" si="1"/>
        <v>992.85175219999996</v>
      </c>
      <c r="G15" s="70">
        <f t="shared" si="2"/>
        <v>17005.985979263762</v>
      </c>
      <c r="H15" s="70">
        <f t="shared" si="3"/>
        <v>17998.837731463762</v>
      </c>
    </row>
    <row r="16" spans="1:8">
      <c r="A16" s="18">
        <v>2040</v>
      </c>
      <c r="B16" s="18" t="s">
        <v>843</v>
      </c>
      <c r="C16" s="18" t="str">
        <f t="shared" si="4"/>
        <v>Proyección</v>
      </c>
      <c r="D16" s="70">
        <f>D15*(1+IFERROR(INDEX(internacional_crecimiento!$B:$B,MATCH(A16,internacional_crecimiento!$A:$A,0)),3%))</f>
        <v>5113.1865238300006</v>
      </c>
      <c r="E16" s="70">
        <f>E15*(1+IFERROR(INDEX(internacional_crecimiento!$D:$D,MATCH(A16,internacional_crecimiento!$A:$A,0)),3%))</f>
        <v>18538.802863407676</v>
      </c>
      <c r="F16" s="70">
        <f t="shared" si="1"/>
        <v>1022.6373047660002</v>
      </c>
      <c r="G16" s="70">
        <f t="shared" si="2"/>
        <v>17516.165558641675</v>
      </c>
      <c r="H16" s="70">
        <f t="shared" si="3"/>
        <v>18538.802863407676</v>
      </c>
    </row>
    <row r="17" spans="1:8">
      <c r="A17" s="18">
        <v>2041</v>
      </c>
      <c r="B17" s="18" t="s">
        <v>843</v>
      </c>
      <c r="C17" s="18" t="str">
        <f t="shared" si="4"/>
        <v>Proyección</v>
      </c>
      <c r="D17" s="70">
        <f>D16*(1+IFERROR(INDEX(internacional_crecimiento!$B:$B,MATCH(A17,internacional_crecimiento!$A:$A,0)),3%))</f>
        <v>5266.5821195449007</v>
      </c>
      <c r="E17" s="70">
        <f>E16*(1+IFERROR(INDEX(internacional_crecimiento!$D:$D,MATCH(A17,internacional_crecimiento!$A:$A,0)),3%))</f>
        <v>19094.966949309906</v>
      </c>
      <c r="F17" s="70">
        <f t="shared" si="1"/>
        <v>1053.3164239089801</v>
      </c>
      <c r="G17" s="70">
        <f t="shared" si="2"/>
        <v>18041.650525400924</v>
      </c>
      <c r="H17" s="70">
        <f t="shared" si="3"/>
        <v>19094.966949309906</v>
      </c>
    </row>
    <row r="18" spans="1:8">
      <c r="A18" s="18">
        <v>2042</v>
      </c>
      <c r="B18" s="18" t="s">
        <v>843</v>
      </c>
      <c r="C18" s="18" t="str">
        <f t="shared" si="4"/>
        <v>Proyección</v>
      </c>
      <c r="D18" s="70">
        <f>D17*(1+IFERROR(INDEX(internacional_crecimiento!$B:$B,MATCH(A18,internacional_crecimiento!$A:$A,0)),3%))</f>
        <v>5424.579583131248</v>
      </c>
      <c r="E18" s="70">
        <f>E17*(1+IFERROR(INDEX(internacional_crecimiento!$D:$D,MATCH(A18,internacional_crecimiento!$A:$A,0)),3%))</f>
        <v>19667.815957789204</v>
      </c>
      <c r="F18" s="70">
        <f t="shared" si="1"/>
        <v>1084.9159166262496</v>
      </c>
      <c r="G18" s="70">
        <f t="shared" si="2"/>
        <v>18582.900041162953</v>
      </c>
      <c r="H18" s="70">
        <f t="shared" si="3"/>
        <v>19667.815957789204</v>
      </c>
    </row>
    <row r="19" spans="1:8">
      <c r="A19" s="18">
        <v>2043</v>
      </c>
      <c r="B19" s="18" t="s">
        <v>843</v>
      </c>
      <c r="C19" s="18" t="str">
        <f t="shared" si="4"/>
        <v>Proyección</v>
      </c>
      <c r="D19" s="70">
        <f>D18*(1+IFERROR(INDEX(internacional_crecimiento!$B:$B,MATCH(A19,internacional_crecimiento!$A:$A,0)),3%))</f>
        <v>5587.3169706251856</v>
      </c>
      <c r="E19" s="70">
        <f>E18*(1+IFERROR(INDEX(internacional_crecimiento!$D:$D,MATCH(A19,internacional_crecimiento!$A:$A,0)),3%))</f>
        <v>20257.85043652288</v>
      </c>
      <c r="F19" s="70">
        <f t="shared" si="1"/>
        <v>1117.4633941250372</v>
      </c>
      <c r="G19" s="70">
        <f t="shared" si="2"/>
        <v>19140.387042397844</v>
      </c>
      <c r="H19" s="70">
        <f t="shared" si="3"/>
        <v>20257.85043652288</v>
      </c>
    </row>
    <row r="20" spans="1:8">
      <c r="A20" s="18">
        <v>2044</v>
      </c>
      <c r="B20" s="18" t="s">
        <v>843</v>
      </c>
      <c r="C20" s="18" t="str">
        <f t="shared" si="4"/>
        <v>Proyección</v>
      </c>
      <c r="D20" s="70">
        <f>D19*(1+IFERROR(INDEX(internacional_crecimiento!$B:$B,MATCH(A20,internacional_crecimiento!$A:$A,0)),3%))</f>
        <v>5754.9364797439412</v>
      </c>
      <c r="E20" s="70">
        <f>E19*(1+IFERROR(INDEX(internacional_crecimiento!$D:$D,MATCH(A20,internacional_crecimiento!$A:$A,0)),3%))</f>
        <v>20865.585949618566</v>
      </c>
      <c r="F20" s="70">
        <f t="shared" si="1"/>
        <v>1150.9872959487882</v>
      </c>
      <c r="G20" s="70">
        <f t="shared" si="2"/>
        <v>19714.598653669778</v>
      </c>
      <c r="H20" s="70">
        <f t="shared" si="3"/>
        <v>20865.585949618566</v>
      </c>
    </row>
    <row r="21" spans="1:8">
      <c r="A21" s="18">
        <v>2045</v>
      </c>
      <c r="B21" s="18" t="s">
        <v>843</v>
      </c>
      <c r="C21" s="18" t="str">
        <f t="shared" si="4"/>
        <v>Proyección</v>
      </c>
      <c r="D21" s="70">
        <f>D20*(1+IFERROR(INDEX(internacional_crecimiento!$B:$B,MATCH(A21,internacional_crecimiento!$A:$A,0)),3%))</f>
        <v>5927.5845741362591</v>
      </c>
      <c r="E21" s="70">
        <f>E20*(1+IFERROR(INDEX(internacional_crecimiento!$D:$D,MATCH(A21,internacional_crecimiento!$A:$A,0)),3%))</f>
        <v>21491.553528107124</v>
      </c>
      <c r="F21" s="70">
        <f t="shared" si="1"/>
        <v>1185.5169148272519</v>
      </c>
      <c r="G21" s="70">
        <f t="shared" si="2"/>
        <v>20306.036613279874</v>
      </c>
      <c r="H21" s="70">
        <f t="shared" si="3"/>
        <v>21491.553528107124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5"/>
  <sheetViews>
    <sheetView workbookViewId="0"/>
  </sheetViews>
  <sheetFormatPr baseColWidth="10" defaultColWidth="8.6640625" defaultRowHeight="14"/>
  <cols>
    <col min="1" max="2" width="28" customWidth="1"/>
    <col min="3" max="4" width="48" customWidth="1"/>
    <col min="5" max="5" width="28" customWidth="1"/>
  </cols>
  <sheetData>
    <row r="1" spans="1:5">
      <c r="A1" s="79" t="s">
        <v>98</v>
      </c>
      <c r="B1" s="79" t="s">
        <v>1279</v>
      </c>
      <c r="C1" s="79" t="s">
        <v>151</v>
      </c>
      <c r="D1" s="79" t="s">
        <v>1280</v>
      </c>
      <c r="E1" s="79" t="s">
        <v>1281</v>
      </c>
    </row>
    <row r="2" spans="1:5">
      <c r="A2" s="78">
        <v>2036</v>
      </c>
      <c r="B2" s="78" t="s">
        <v>1068</v>
      </c>
      <c r="C2" s="78" t="s">
        <v>1282</v>
      </c>
      <c r="D2" s="78" t="s">
        <v>1283</v>
      </c>
      <c r="E2" s="78" t="s">
        <v>1284</v>
      </c>
    </row>
    <row r="3" spans="1:5">
      <c r="A3" s="78">
        <v>2036</v>
      </c>
      <c r="B3" s="78" t="s">
        <v>1285</v>
      </c>
      <c r="C3" s="78" t="s">
        <v>1286</v>
      </c>
      <c r="D3" s="78" t="s">
        <v>1287</v>
      </c>
      <c r="E3" s="78" t="s">
        <v>1284</v>
      </c>
    </row>
    <row r="4" spans="1:5">
      <c r="A4" s="78">
        <v>2036</v>
      </c>
      <c r="B4" s="78" t="s">
        <v>1288</v>
      </c>
      <c r="C4" s="78" t="s">
        <v>1289</v>
      </c>
      <c r="D4" s="78" t="s">
        <v>1290</v>
      </c>
      <c r="E4" s="78" t="s">
        <v>1284</v>
      </c>
    </row>
    <row r="5" spans="1:5">
      <c r="A5" s="18">
        <v>2037</v>
      </c>
      <c r="B5" s="18" t="s">
        <v>1291</v>
      </c>
      <c r="C5" s="18" t="s">
        <v>1292</v>
      </c>
      <c r="D5" s="18" t="s">
        <v>1293</v>
      </c>
      <c r="E5" s="18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5"/>
  <sheetViews>
    <sheetView workbookViewId="0"/>
  </sheetViews>
  <sheetFormatPr baseColWidth="10" defaultColWidth="8.6640625" defaultRowHeight="14"/>
  <cols>
    <col min="1" max="2" width="24" customWidth="1"/>
    <col min="3" max="5" width="48" customWidth="1"/>
    <col min="6" max="6" width="24" customWidth="1"/>
  </cols>
  <sheetData>
    <row r="1" spans="1:6">
      <c r="A1" s="77" t="s">
        <v>1294</v>
      </c>
      <c r="B1" s="77" t="s">
        <v>1295</v>
      </c>
      <c r="C1" s="77" t="s">
        <v>152</v>
      </c>
      <c r="D1" s="77" t="s">
        <v>1296</v>
      </c>
      <c r="E1" s="77" t="s">
        <v>738</v>
      </c>
      <c r="F1" s="77"/>
    </row>
    <row r="2" spans="1:6">
      <c r="A2" s="18" t="s">
        <v>1297</v>
      </c>
      <c r="B2" s="18" t="s">
        <v>1298</v>
      </c>
      <c r="C2" s="18" t="s">
        <v>1299</v>
      </c>
      <c r="D2" s="18" t="s">
        <v>1300</v>
      </c>
      <c r="E2" s="18" t="s">
        <v>1301</v>
      </c>
      <c r="F2" s="18"/>
    </row>
    <row r="3" spans="1:6">
      <c r="A3" s="18" t="s">
        <v>36</v>
      </c>
      <c r="B3" s="18" t="s">
        <v>1302</v>
      </c>
      <c r="C3" s="18" t="s">
        <v>1303</v>
      </c>
      <c r="D3" s="18" t="s">
        <v>1300</v>
      </c>
      <c r="E3" s="18" t="s">
        <v>1304</v>
      </c>
      <c r="F3" s="18"/>
    </row>
    <row r="4" spans="1:6">
      <c r="A4" s="18" t="s">
        <v>37</v>
      </c>
      <c r="B4" s="18" t="s">
        <v>1305</v>
      </c>
      <c r="C4" s="18" t="s">
        <v>1306</v>
      </c>
      <c r="D4" s="18" t="s">
        <v>1300</v>
      </c>
      <c r="E4" s="18" t="s">
        <v>1307</v>
      </c>
      <c r="F4" s="18"/>
    </row>
    <row r="5" spans="1:6">
      <c r="A5" s="18" t="s">
        <v>842</v>
      </c>
      <c r="B5" s="18" t="s">
        <v>1308</v>
      </c>
      <c r="C5" s="18" t="s">
        <v>1309</v>
      </c>
      <c r="D5" s="18" t="s">
        <v>1310</v>
      </c>
      <c r="E5" s="18" t="s">
        <v>1311</v>
      </c>
      <c r="F5" s="18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10"/>
  <sheetViews>
    <sheetView workbookViewId="0"/>
  </sheetViews>
  <sheetFormatPr baseColWidth="10" defaultColWidth="8.6640625" defaultRowHeight="14"/>
  <cols>
    <col min="1" max="1" width="26" customWidth="1"/>
    <col min="2" max="2" width="105" customWidth="1"/>
  </cols>
  <sheetData>
    <row r="1" spans="1:2">
      <c r="A1" s="77" t="s">
        <v>951</v>
      </c>
      <c r="B1" s="77" t="s">
        <v>940</v>
      </c>
    </row>
    <row r="2" spans="1:2">
      <c r="A2" s="18" t="s">
        <v>1312</v>
      </c>
      <c r="B2" s="18" t="s">
        <v>1313</v>
      </c>
    </row>
    <row r="3" spans="1:2">
      <c r="A3" s="18" t="s">
        <v>1314</v>
      </c>
      <c r="B3" s="18" t="s">
        <v>1315</v>
      </c>
    </row>
    <row r="4" spans="1:2">
      <c r="A4" s="18" t="s">
        <v>1316</v>
      </c>
      <c r="B4" s="18" t="s">
        <v>1317</v>
      </c>
    </row>
    <row r="5" spans="1:2">
      <c r="A5" s="18" t="s">
        <v>1232</v>
      </c>
      <c r="B5" s="18" t="s">
        <v>1318</v>
      </c>
    </row>
    <row r="6" spans="1:2">
      <c r="A6" s="18" t="s">
        <v>1319</v>
      </c>
      <c r="B6" s="18" t="s">
        <v>1320</v>
      </c>
    </row>
    <row r="7" spans="1:2">
      <c r="A7" s="18" t="s">
        <v>1298</v>
      </c>
      <c r="B7" s="18" t="s">
        <v>1321</v>
      </c>
    </row>
    <row r="8" spans="1:2">
      <c r="A8" s="18" t="s">
        <v>1322</v>
      </c>
      <c r="B8" s="18" t="s">
        <v>1323</v>
      </c>
    </row>
    <row r="9" spans="1:2">
      <c r="A9" s="18" t="s">
        <v>1197</v>
      </c>
      <c r="B9" s="18" t="s">
        <v>1324</v>
      </c>
    </row>
    <row r="10" spans="1:2">
      <c r="A10" s="18" t="s">
        <v>130</v>
      </c>
      <c r="B10" s="18" t="s">
        <v>1325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5"/>
  <sheetViews>
    <sheetView workbookViewId="0"/>
  </sheetViews>
  <sheetFormatPr baseColWidth="10" defaultColWidth="8.6640625" defaultRowHeight="14"/>
  <cols>
    <col min="1" max="1" width="26" customWidth="1"/>
    <col min="2" max="2" width="100" customWidth="1"/>
  </cols>
  <sheetData>
    <row r="1" spans="1:2">
      <c r="A1" s="79" t="s">
        <v>951</v>
      </c>
      <c r="B1" s="79" t="s">
        <v>940</v>
      </c>
    </row>
    <row r="2" spans="1:2">
      <c r="A2" s="18" t="s">
        <v>1326</v>
      </c>
      <c r="B2" s="18" t="s">
        <v>1327</v>
      </c>
    </row>
    <row r="3" spans="1:2">
      <c r="A3" s="18" t="s">
        <v>1328</v>
      </c>
      <c r="B3" s="18" t="s">
        <v>1329</v>
      </c>
    </row>
    <row r="4" spans="1:2">
      <c r="A4" s="18" t="s">
        <v>130</v>
      </c>
      <c r="B4" s="18" t="s">
        <v>1330</v>
      </c>
    </row>
    <row r="5" spans="1:2">
      <c r="A5" s="18" t="s">
        <v>1331</v>
      </c>
      <c r="B5" s="18" t="s">
        <v>1332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7"/>
  <sheetViews>
    <sheetView workbookViewId="0"/>
  </sheetViews>
  <sheetFormatPr baseColWidth="10" defaultColWidth="8.6640625" defaultRowHeight="14"/>
  <cols>
    <col min="1" max="9" width="22" customWidth="1"/>
  </cols>
  <sheetData>
    <row r="1" spans="1:9" ht="28">
      <c r="A1" s="80" t="s">
        <v>98</v>
      </c>
      <c r="B1" s="80" t="s">
        <v>37</v>
      </c>
      <c r="C1" s="80" t="s">
        <v>1277</v>
      </c>
      <c r="D1" s="80" t="s">
        <v>1333</v>
      </c>
      <c r="E1" s="80" t="s">
        <v>1334</v>
      </c>
      <c r="F1" s="80" t="s">
        <v>1278</v>
      </c>
      <c r="G1" s="80" t="s">
        <v>1335</v>
      </c>
      <c r="H1" s="80" t="s">
        <v>1336</v>
      </c>
      <c r="I1" s="80" t="s">
        <v>1337</v>
      </c>
    </row>
    <row r="2" spans="1:9">
      <c r="A2" s="81">
        <v>2036</v>
      </c>
      <c r="B2" s="81" t="s">
        <v>105</v>
      </c>
      <c r="C2" s="81"/>
      <c r="D2" s="81"/>
      <c r="E2" s="81"/>
      <c r="F2" s="81"/>
      <c r="G2" s="81"/>
      <c r="H2" s="81"/>
      <c r="I2" s="81" t="s">
        <v>1338</v>
      </c>
    </row>
    <row r="3" spans="1:9">
      <c r="A3" s="81">
        <v>2036</v>
      </c>
      <c r="B3" s="81" t="s">
        <v>106</v>
      </c>
      <c r="C3" s="81"/>
      <c r="D3" s="81"/>
      <c r="E3" s="81"/>
      <c r="F3" s="81"/>
      <c r="G3" s="81"/>
      <c r="H3" s="81"/>
      <c r="I3" s="81" t="s">
        <v>1338</v>
      </c>
    </row>
    <row r="4" spans="1:9">
      <c r="A4" s="81">
        <v>2036</v>
      </c>
      <c r="B4" s="81" t="s">
        <v>1110</v>
      </c>
      <c r="C4" s="81"/>
      <c r="D4" s="81"/>
      <c r="E4" s="81"/>
      <c r="F4" s="81"/>
      <c r="G4" s="81" t="s">
        <v>1339</v>
      </c>
      <c r="H4" s="81" t="s">
        <v>1340</v>
      </c>
      <c r="I4" s="81" t="s">
        <v>1338</v>
      </c>
    </row>
    <row r="5" spans="1:9">
      <c r="A5" s="18">
        <v>2037</v>
      </c>
      <c r="B5" s="18" t="s">
        <v>105</v>
      </c>
      <c r="C5" s="18"/>
      <c r="D5" s="18"/>
      <c r="E5" s="18"/>
      <c r="F5" s="18"/>
      <c r="G5" s="18"/>
      <c r="H5" s="18"/>
      <c r="I5" s="18"/>
    </row>
    <row r="6" spans="1:9">
      <c r="A6" s="18">
        <v>2037</v>
      </c>
      <c r="B6" s="18" t="s">
        <v>106</v>
      </c>
      <c r="C6" s="18"/>
      <c r="D6" s="18"/>
      <c r="E6" s="18"/>
      <c r="F6" s="18"/>
      <c r="G6" s="18"/>
      <c r="H6" s="18"/>
      <c r="I6" s="18"/>
    </row>
    <row r="7" spans="1:9" ht="28">
      <c r="A7" s="18">
        <v>2037</v>
      </c>
      <c r="B7" s="18" t="s">
        <v>1110</v>
      </c>
      <c r="C7" s="18"/>
      <c r="D7" s="18"/>
      <c r="E7" s="18"/>
      <c r="F7" s="18"/>
      <c r="G7" s="18"/>
      <c r="H7" s="18"/>
      <c r="I7" s="18" t="s">
        <v>1341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0" t="s">
        <v>951</v>
      </c>
      <c r="B1" s="80" t="s">
        <v>940</v>
      </c>
    </row>
    <row r="2" spans="1:2">
      <c r="A2" s="18" t="s">
        <v>1232</v>
      </c>
      <c r="B2" s="18" t="s">
        <v>1342</v>
      </c>
    </row>
    <row r="3" spans="1:2">
      <c r="A3" s="18" t="s">
        <v>1343</v>
      </c>
      <c r="B3" s="18" t="s">
        <v>1344</v>
      </c>
    </row>
    <row r="4" spans="1:2">
      <c r="A4" s="18" t="s">
        <v>744</v>
      </c>
      <c r="B4" s="18" t="s">
        <v>1345</v>
      </c>
    </row>
    <row r="5" spans="1:2">
      <c r="A5" s="18" t="s">
        <v>1346</v>
      </c>
      <c r="B5" s="18" t="s">
        <v>1347</v>
      </c>
    </row>
    <row r="6" spans="1:2">
      <c r="A6" s="18" t="s">
        <v>1072</v>
      </c>
      <c r="B6" s="18" t="s">
        <v>1348</v>
      </c>
    </row>
    <row r="7" spans="1:2">
      <c r="A7" s="18" t="s">
        <v>1349</v>
      </c>
      <c r="B7" s="18" t="s">
        <v>1350</v>
      </c>
    </row>
    <row r="8" spans="1:2">
      <c r="A8" s="18" t="s">
        <v>1248</v>
      </c>
      <c r="B8" s="18" t="s">
        <v>1351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81"/>
  <sheetViews>
    <sheetView tabSelected="1" workbookViewId="0">
      <selection activeCell="F3" sqref="F3"/>
    </sheetView>
  </sheetViews>
  <sheetFormatPr baseColWidth="10" defaultColWidth="8.6640625" defaultRowHeight="14"/>
  <cols>
    <col min="1" max="6" width="16" customWidth="1"/>
    <col min="7" max="7" width="78" customWidth="1"/>
  </cols>
  <sheetData>
    <row r="1" spans="1:7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1352</v>
      </c>
      <c r="G1" s="82" t="s">
        <v>738</v>
      </c>
    </row>
    <row r="2" spans="1:7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v>9912</v>
      </c>
      <c r="G2" s="18" t="s">
        <v>1353</v>
      </c>
    </row>
    <row r="3" spans="1:7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v>0</v>
      </c>
      <c r="G3" s="18" t="s">
        <v>1353</v>
      </c>
    </row>
    <row r="4" spans="1:7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v>2023</v>
      </c>
      <c r="G4" s="18" t="s">
        <v>1353</v>
      </c>
    </row>
    <row r="5" spans="1:7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/>
      <c r="G5" s="18" t="s">
        <v>1353</v>
      </c>
    </row>
    <row r="6" spans="1:7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v>1697</v>
      </c>
      <c r="G6" s="18" t="s">
        <v>1353</v>
      </c>
    </row>
    <row r="7" spans="1:7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/>
      <c r="G7" s="18" t="s">
        <v>1353</v>
      </c>
    </row>
    <row r="8" spans="1:7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v>2702</v>
      </c>
      <c r="G8" s="18" t="s">
        <v>1353</v>
      </c>
    </row>
    <row r="9" spans="1:7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/>
      <c r="G9" s="18" t="s">
        <v>1353</v>
      </c>
    </row>
    <row r="10" spans="1:7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v>3107</v>
      </c>
      <c r="G10" s="18" t="s">
        <v>1353</v>
      </c>
    </row>
    <row r="11" spans="1:7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/>
      <c r="G11" s="18" t="s">
        <v>1353</v>
      </c>
    </row>
    <row r="12" spans="1:7">
      <c r="A12" s="18">
        <v>2027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v>3104</v>
      </c>
      <c r="G12" s="18" t="s">
        <v>1353</v>
      </c>
    </row>
    <row r="13" spans="1:7">
      <c r="A13" s="18">
        <v>2027</v>
      </c>
      <c r="B13" s="18" t="s">
        <v>846</v>
      </c>
      <c r="C13" s="18">
        <v>2027</v>
      </c>
      <c r="D13" s="18" t="s">
        <v>106</v>
      </c>
      <c r="E13" s="18" t="s">
        <v>849</v>
      </c>
      <c r="F13" s="70"/>
      <c r="G13" s="18" t="s">
        <v>1353</v>
      </c>
    </row>
    <row r="14" spans="1:7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v>4809</v>
      </c>
      <c r="G14" s="18" t="s">
        <v>1353</v>
      </c>
    </row>
    <row r="15" spans="1:7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/>
      <c r="G15" s="18" t="s">
        <v>1353</v>
      </c>
    </row>
    <row r="16" spans="1:7">
      <c r="A16" s="18">
        <v>2027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v>3528</v>
      </c>
      <c r="G16" s="18" t="s">
        <v>1353</v>
      </c>
    </row>
    <row r="17" spans="1:7">
      <c r="A17" s="18">
        <v>2027</v>
      </c>
      <c r="B17" s="18" t="s">
        <v>847</v>
      </c>
      <c r="C17" s="18">
        <v>2027</v>
      </c>
      <c r="D17" s="18" t="s">
        <v>106</v>
      </c>
      <c r="E17" s="18" t="s">
        <v>849</v>
      </c>
      <c r="F17" s="70"/>
      <c r="G17" s="18" t="s">
        <v>1353</v>
      </c>
    </row>
    <row r="18" spans="1:7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v>5886</v>
      </c>
      <c r="G18" s="18" t="s">
        <v>1353</v>
      </c>
    </row>
    <row r="19" spans="1:7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/>
      <c r="G19" s="18" t="s">
        <v>1353</v>
      </c>
    </row>
    <row r="20" spans="1:7">
      <c r="A20" s="18">
        <v>2027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v>3798</v>
      </c>
      <c r="G20" s="18" t="s">
        <v>1353</v>
      </c>
    </row>
    <row r="21" spans="1:7">
      <c r="A21" s="18">
        <v>2027</v>
      </c>
      <c r="B21" s="18" t="s">
        <v>848</v>
      </c>
      <c r="C21" s="18">
        <v>2027</v>
      </c>
      <c r="D21" s="18" t="s">
        <v>106</v>
      </c>
      <c r="E21" s="18" t="s">
        <v>849</v>
      </c>
      <c r="F21" s="70"/>
      <c r="G21" s="18" t="s">
        <v>1353</v>
      </c>
    </row>
    <row r="22" spans="1:7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v>7563</v>
      </c>
      <c r="G22" s="18" t="s">
        <v>1353</v>
      </c>
    </row>
    <row r="23" spans="1:7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/>
      <c r="G23" s="18" t="s">
        <v>1353</v>
      </c>
    </row>
    <row r="24" spans="1:7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v>4070</v>
      </c>
      <c r="G24" s="18" t="s">
        <v>1353</v>
      </c>
    </row>
    <row r="25" spans="1:7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/>
      <c r="G25" s="18" t="s">
        <v>1353</v>
      </c>
    </row>
    <row r="26" spans="1:7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v>8762</v>
      </c>
      <c r="G26" s="18" t="s">
        <v>1353</v>
      </c>
    </row>
    <row r="27" spans="1:7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/>
      <c r="G27" s="18" t="s">
        <v>1353</v>
      </c>
    </row>
    <row r="28" spans="1:7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v>4672</v>
      </c>
      <c r="G28" s="18" t="s">
        <v>1353</v>
      </c>
    </row>
    <row r="29" spans="1:7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/>
      <c r="G29" s="18" t="s">
        <v>1353</v>
      </c>
    </row>
    <row r="30" spans="1:7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v>9833</v>
      </c>
      <c r="G30" s="18" t="s">
        <v>1353</v>
      </c>
    </row>
    <row r="31" spans="1:7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/>
      <c r="G31" s="18" t="s">
        <v>1353</v>
      </c>
    </row>
    <row r="32" spans="1:7">
      <c r="A32" s="18">
        <v>2028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v>4949</v>
      </c>
      <c r="G32" s="18" t="s">
        <v>1353</v>
      </c>
    </row>
    <row r="33" spans="1:7">
      <c r="A33" s="18">
        <v>2028</v>
      </c>
      <c r="B33" s="18" t="s">
        <v>846</v>
      </c>
      <c r="C33" s="18">
        <v>2028</v>
      </c>
      <c r="D33" s="18" t="s">
        <v>106</v>
      </c>
      <c r="E33" s="18" t="s">
        <v>849</v>
      </c>
      <c r="F33" s="70"/>
      <c r="G33" s="18" t="s">
        <v>1353</v>
      </c>
    </row>
    <row r="34" spans="1:7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v>11303</v>
      </c>
      <c r="G34" s="18" t="s">
        <v>1353</v>
      </c>
    </row>
    <row r="35" spans="1:7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/>
      <c r="G35" s="18" t="s">
        <v>1353</v>
      </c>
    </row>
    <row r="36" spans="1:7">
      <c r="A36" s="18">
        <v>2028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v>5352</v>
      </c>
      <c r="G36" s="18" t="s">
        <v>1353</v>
      </c>
    </row>
    <row r="37" spans="1:7">
      <c r="A37" s="18">
        <v>2028</v>
      </c>
      <c r="B37" s="18" t="s">
        <v>847</v>
      </c>
      <c r="C37" s="18">
        <v>2028</v>
      </c>
      <c r="D37" s="18" t="s">
        <v>106</v>
      </c>
      <c r="E37" s="18" t="s">
        <v>849</v>
      </c>
      <c r="F37" s="70"/>
      <c r="G37" s="18" t="s">
        <v>1353</v>
      </c>
    </row>
    <row r="38" spans="1:7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v>12071</v>
      </c>
      <c r="G38" s="18" t="s">
        <v>1353</v>
      </c>
    </row>
    <row r="39" spans="1:7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/>
      <c r="G39" s="18" t="s">
        <v>1353</v>
      </c>
    </row>
    <row r="40" spans="1:7">
      <c r="A40" s="18">
        <v>2028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v>5847</v>
      </c>
      <c r="G40" s="18" t="s">
        <v>1353</v>
      </c>
    </row>
    <row r="41" spans="1:7">
      <c r="A41" s="18">
        <v>2028</v>
      </c>
      <c r="B41" s="18" t="s">
        <v>848</v>
      </c>
      <c r="C41" s="18">
        <v>2028</v>
      </c>
      <c r="D41" s="18" t="s">
        <v>106</v>
      </c>
      <c r="E41" s="18" t="s">
        <v>849</v>
      </c>
      <c r="F41" s="70"/>
      <c r="G41" s="18" t="s">
        <v>1353</v>
      </c>
    </row>
    <row r="42" spans="1:7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v>13052</v>
      </c>
      <c r="G42" s="18" t="s">
        <v>1353</v>
      </c>
    </row>
    <row r="43" spans="1:7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/>
      <c r="G43" s="18" t="s">
        <v>1353</v>
      </c>
    </row>
    <row r="44" spans="1:7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v>6377</v>
      </c>
      <c r="G44" s="18" t="s">
        <v>1353</v>
      </c>
    </row>
    <row r="45" spans="1:7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/>
      <c r="G45" s="18" t="s">
        <v>1353</v>
      </c>
    </row>
    <row r="46" spans="1:7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v>13294</v>
      </c>
      <c r="G46" s="18" t="s">
        <v>1353</v>
      </c>
    </row>
    <row r="47" spans="1:7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/>
      <c r="G47" s="18" t="s">
        <v>1353</v>
      </c>
    </row>
    <row r="48" spans="1:7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v>6525</v>
      </c>
      <c r="G48" s="18" t="s">
        <v>1353</v>
      </c>
    </row>
    <row r="49" spans="1:7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/>
      <c r="G49" s="18" t="s">
        <v>1353</v>
      </c>
    </row>
    <row r="50" spans="1:7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v>13470</v>
      </c>
      <c r="G50" s="18" t="s">
        <v>1353</v>
      </c>
    </row>
    <row r="51" spans="1:7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/>
      <c r="G51" s="18" t="s">
        <v>1353</v>
      </c>
    </row>
    <row r="52" spans="1:7">
      <c r="A52" s="18">
        <v>2029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v>6633</v>
      </c>
      <c r="G52" s="18" t="s">
        <v>1353</v>
      </c>
    </row>
    <row r="53" spans="1:7">
      <c r="A53" s="18">
        <v>2029</v>
      </c>
      <c r="B53" s="18" t="s">
        <v>846</v>
      </c>
      <c r="C53" s="18">
        <v>2029</v>
      </c>
      <c r="D53" s="18" t="s">
        <v>106</v>
      </c>
      <c r="E53" s="18" t="s">
        <v>849</v>
      </c>
      <c r="F53" s="70"/>
      <c r="G53" s="18" t="s">
        <v>1353</v>
      </c>
    </row>
    <row r="54" spans="1:7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v>13844</v>
      </c>
      <c r="G54" s="18" t="s">
        <v>1353</v>
      </c>
    </row>
    <row r="55" spans="1:7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/>
      <c r="G55" s="18" t="s">
        <v>1353</v>
      </c>
    </row>
    <row r="56" spans="1:7">
      <c r="A56" s="18">
        <v>2029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v>7373</v>
      </c>
      <c r="G56" s="18" t="s">
        <v>1353</v>
      </c>
    </row>
    <row r="57" spans="1:7">
      <c r="A57" s="18">
        <v>2029</v>
      </c>
      <c r="B57" s="18" t="s">
        <v>847</v>
      </c>
      <c r="C57" s="18">
        <v>2029</v>
      </c>
      <c r="D57" s="18" t="s">
        <v>106</v>
      </c>
      <c r="E57" s="18" t="s">
        <v>849</v>
      </c>
      <c r="F57" s="70"/>
      <c r="G57" s="18" t="s">
        <v>1353</v>
      </c>
    </row>
    <row r="58" spans="1:7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v>14119</v>
      </c>
      <c r="G58" s="18" t="s">
        <v>1353</v>
      </c>
    </row>
    <row r="59" spans="1:7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/>
      <c r="G59" s="18" t="s">
        <v>1353</v>
      </c>
    </row>
    <row r="60" spans="1:7">
      <c r="A60" s="18">
        <v>2029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v>7521</v>
      </c>
      <c r="G60" s="18" t="s">
        <v>1353</v>
      </c>
    </row>
    <row r="61" spans="1:7">
      <c r="A61" s="18">
        <v>2029</v>
      </c>
      <c r="B61" s="18" t="s">
        <v>848</v>
      </c>
      <c r="C61" s="18">
        <v>2029</v>
      </c>
      <c r="D61" s="18" t="s">
        <v>106</v>
      </c>
      <c r="E61" s="18" t="s">
        <v>849</v>
      </c>
      <c r="F61" s="70"/>
      <c r="G61" s="18" t="s">
        <v>1353</v>
      </c>
    </row>
    <row r="62" spans="1:7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v>14902</v>
      </c>
      <c r="G62" s="18" t="s">
        <v>1353</v>
      </c>
    </row>
    <row r="63" spans="1:7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/>
      <c r="G63" s="18" t="s">
        <v>1353</v>
      </c>
    </row>
    <row r="64" spans="1:7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v>7764</v>
      </c>
      <c r="G64" s="18" t="s">
        <v>1353</v>
      </c>
    </row>
    <row r="65" spans="1:7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/>
      <c r="G65" s="18" t="s">
        <v>1353</v>
      </c>
    </row>
    <row r="66" spans="1:7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v>15196</v>
      </c>
      <c r="G66" s="18" t="s">
        <v>1353</v>
      </c>
    </row>
    <row r="67" spans="1:7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/>
      <c r="G67" s="18" t="s">
        <v>1353</v>
      </c>
    </row>
    <row r="68" spans="1:7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v>8479</v>
      </c>
      <c r="G68" s="18" t="s">
        <v>1353</v>
      </c>
    </row>
    <row r="69" spans="1:7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/>
      <c r="G69" s="18" t="s">
        <v>1353</v>
      </c>
    </row>
    <row r="70" spans="1:7">
      <c r="A70" s="18">
        <v>2030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v>14986</v>
      </c>
      <c r="G70" s="18" t="s">
        <v>1353</v>
      </c>
    </row>
    <row r="71" spans="1:7">
      <c r="A71" s="18">
        <v>2030</v>
      </c>
      <c r="B71" s="18" t="s">
        <v>846</v>
      </c>
      <c r="C71" s="18">
        <v>2030</v>
      </c>
      <c r="D71" s="18" t="s">
        <v>105</v>
      </c>
      <c r="E71" s="18" t="s">
        <v>849</v>
      </c>
      <c r="F71" s="70"/>
      <c r="G71" s="18" t="s">
        <v>1353</v>
      </c>
    </row>
    <row r="72" spans="1:7">
      <c r="A72" s="18">
        <v>2030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v>8122</v>
      </c>
      <c r="G72" s="18" t="s">
        <v>1353</v>
      </c>
    </row>
    <row r="73" spans="1:7">
      <c r="A73" s="18">
        <v>2030</v>
      </c>
      <c r="B73" s="18" t="s">
        <v>846</v>
      </c>
      <c r="C73" s="18">
        <v>2030</v>
      </c>
      <c r="D73" s="18" t="s">
        <v>106</v>
      </c>
      <c r="E73" s="18" t="s">
        <v>849</v>
      </c>
      <c r="F73" s="70"/>
      <c r="G73" s="18" t="s">
        <v>1353</v>
      </c>
    </row>
    <row r="74" spans="1:7">
      <c r="A74" s="18">
        <v>2030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v>15496</v>
      </c>
      <c r="G74" s="18" t="s">
        <v>1353</v>
      </c>
    </row>
    <row r="75" spans="1:7">
      <c r="A75" s="18">
        <v>2030</v>
      </c>
      <c r="B75" s="18" t="s">
        <v>847</v>
      </c>
      <c r="C75" s="18">
        <v>2030</v>
      </c>
      <c r="D75" s="18" t="s">
        <v>105</v>
      </c>
      <c r="E75" s="18" t="s">
        <v>849</v>
      </c>
      <c r="F75" s="70"/>
      <c r="G75" s="18" t="s">
        <v>1353</v>
      </c>
    </row>
    <row r="76" spans="1:7">
      <c r="A76" s="18">
        <v>2030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v>9538</v>
      </c>
      <c r="G76" s="18" t="s">
        <v>1353</v>
      </c>
    </row>
    <row r="77" spans="1:7">
      <c r="A77" s="18">
        <v>2030</v>
      </c>
      <c r="B77" s="18" t="s">
        <v>847</v>
      </c>
      <c r="C77" s="18">
        <v>2030</v>
      </c>
      <c r="D77" s="18" t="s">
        <v>106</v>
      </c>
      <c r="E77" s="18" t="s">
        <v>849</v>
      </c>
      <c r="F77" s="70"/>
      <c r="G77" s="18" t="s">
        <v>1353</v>
      </c>
    </row>
    <row r="78" spans="1:7">
      <c r="A78" s="18">
        <v>2030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v>15802</v>
      </c>
      <c r="G78" s="18" t="s">
        <v>1353</v>
      </c>
    </row>
    <row r="79" spans="1:7">
      <c r="A79" s="18">
        <v>2030</v>
      </c>
      <c r="B79" s="18" t="s">
        <v>848</v>
      </c>
      <c r="C79" s="18">
        <v>2030</v>
      </c>
      <c r="D79" s="18" t="s">
        <v>105</v>
      </c>
      <c r="E79" s="18" t="s">
        <v>849</v>
      </c>
      <c r="F79" s="70"/>
      <c r="G79" s="18" t="s">
        <v>1353</v>
      </c>
    </row>
    <row r="80" spans="1:7">
      <c r="A80" s="18">
        <v>2030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v>10052</v>
      </c>
      <c r="G80" s="18" t="s">
        <v>1353</v>
      </c>
    </row>
    <row r="81" spans="1:7">
      <c r="A81" s="18">
        <v>2030</v>
      </c>
      <c r="B81" s="18" t="s">
        <v>848</v>
      </c>
      <c r="C81" s="18">
        <v>2030</v>
      </c>
      <c r="D81" s="18" t="s">
        <v>106</v>
      </c>
      <c r="E81" s="18" t="s">
        <v>849</v>
      </c>
      <c r="F81" s="70"/>
      <c r="G81" s="18" t="s">
        <v>1353</v>
      </c>
    </row>
  </sheetData>
  <autoFilter ref="A1:G81" xr:uid="{00000000-0001-0000-3F00-000000000000}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E430-F33B-49EE-861E-5AB361478164}">
  <dimension ref="A1:E30"/>
  <sheetViews>
    <sheetView workbookViewId="0">
      <selection activeCell="D10" sqref="D10"/>
    </sheetView>
  </sheetViews>
  <sheetFormatPr baseColWidth="10" defaultRowHeight="14"/>
  <sheetData>
    <row r="1" spans="1:5" ht="28">
      <c r="A1" s="101" t="s">
        <v>841</v>
      </c>
      <c r="B1" s="102" t="s">
        <v>39</v>
      </c>
      <c r="C1" s="102" t="s">
        <v>37</v>
      </c>
      <c r="D1" s="102" t="s">
        <v>38</v>
      </c>
      <c r="E1" s="101" t="s">
        <v>1334</v>
      </c>
    </row>
    <row r="2" spans="1:5">
      <c r="A2" s="100">
        <v>2026</v>
      </c>
      <c r="B2" s="6" t="s">
        <v>846</v>
      </c>
      <c r="C2" s="6" t="s">
        <v>105</v>
      </c>
      <c r="D2" s="6" t="s">
        <v>844</v>
      </c>
      <c r="E2" s="100" t="s">
        <v>1439</v>
      </c>
    </row>
    <row r="3" spans="1:5">
      <c r="A3" s="100">
        <v>2026</v>
      </c>
      <c r="B3" s="6" t="s">
        <v>1440</v>
      </c>
      <c r="C3" s="6" t="s">
        <v>105</v>
      </c>
      <c r="D3" s="6" t="s">
        <v>844</v>
      </c>
      <c r="E3" s="100" t="s">
        <v>1439</v>
      </c>
    </row>
    <row r="4" spans="1:5">
      <c r="A4" s="100">
        <v>2026</v>
      </c>
      <c r="B4" s="6" t="s">
        <v>1441</v>
      </c>
      <c r="C4" s="6" t="s">
        <v>105</v>
      </c>
      <c r="D4" s="6" t="s">
        <v>844</v>
      </c>
      <c r="E4" s="100">
        <v>9820</v>
      </c>
    </row>
    <row r="5" spans="1:5">
      <c r="A5" s="100">
        <v>2026</v>
      </c>
      <c r="B5" s="6" t="s">
        <v>846</v>
      </c>
      <c r="C5" s="6" t="s">
        <v>106</v>
      </c>
      <c r="D5" s="6" t="s">
        <v>844</v>
      </c>
      <c r="E5" s="100" t="s">
        <v>1439</v>
      </c>
    </row>
    <row r="6" spans="1:5">
      <c r="A6" s="100">
        <v>2026</v>
      </c>
      <c r="B6" s="6" t="s">
        <v>1440</v>
      </c>
      <c r="C6" s="6" t="s">
        <v>106</v>
      </c>
      <c r="D6" s="6" t="s">
        <v>844</v>
      </c>
      <c r="E6" s="100" t="s">
        <v>1439</v>
      </c>
    </row>
    <row r="7" spans="1:5">
      <c r="A7" s="100">
        <v>2026</v>
      </c>
      <c r="B7" s="6" t="s">
        <v>1441</v>
      </c>
      <c r="C7" s="6" t="s">
        <v>106</v>
      </c>
      <c r="D7" s="6" t="s">
        <v>844</v>
      </c>
      <c r="E7" s="100">
        <v>6185</v>
      </c>
    </row>
    <row r="8" spans="1:5">
      <c r="A8" s="100">
        <v>2027</v>
      </c>
      <c r="B8" s="6" t="s">
        <v>846</v>
      </c>
      <c r="C8" s="6" t="s">
        <v>105</v>
      </c>
      <c r="D8" s="6" t="s">
        <v>844</v>
      </c>
      <c r="E8">
        <v>7800</v>
      </c>
    </row>
    <row r="9" spans="1:5">
      <c r="A9" s="100">
        <v>2027</v>
      </c>
      <c r="B9" s="6" t="s">
        <v>1440</v>
      </c>
      <c r="C9" s="6" t="s">
        <v>105</v>
      </c>
      <c r="D9" s="6" t="s">
        <v>844</v>
      </c>
      <c r="E9" s="100">
        <v>5810</v>
      </c>
    </row>
    <row r="10" spans="1:5">
      <c r="A10" s="100">
        <v>2027</v>
      </c>
      <c r="B10" s="6" t="s">
        <v>1441</v>
      </c>
      <c r="C10" s="6" t="s">
        <v>105</v>
      </c>
      <c r="D10" s="6" t="s">
        <v>844</v>
      </c>
      <c r="E10" s="100">
        <v>3800</v>
      </c>
    </row>
    <row r="11" spans="1:5">
      <c r="A11" s="100">
        <v>2027</v>
      </c>
      <c r="B11" s="6" t="s">
        <v>846</v>
      </c>
      <c r="C11" s="6" t="s">
        <v>106</v>
      </c>
      <c r="D11" s="6" t="s">
        <v>844</v>
      </c>
      <c r="E11" s="100">
        <v>5709</v>
      </c>
    </row>
    <row r="12" spans="1:5">
      <c r="A12" s="100">
        <v>2027</v>
      </c>
      <c r="B12" s="6" t="s">
        <v>1440</v>
      </c>
      <c r="C12" s="6" t="s">
        <v>106</v>
      </c>
      <c r="D12" s="6" t="s">
        <v>844</v>
      </c>
      <c r="E12" s="100">
        <v>5500</v>
      </c>
    </row>
    <row r="13" spans="1:5">
      <c r="A13" s="100">
        <v>2027</v>
      </c>
      <c r="B13" s="6" t="s">
        <v>1441</v>
      </c>
      <c r="C13" s="6" t="s">
        <v>106</v>
      </c>
      <c r="D13" s="6" t="s">
        <v>844</v>
      </c>
      <c r="E13" s="100">
        <v>5100</v>
      </c>
    </row>
    <row r="14" spans="1:5">
      <c r="A14" s="100">
        <v>2028</v>
      </c>
      <c r="B14" s="6" t="s">
        <v>846</v>
      </c>
      <c r="C14" s="6" t="s">
        <v>105</v>
      </c>
      <c r="D14" s="6" t="s">
        <v>844</v>
      </c>
      <c r="E14" s="100">
        <v>1800</v>
      </c>
    </row>
    <row r="15" spans="1:5">
      <c r="A15" s="100">
        <v>2028</v>
      </c>
      <c r="B15" s="6" t="s">
        <v>1440</v>
      </c>
      <c r="C15" s="6" t="s">
        <v>105</v>
      </c>
      <c r="D15" s="6" t="s">
        <v>844</v>
      </c>
      <c r="E15" s="100">
        <v>1000</v>
      </c>
    </row>
    <row r="16" spans="1:5">
      <c r="A16" s="100">
        <v>2028</v>
      </c>
      <c r="B16" s="6" t="s">
        <v>1441</v>
      </c>
      <c r="C16" s="6" t="s">
        <v>105</v>
      </c>
      <c r="D16" s="6" t="s">
        <v>844</v>
      </c>
    </row>
    <row r="17" spans="1:5">
      <c r="A17" s="100">
        <v>2028</v>
      </c>
      <c r="B17" s="6" t="s">
        <v>846</v>
      </c>
      <c r="C17" s="6" t="s">
        <v>106</v>
      </c>
      <c r="D17" s="6" t="s">
        <v>844</v>
      </c>
      <c r="E17" s="100">
        <v>4756</v>
      </c>
    </row>
    <row r="18" spans="1:5">
      <c r="A18" s="100">
        <v>2028</v>
      </c>
      <c r="B18" s="6" t="s">
        <v>1440</v>
      </c>
      <c r="C18" s="6" t="s">
        <v>106</v>
      </c>
      <c r="D18" s="6" t="s">
        <v>844</v>
      </c>
      <c r="E18" s="100">
        <v>4225</v>
      </c>
    </row>
    <row r="19" spans="1:5">
      <c r="A19" s="100">
        <v>2028</v>
      </c>
      <c r="B19" s="6" t="s">
        <v>1441</v>
      </c>
      <c r="C19" s="6" t="s">
        <v>106</v>
      </c>
      <c r="D19" s="6" t="s">
        <v>844</v>
      </c>
      <c r="E19" s="100">
        <v>3976</v>
      </c>
    </row>
    <row r="20" spans="1:5">
      <c r="A20" s="100">
        <v>2029</v>
      </c>
      <c r="B20" s="6" t="s">
        <v>846</v>
      </c>
      <c r="C20" s="6" t="s">
        <v>105</v>
      </c>
      <c r="D20" s="6" t="s">
        <v>844</v>
      </c>
    </row>
    <row r="21" spans="1:5">
      <c r="A21" s="100">
        <v>2029</v>
      </c>
      <c r="B21" s="6" t="s">
        <v>1440</v>
      </c>
      <c r="C21" s="6" t="s">
        <v>105</v>
      </c>
      <c r="D21" s="6" t="s">
        <v>844</v>
      </c>
    </row>
    <row r="22" spans="1:5">
      <c r="A22" s="100">
        <v>2029</v>
      </c>
      <c r="B22" s="6" t="s">
        <v>1441</v>
      </c>
      <c r="C22" s="6" t="s">
        <v>105</v>
      </c>
      <c r="D22" s="6" t="s">
        <v>844</v>
      </c>
    </row>
    <row r="23" spans="1:5">
      <c r="A23" s="100">
        <v>2029</v>
      </c>
      <c r="B23" s="6" t="s">
        <v>846</v>
      </c>
      <c r="C23" s="6" t="s">
        <v>106</v>
      </c>
      <c r="D23" s="6" t="s">
        <v>844</v>
      </c>
      <c r="E23" s="100">
        <v>3745</v>
      </c>
    </row>
    <row r="24" spans="1:5">
      <c r="A24" s="100">
        <v>2029</v>
      </c>
      <c r="B24" s="6" t="s">
        <v>1440</v>
      </c>
      <c r="C24" s="6" t="s">
        <v>106</v>
      </c>
      <c r="D24" s="6" t="s">
        <v>844</v>
      </c>
      <c r="E24" s="100">
        <v>3500</v>
      </c>
    </row>
    <row r="25" spans="1:5">
      <c r="A25" s="100">
        <v>2029</v>
      </c>
      <c r="B25" s="6" t="s">
        <v>1441</v>
      </c>
      <c r="C25" s="6" t="s">
        <v>106</v>
      </c>
      <c r="D25" s="6" t="s">
        <v>844</v>
      </c>
      <c r="E25" s="100">
        <v>2900</v>
      </c>
    </row>
    <row r="26" spans="1:5">
      <c r="A26" s="100">
        <v>2030</v>
      </c>
      <c r="B26" s="6" t="s">
        <v>846</v>
      </c>
      <c r="C26" s="6" t="s">
        <v>106</v>
      </c>
      <c r="D26" s="6" t="s">
        <v>1442</v>
      </c>
      <c r="E26" s="100">
        <v>2056</v>
      </c>
    </row>
    <row r="27" spans="1:5">
      <c r="A27" s="100">
        <v>2030</v>
      </c>
      <c r="B27" s="6" t="s">
        <v>1440</v>
      </c>
      <c r="C27" s="6" t="s">
        <v>106</v>
      </c>
      <c r="D27" s="6" t="s">
        <v>1442</v>
      </c>
      <c r="E27" s="100">
        <v>1656</v>
      </c>
    </row>
    <row r="28" spans="1:5">
      <c r="A28" s="100">
        <v>2030</v>
      </c>
      <c r="B28" s="6" t="s">
        <v>1441</v>
      </c>
      <c r="C28" s="6" t="s">
        <v>106</v>
      </c>
      <c r="D28" s="6" t="s">
        <v>1442</v>
      </c>
      <c r="E28" s="100">
        <v>1045</v>
      </c>
    </row>
    <row r="29" spans="1:5">
      <c r="A29" s="100">
        <v>2031</v>
      </c>
      <c r="B29" s="6" t="s">
        <v>846</v>
      </c>
      <c r="C29" s="6" t="s">
        <v>106</v>
      </c>
      <c r="D29" s="6" t="s">
        <v>1442</v>
      </c>
      <c r="E29" s="100">
        <v>645</v>
      </c>
    </row>
    <row r="30" spans="1:5">
      <c r="A30" s="100"/>
      <c r="B30" s="6"/>
      <c r="C30" s="6"/>
      <c r="D30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6061-0178-47FC-A024-05B4CBF4A196}">
  <dimension ref="A1:F104"/>
  <sheetViews>
    <sheetView topLeftCell="A99" workbookViewId="0">
      <selection activeCell="E104" sqref="E104"/>
    </sheetView>
  </sheetViews>
  <sheetFormatPr baseColWidth="10" defaultRowHeight="14"/>
  <cols>
    <col min="5" max="5" width="10.6640625" style="26"/>
  </cols>
  <sheetData>
    <row r="1" spans="1:6" ht="28">
      <c r="A1" s="101" t="s">
        <v>841</v>
      </c>
      <c r="B1" s="102" t="s">
        <v>39</v>
      </c>
      <c r="C1" s="102" t="s">
        <v>37</v>
      </c>
      <c r="D1" s="102" t="s">
        <v>1444</v>
      </c>
      <c r="E1" s="103" t="s">
        <v>842</v>
      </c>
      <c r="F1" s="101" t="s">
        <v>1445</v>
      </c>
    </row>
    <row r="2" spans="1:6">
      <c r="A2" s="100">
        <v>2026</v>
      </c>
      <c r="B2" s="6" t="s">
        <v>843</v>
      </c>
      <c r="C2" s="6" t="s">
        <v>106</v>
      </c>
      <c r="D2" s="6" t="s">
        <v>1443</v>
      </c>
      <c r="E2" s="104">
        <v>952</v>
      </c>
      <c r="F2" s="100">
        <v>1</v>
      </c>
    </row>
    <row r="3" spans="1:6">
      <c r="A3" s="100">
        <v>2026</v>
      </c>
      <c r="B3" s="6" t="s">
        <v>845</v>
      </c>
      <c r="C3" s="6" t="s">
        <v>106</v>
      </c>
      <c r="D3" s="6" t="s">
        <v>1443</v>
      </c>
      <c r="E3" s="104">
        <v>867</v>
      </c>
      <c r="F3" s="100">
        <v>1</v>
      </c>
    </row>
    <row r="4" spans="1:6">
      <c r="A4" s="100">
        <v>2027</v>
      </c>
      <c r="B4" s="6" t="s">
        <v>846</v>
      </c>
      <c r="C4" s="6" t="s">
        <v>106</v>
      </c>
      <c r="D4" s="6" t="s">
        <v>1443</v>
      </c>
      <c r="E4" s="104">
        <v>1020</v>
      </c>
      <c r="F4" s="100">
        <v>1</v>
      </c>
    </row>
    <row r="5" spans="1:6">
      <c r="A5" s="100">
        <v>2027</v>
      </c>
      <c r="B5" s="6" t="s">
        <v>847</v>
      </c>
      <c r="C5" s="6" t="s">
        <v>106</v>
      </c>
      <c r="D5" s="6" t="s">
        <v>1443</v>
      </c>
      <c r="E5" s="104">
        <v>778</v>
      </c>
      <c r="F5" s="100">
        <v>1</v>
      </c>
    </row>
    <row r="6" spans="1:6">
      <c r="A6" s="100">
        <v>2027</v>
      </c>
      <c r="B6" s="6" t="s">
        <v>848</v>
      </c>
      <c r="C6" s="6" t="s">
        <v>106</v>
      </c>
      <c r="D6" s="6" t="s">
        <v>1443</v>
      </c>
      <c r="E6" s="104">
        <v>1016</v>
      </c>
      <c r="F6" s="100">
        <v>1</v>
      </c>
    </row>
    <row r="7" spans="1:6">
      <c r="A7" s="100">
        <v>2027</v>
      </c>
      <c r="B7" s="6" t="s">
        <v>843</v>
      </c>
      <c r="C7" s="6" t="s">
        <v>106</v>
      </c>
      <c r="D7" s="6" t="s">
        <v>1443</v>
      </c>
      <c r="E7" s="104">
        <v>1114</v>
      </c>
      <c r="F7" s="100">
        <v>1</v>
      </c>
    </row>
    <row r="8" spans="1:6" ht="42">
      <c r="A8" s="100">
        <v>2027</v>
      </c>
      <c r="B8" s="6" t="s">
        <v>843</v>
      </c>
      <c r="C8" s="6" t="s">
        <v>106</v>
      </c>
      <c r="D8" s="6" t="s">
        <v>1446</v>
      </c>
      <c r="E8" s="104">
        <v>13</v>
      </c>
      <c r="F8" s="100">
        <v>1</v>
      </c>
    </row>
    <row r="9" spans="1:6" ht="42">
      <c r="A9" s="100">
        <v>2027</v>
      </c>
      <c r="B9" s="6" t="s">
        <v>843</v>
      </c>
      <c r="C9" s="6" t="s">
        <v>106</v>
      </c>
      <c r="D9" s="6" t="s">
        <v>1447</v>
      </c>
      <c r="E9" s="104">
        <v>0</v>
      </c>
      <c r="F9" s="100">
        <v>1</v>
      </c>
    </row>
    <row r="10" spans="1:6" ht="56">
      <c r="A10" s="100">
        <v>2027</v>
      </c>
      <c r="B10" s="6" t="s">
        <v>843</v>
      </c>
      <c r="C10" s="6" t="s">
        <v>106</v>
      </c>
      <c r="D10" s="6" t="s">
        <v>1448</v>
      </c>
      <c r="E10" s="104">
        <v>0</v>
      </c>
      <c r="F10" s="100">
        <v>1</v>
      </c>
    </row>
    <row r="11" spans="1:6" ht="56">
      <c r="A11" s="100">
        <v>2027</v>
      </c>
      <c r="B11" s="6" t="s">
        <v>843</v>
      </c>
      <c r="C11" s="6" t="s">
        <v>106</v>
      </c>
      <c r="D11" s="6" t="s">
        <v>1449</v>
      </c>
      <c r="E11" s="104">
        <v>32</v>
      </c>
      <c r="F11" s="100">
        <v>1</v>
      </c>
    </row>
    <row r="12" spans="1:6">
      <c r="A12" s="100">
        <v>2027</v>
      </c>
      <c r="B12" s="6" t="s">
        <v>845</v>
      </c>
      <c r="C12" s="6" t="s">
        <v>106</v>
      </c>
      <c r="D12" s="6" t="s">
        <v>1443</v>
      </c>
      <c r="E12" s="104">
        <v>1005</v>
      </c>
      <c r="F12" s="100">
        <v>1</v>
      </c>
    </row>
    <row r="13" spans="1:6" ht="42">
      <c r="A13" s="100">
        <v>2027</v>
      </c>
      <c r="B13" s="6" t="s">
        <v>845</v>
      </c>
      <c r="C13" s="6" t="s">
        <v>106</v>
      </c>
      <c r="D13" s="6" t="s">
        <v>1446</v>
      </c>
      <c r="E13" s="104">
        <v>25</v>
      </c>
      <c r="F13" s="100">
        <v>1</v>
      </c>
    </row>
    <row r="14" spans="1:6" ht="42">
      <c r="A14" s="100">
        <v>2027</v>
      </c>
      <c r="B14" s="6" t="s">
        <v>845</v>
      </c>
      <c r="C14" s="6" t="s">
        <v>106</v>
      </c>
      <c r="D14" s="6" t="s">
        <v>1447</v>
      </c>
      <c r="E14" s="104">
        <v>0</v>
      </c>
      <c r="F14" s="100">
        <v>1</v>
      </c>
    </row>
    <row r="15" spans="1:6" ht="56">
      <c r="A15" s="100">
        <v>2027</v>
      </c>
      <c r="B15" s="6" t="s">
        <v>845</v>
      </c>
      <c r="C15" s="6" t="s">
        <v>106</v>
      </c>
      <c r="D15" s="6" t="s">
        <v>1448</v>
      </c>
      <c r="E15" s="104">
        <v>0</v>
      </c>
      <c r="F15" s="100">
        <v>1</v>
      </c>
    </row>
    <row r="16" spans="1:6" ht="56">
      <c r="A16" s="100">
        <v>2027</v>
      </c>
      <c r="B16" s="6" t="s">
        <v>845</v>
      </c>
      <c r="C16" s="6" t="s">
        <v>106</v>
      </c>
      <c r="D16" s="6" t="s">
        <v>1449</v>
      </c>
      <c r="E16" s="104">
        <v>15</v>
      </c>
      <c r="F16" s="100">
        <v>1</v>
      </c>
    </row>
    <row r="17" spans="1:6">
      <c r="A17" s="100">
        <v>2028</v>
      </c>
      <c r="B17" s="6" t="s">
        <v>846</v>
      </c>
      <c r="C17" s="6" t="s">
        <v>106</v>
      </c>
      <c r="D17" s="6" t="s">
        <v>1443</v>
      </c>
      <c r="E17" s="104">
        <v>1042</v>
      </c>
      <c r="F17" s="100">
        <v>1</v>
      </c>
    </row>
    <row r="18" spans="1:6" ht="42">
      <c r="A18" s="100">
        <v>2028</v>
      </c>
      <c r="B18" s="6" t="s">
        <v>846</v>
      </c>
      <c r="C18" s="6" t="s">
        <v>106</v>
      </c>
      <c r="D18" s="6" t="s">
        <v>1446</v>
      </c>
      <c r="E18" s="104">
        <v>50</v>
      </c>
      <c r="F18" s="100">
        <v>1</v>
      </c>
    </row>
    <row r="19" spans="1:6" ht="42">
      <c r="A19" s="100">
        <v>2028</v>
      </c>
      <c r="B19" s="6" t="s">
        <v>846</v>
      </c>
      <c r="C19" s="6" t="s">
        <v>106</v>
      </c>
      <c r="D19" s="6" t="s">
        <v>1447</v>
      </c>
      <c r="E19" s="104">
        <v>0</v>
      </c>
      <c r="F19" s="100">
        <v>1</v>
      </c>
    </row>
    <row r="20" spans="1:6" ht="56">
      <c r="A20" s="100">
        <v>2028</v>
      </c>
      <c r="B20" s="6" t="s">
        <v>846</v>
      </c>
      <c r="C20" s="6" t="s">
        <v>106</v>
      </c>
      <c r="D20" s="6" t="s">
        <v>1448</v>
      </c>
      <c r="E20" s="104">
        <v>0</v>
      </c>
      <c r="F20" s="100">
        <v>1</v>
      </c>
    </row>
    <row r="21" spans="1:6" ht="56">
      <c r="A21" s="100">
        <v>2028</v>
      </c>
      <c r="B21" s="6" t="s">
        <v>846</v>
      </c>
      <c r="C21" s="6" t="s">
        <v>106</v>
      </c>
      <c r="D21" s="6" t="s">
        <v>1449</v>
      </c>
      <c r="E21" s="104">
        <v>13</v>
      </c>
      <c r="F21" s="100">
        <v>1</v>
      </c>
    </row>
    <row r="22" spans="1:6">
      <c r="A22" s="100">
        <v>2028</v>
      </c>
      <c r="B22" s="6" t="s">
        <v>847</v>
      </c>
      <c r="C22" s="6" t="s">
        <v>106</v>
      </c>
      <c r="D22" s="6" t="s">
        <v>1443</v>
      </c>
      <c r="E22" s="104">
        <v>789</v>
      </c>
      <c r="F22" s="100">
        <v>1</v>
      </c>
    </row>
    <row r="23" spans="1:6" ht="42">
      <c r="A23" s="100">
        <v>2028</v>
      </c>
      <c r="B23" s="6" t="s">
        <v>847</v>
      </c>
      <c r="C23" s="6" t="s">
        <v>106</v>
      </c>
      <c r="D23" s="6" t="s">
        <v>1446</v>
      </c>
      <c r="E23" s="104">
        <v>75</v>
      </c>
      <c r="F23" s="100">
        <v>1</v>
      </c>
    </row>
    <row r="24" spans="1:6" ht="42">
      <c r="A24" s="100">
        <v>2028</v>
      </c>
      <c r="B24" s="6" t="s">
        <v>847</v>
      </c>
      <c r="C24" s="6" t="s">
        <v>106</v>
      </c>
      <c r="D24" s="6" t="s">
        <v>1447</v>
      </c>
      <c r="E24" s="104">
        <v>0</v>
      </c>
      <c r="F24" s="100">
        <v>1</v>
      </c>
    </row>
    <row r="25" spans="1:6" ht="56">
      <c r="A25" s="100">
        <v>2028</v>
      </c>
      <c r="B25" s="6" t="s">
        <v>847</v>
      </c>
      <c r="C25" s="6" t="s">
        <v>106</v>
      </c>
      <c r="D25" s="6" t="s">
        <v>1448</v>
      </c>
      <c r="E25" s="104">
        <v>0</v>
      </c>
      <c r="F25" s="100">
        <v>1</v>
      </c>
    </row>
    <row r="26" spans="1:6" ht="56">
      <c r="A26" s="100">
        <v>2028</v>
      </c>
      <c r="B26" s="6" t="s">
        <v>847</v>
      </c>
      <c r="C26" s="6" t="s">
        <v>106</v>
      </c>
      <c r="D26" s="6" t="s">
        <v>1449</v>
      </c>
      <c r="E26" s="104">
        <v>8</v>
      </c>
      <c r="F26" s="100">
        <v>1</v>
      </c>
    </row>
    <row r="27" spans="1:6">
      <c r="A27" s="100">
        <v>2028</v>
      </c>
      <c r="B27" s="6" t="s">
        <v>848</v>
      </c>
      <c r="C27" s="6" t="s">
        <v>106</v>
      </c>
      <c r="D27" s="6" t="s">
        <v>1443</v>
      </c>
      <c r="E27" s="104">
        <v>1032</v>
      </c>
      <c r="F27" s="100">
        <v>1</v>
      </c>
    </row>
    <row r="28" spans="1:6" ht="42">
      <c r="A28" s="100">
        <v>2028</v>
      </c>
      <c r="B28" s="6" t="s">
        <v>848</v>
      </c>
      <c r="C28" s="6" t="s">
        <v>106</v>
      </c>
      <c r="D28" s="6" t="s">
        <v>1446</v>
      </c>
      <c r="E28" s="104">
        <v>88</v>
      </c>
      <c r="F28" s="100">
        <v>1</v>
      </c>
    </row>
    <row r="29" spans="1:6" ht="42">
      <c r="A29" s="100">
        <v>2028</v>
      </c>
      <c r="B29" s="6" t="s">
        <v>848</v>
      </c>
      <c r="C29" s="6" t="s">
        <v>106</v>
      </c>
      <c r="D29" s="6" t="s">
        <v>1447</v>
      </c>
      <c r="E29" s="104">
        <v>0</v>
      </c>
      <c r="F29" s="100">
        <v>1</v>
      </c>
    </row>
    <row r="30" spans="1:6" ht="56">
      <c r="A30" s="100">
        <v>2028</v>
      </c>
      <c r="B30" s="6" t="s">
        <v>848</v>
      </c>
      <c r="C30" s="6" t="s">
        <v>106</v>
      </c>
      <c r="D30" s="6" t="s">
        <v>1448</v>
      </c>
      <c r="E30" s="104">
        <v>0</v>
      </c>
      <c r="F30" s="100">
        <v>1</v>
      </c>
    </row>
    <row r="31" spans="1:6" ht="56">
      <c r="A31" s="100">
        <v>2028</v>
      </c>
      <c r="B31" s="6" t="s">
        <v>848</v>
      </c>
      <c r="C31" s="6" t="s">
        <v>106</v>
      </c>
      <c r="D31" s="6" t="s">
        <v>1449</v>
      </c>
      <c r="E31" s="104">
        <v>11</v>
      </c>
      <c r="F31" s="100">
        <v>1</v>
      </c>
    </row>
    <row r="32" spans="1:6">
      <c r="A32" s="100">
        <v>2028</v>
      </c>
      <c r="B32" s="6" t="s">
        <v>843</v>
      </c>
      <c r="C32" s="6" t="s">
        <v>106</v>
      </c>
      <c r="D32" s="6" t="s">
        <v>1443</v>
      </c>
      <c r="E32" s="104">
        <v>1161</v>
      </c>
      <c r="F32" s="100">
        <v>1</v>
      </c>
    </row>
    <row r="33" spans="1:6" ht="42">
      <c r="A33" s="100">
        <v>2028</v>
      </c>
      <c r="B33" s="6" t="s">
        <v>843</v>
      </c>
      <c r="C33" s="6" t="s">
        <v>106</v>
      </c>
      <c r="D33" s="6" t="s">
        <v>1446</v>
      </c>
      <c r="E33" s="104">
        <v>38</v>
      </c>
      <c r="F33" s="100">
        <v>1</v>
      </c>
    </row>
    <row r="34" spans="1:6" ht="42">
      <c r="A34" s="100">
        <v>2028</v>
      </c>
      <c r="B34" s="6" t="s">
        <v>843</v>
      </c>
      <c r="C34" s="6" t="s">
        <v>106</v>
      </c>
      <c r="D34" s="6" t="s">
        <v>1447</v>
      </c>
      <c r="E34" s="104">
        <v>36</v>
      </c>
      <c r="F34" s="100">
        <v>1</v>
      </c>
    </row>
    <row r="35" spans="1:6" ht="56">
      <c r="A35" s="100">
        <v>2028</v>
      </c>
      <c r="B35" s="6" t="s">
        <v>843</v>
      </c>
      <c r="C35" s="6" t="s">
        <v>106</v>
      </c>
      <c r="D35" s="6" t="s">
        <v>1448</v>
      </c>
      <c r="E35" s="104">
        <v>15</v>
      </c>
      <c r="F35" s="100">
        <v>1</v>
      </c>
    </row>
    <row r="36" spans="1:6" ht="56">
      <c r="A36" s="100">
        <v>2028</v>
      </c>
      <c r="B36" s="6" t="s">
        <v>843</v>
      </c>
      <c r="C36" s="6" t="s">
        <v>106</v>
      </c>
      <c r="D36" s="6" t="s">
        <v>1449</v>
      </c>
      <c r="E36" s="104">
        <v>40</v>
      </c>
      <c r="F36" s="100">
        <v>1</v>
      </c>
    </row>
    <row r="37" spans="1:6">
      <c r="A37" s="100">
        <v>2028</v>
      </c>
      <c r="B37" s="6" t="s">
        <v>845</v>
      </c>
      <c r="C37" s="6" t="s">
        <v>106</v>
      </c>
      <c r="D37" s="6" t="s">
        <v>1443</v>
      </c>
      <c r="E37" s="104">
        <v>1018</v>
      </c>
      <c r="F37" s="100">
        <v>1</v>
      </c>
    </row>
    <row r="38" spans="1:6" ht="42">
      <c r="A38" s="100">
        <v>2028</v>
      </c>
      <c r="B38" s="6" t="s">
        <v>845</v>
      </c>
      <c r="C38" s="6" t="s">
        <v>106</v>
      </c>
      <c r="D38" s="6" t="s">
        <v>1446</v>
      </c>
      <c r="E38" s="104">
        <v>38</v>
      </c>
      <c r="F38" s="100">
        <v>1</v>
      </c>
    </row>
    <row r="39" spans="1:6" ht="42">
      <c r="A39" s="100">
        <v>2028</v>
      </c>
      <c r="B39" s="6" t="s">
        <v>845</v>
      </c>
      <c r="C39" s="6" t="s">
        <v>106</v>
      </c>
      <c r="D39" s="6" t="s">
        <v>1447</v>
      </c>
      <c r="E39" s="104">
        <v>31</v>
      </c>
      <c r="F39" s="100">
        <v>1</v>
      </c>
    </row>
    <row r="40" spans="1:6" ht="56">
      <c r="A40" s="100">
        <v>2028</v>
      </c>
      <c r="B40" s="6" t="s">
        <v>845</v>
      </c>
      <c r="C40" s="6" t="s">
        <v>106</v>
      </c>
      <c r="D40" s="6" t="s">
        <v>1448</v>
      </c>
      <c r="E40" s="104">
        <v>5</v>
      </c>
      <c r="F40" s="100">
        <v>1</v>
      </c>
    </row>
    <row r="41" spans="1:6" ht="56">
      <c r="A41" s="100">
        <v>2028</v>
      </c>
      <c r="B41" s="6" t="s">
        <v>845</v>
      </c>
      <c r="C41" s="6" t="s">
        <v>106</v>
      </c>
      <c r="D41" s="6" t="s">
        <v>1449</v>
      </c>
      <c r="E41" s="104">
        <v>25</v>
      </c>
      <c r="F41" s="100">
        <v>1</v>
      </c>
    </row>
    <row r="42" spans="1:6">
      <c r="A42" s="100">
        <v>2029</v>
      </c>
      <c r="B42" s="6" t="s">
        <v>846</v>
      </c>
      <c r="C42" s="6" t="s">
        <v>106</v>
      </c>
      <c r="D42" s="6" t="s">
        <v>1443</v>
      </c>
      <c r="E42" s="104">
        <v>1109</v>
      </c>
      <c r="F42" s="100">
        <v>1</v>
      </c>
    </row>
    <row r="43" spans="1:6" ht="42">
      <c r="A43" s="100">
        <v>2029</v>
      </c>
      <c r="B43" s="6" t="s">
        <v>846</v>
      </c>
      <c r="C43" s="6" t="s">
        <v>106</v>
      </c>
      <c r="D43" s="6" t="s">
        <v>1446</v>
      </c>
      <c r="E43" s="104">
        <v>76</v>
      </c>
      <c r="F43" s="100">
        <v>1</v>
      </c>
    </row>
    <row r="44" spans="1:6" ht="42">
      <c r="A44" s="100">
        <v>2029</v>
      </c>
      <c r="B44" s="6" t="s">
        <v>846</v>
      </c>
      <c r="C44" s="6" t="s">
        <v>106</v>
      </c>
      <c r="D44" s="6" t="s">
        <v>1447</v>
      </c>
      <c r="E44" s="104">
        <v>33</v>
      </c>
      <c r="F44" s="100">
        <v>1</v>
      </c>
    </row>
    <row r="45" spans="1:6" ht="56">
      <c r="A45" s="100">
        <v>2029</v>
      </c>
      <c r="B45" s="6" t="s">
        <v>846</v>
      </c>
      <c r="C45" s="6" t="s">
        <v>106</v>
      </c>
      <c r="D45" s="6" t="s">
        <v>1448</v>
      </c>
      <c r="E45" s="104">
        <v>10</v>
      </c>
      <c r="F45" s="100">
        <v>1</v>
      </c>
    </row>
    <row r="46" spans="1:6" ht="56">
      <c r="A46" s="100">
        <v>2029</v>
      </c>
      <c r="B46" s="6" t="s">
        <v>846</v>
      </c>
      <c r="C46" s="6" t="s">
        <v>106</v>
      </c>
      <c r="D46" s="6" t="s">
        <v>1449</v>
      </c>
      <c r="E46" s="104">
        <v>25</v>
      </c>
      <c r="F46" s="100">
        <v>1</v>
      </c>
    </row>
    <row r="47" spans="1:6">
      <c r="A47" s="100">
        <v>2029</v>
      </c>
      <c r="B47" s="6" t="s">
        <v>847</v>
      </c>
      <c r="C47" s="6" t="s">
        <v>106</v>
      </c>
      <c r="D47" s="6" t="s">
        <v>1443</v>
      </c>
      <c r="E47" s="104">
        <v>834</v>
      </c>
      <c r="F47" s="100">
        <v>1</v>
      </c>
    </row>
    <row r="48" spans="1:6" ht="42">
      <c r="A48" s="100">
        <v>2029</v>
      </c>
      <c r="B48" s="6" t="s">
        <v>847</v>
      </c>
      <c r="C48" s="6" t="s">
        <v>106</v>
      </c>
      <c r="D48" s="6" t="s">
        <v>1446</v>
      </c>
      <c r="E48" s="104">
        <v>113</v>
      </c>
      <c r="F48" s="100">
        <v>1</v>
      </c>
    </row>
    <row r="49" spans="1:6" ht="42">
      <c r="A49" s="100">
        <v>2029</v>
      </c>
      <c r="B49" s="6" t="s">
        <v>847</v>
      </c>
      <c r="C49" s="6" t="s">
        <v>106</v>
      </c>
      <c r="D49" s="6" t="s">
        <v>1447</v>
      </c>
      <c r="E49" s="104">
        <v>28</v>
      </c>
      <c r="F49" s="100">
        <v>1</v>
      </c>
    </row>
    <row r="50" spans="1:6" ht="56">
      <c r="A50" s="100">
        <v>2029</v>
      </c>
      <c r="B50" s="6" t="s">
        <v>847</v>
      </c>
      <c r="C50" s="6" t="s">
        <v>106</v>
      </c>
      <c r="D50" s="6" t="s">
        <v>1448</v>
      </c>
      <c r="E50" s="104">
        <v>5</v>
      </c>
      <c r="F50" s="100">
        <v>1</v>
      </c>
    </row>
    <row r="51" spans="1:6" ht="56">
      <c r="A51" s="100">
        <v>2029</v>
      </c>
      <c r="B51" s="6" t="s">
        <v>847</v>
      </c>
      <c r="C51" s="6" t="s">
        <v>106</v>
      </c>
      <c r="D51" s="6" t="s">
        <v>1449</v>
      </c>
      <c r="E51" s="104">
        <v>18</v>
      </c>
      <c r="F51" s="100">
        <v>1</v>
      </c>
    </row>
    <row r="52" spans="1:6">
      <c r="A52" s="100">
        <v>2029</v>
      </c>
      <c r="B52" s="6" t="s">
        <v>848</v>
      </c>
      <c r="C52" s="6" t="s">
        <v>106</v>
      </c>
      <c r="D52" s="6" t="s">
        <v>1443</v>
      </c>
      <c r="E52" s="104">
        <v>1105</v>
      </c>
      <c r="F52" s="100">
        <v>1</v>
      </c>
    </row>
    <row r="53" spans="1:6" ht="42">
      <c r="A53" s="100">
        <v>2029</v>
      </c>
      <c r="B53" s="6" t="s">
        <v>848</v>
      </c>
      <c r="C53" s="6" t="s">
        <v>106</v>
      </c>
      <c r="D53" s="6" t="s">
        <v>1446</v>
      </c>
      <c r="E53" s="104">
        <v>113</v>
      </c>
      <c r="F53" s="100">
        <v>1</v>
      </c>
    </row>
    <row r="54" spans="1:6" ht="42">
      <c r="A54" s="100">
        <v>2029</v>
      </c>
      <c r="B54" s="6" t="s">
        <v>848</v>
      </c>
      <c r="C54" s="6" t="s">
        <v>106</v>
      </c>
      <c r="D54" s="6" t="s">
        <v>1447</v>
      </c>
      <c r="E54" s="104">
        <v>36</v>
      </c>
      <c r="F54" s="100">
        <v>1</v>
      </c>
    </row>
    <row r="55" spans="1:6" ht="56">
      <c r="A55" s="100">
        <v>2029</v>
      </c>
      <c r="B55" s="6" t="s">
        <v>848</v>
      </c>
      <c r="C55" s="6" t="s">
        <v>106</v>
      </c>
      <c r="D55" s="6" t="s">
        <v>1448</v>
      </c>
      <c r="E55" s="104">
        <v>5</v>
      </c>
      <c r="F55" s="100">
        <v>1</v>
      </c>
    </row>
    <row r="56" spans="1:6" ht="56">
      <c r="A56" s="100">
        <v>2029</v>
      </c>
      <c r="B56" s="6" t="s">
        <v>848</v>
      </c>
      <c r="C56" s="6" t="s">
        <v>106</v>
      </c>
      <c r="D56" s="6" t="s">
        <v>1449</v>
      </c>
      <c r="E56" s="104">
        <v>25</v>
      </c>
      <c r="F56" s="100">
        <v>1</v>
      </c>
    </row>
    <row r="57" spans="1:6">
      <c r="A57" s="100">
        <v>2029</v>
      </c>
      <c r="B57" s="6" t="s">
        <v>843</v>
      </c>
      <c r="C57" s="6" t="s">
        <v>106</v>
      </c>
      <c r="D57" s="6" t="s">
        <v>1443</v>
      </c>
      <c r="E57" s="104">
        <v>1194</v>
      </c>
      <c r="F57" s="100">
        <v>1</v>
      </c>
    </row>
    <row r="58" spans="1:6" ht="42">
      <c r="A58" s="100">
        <v>2029</v>
      </c>
      <c r="B58" s="6" t="s">
        <v>843</v>
      </c>
      <c r="C58" s="6" t="s">
        <v>106</v>
      </c>
      <c r="D58" s="6" t="s">
        <v>1446</v>
      </c>
      <c r="E58" s="104">
        <v>31</v>
      </c>
      <c r="F58" s="100">
        <v>1</v>
      </c>
    </row>
    <row r="59" spans="1:6" ht="42">
      <c r="A59" s="100">
        <v>2029</v>
      </c>
      <c r="B59" s="6" t="s">
        <v>843</v>
      </c>
      <c r="C59" s="6" t="s">
        <v>106</v>
      </c>
      <c r="D59" s="6" t="s">
        <v>1447</v>
      </c>
      <c r="E59" s="104">
        <v>49</v>
      </c>
      <c r="F59" s="100">
        <v>1</v>
      </c>
    </row>
    <row r="60" spans="1:6" ht="56">
      <c r="A60" s="100">
        <v>2029</v>
      </c>
      <c r="B60" s="6" t="s">
        <v>843</v>
      </c>
      <c r="C60" s="6" t="s">
        <v>106</v>
      </c>
      <c r="D60" s="6" t="s">
        <v>1448</v>
      </c>
      <c r="E60" s="104">
        <v>35</v>
      </c>
      <c r="F60" s="100">
        <v>1</v>
      </c>
    </row>
    <row r="61" spans="1:6" ht="56">
      <c r="A61" s="100">
        <v>2029</v>
      </c>
      <c r="B61" s="6" t="s">
        <v>843</v>
      </c>
      <c r="C61" s="6" t="s">
        <v>106</v>
      </c>
      <c r="D61" s="6" t="s">
        <v>1449</v>
      </c>
      <c r="E61" s="104">
        <v>50</v>
      </c>
      <c r="F61" s="100">
        <v>1</v>
      </c>
    </row>
    <row r="62" spans="1:6">
      <c r="A62" s="100">
        <v>2026</v>
      </c>
      <c r="B62" s="6" t="s">
        <v>845</v>
      </c>
      <c r="C62" s="6" t="s">
        <v>105</v>
      </c>
      <c r="D62" s="6" t="s">
        <v>1443</v>
      </c>
      <c r="E62" s="104">
        <v>1660</v>
      </c>
    </row>
    <row r="63" spans="1:6">
      <c r="A63" s="100">
        <v>2027</v>
      </c>
      <c r="B63" s="6" t="s">
        <v>846</v>
      </c>
      <c r="C63" s="6" t="s">
        <v>105</v>
      </c>
      <c r="D63" s="6" t="s">
        <v>1443</v>
      </c>
      <c r="E63" s="104">
        <v>2062</v>
      </c>
    </row>
    <row r="64" spans="1:6">
      <c r="A64" s="100">
        <v>2027</v>
      </c>
      <c r="B64" s="6" t="s">
        <v>847</v>
      </c>
      <c r="C64" s="6" t="s">
        <v>105</v>
      </c>
      <c r="D64" s="6" t="s">
        <v>1443</v>
      </c>
      <c r="E64" s="104">
        <v>1513</v>
      </c>
    </row>
    <row r="65" spans="1:5">
      <c r="A65" s="100">
        <v>2027</v>
      </c>
      <c r="B65" s="6" t="s">
        <v>848</v>
      </c>
      <c r="C65" s="6" t="s">
        <v>105</v>
      </c>
      <c r="D65" s="6" t="s">
        <v>1443</v>
      </c>
      <c r="E65" s="104">
        <v>2245</v>
      </c>
    </row>
    <row r="66" spans="1:5">
      <c r="A66" s="100">
        <v>2027</v>
      </c>
      <c r="B66" s="6" t="s">
        <v>843</v>
      </c>
      <c r="C66" s="6" t="s">
        <v>105</v>
      </c>
      <c r="D66" s="6" t="s">
        <v>1443</v>
      </c>
      <c r="E66" s="104">
        <v>1898</v>
      </c>
    </row>
    <row r="67" spans="1:5">
      <c r="A67" s="100">
        <v>2027</v>
      </c>
      <c r="B67" s="6" t="s">
        <v>845</v>
      </c>
      <c r="C67" s="6" t="s">
        <v>105</v>
      </c>
      <c r="D67" s="6" t="s">
        <v>1443</v>
      </c>
      <c r="E67" s="104">
        <v>1898</v>
      </c>
    </row>
    <row r="68" spans="1:5">
      <c r="A68" s="100">
        <v>2028</v>
      </c>
      <c r="B68" s="6" t="s">
        <v>846</v>
      </c>
      <c r="C68" s="6" t="s">
        <v>105</v>
      </c>
      <c r="D68" s="6" t="s">
        <v>1443</v>
      </c>
      <c r="E68" s="104">
        <v>2097.8788</v>
      </c>
    </row>
    <row r="69" spans="1:5" ht="42">
      <c r="A69" s="100">
        <v>2028</v>
      </c>
      <c r="B69" s="6" t="s">
        <v>846</v>
      </c>
      <c r="C69" s="6" t="s">
        <v>105</v>
      </c>
      <c r="D69" s="6" t="s">
        <v>1450</v>
      </c>
      <c r="E69" s="104">
        <v>225</v>
      </c>
    </row>
    <row r="70" spans="1:5" ht="56">
      <c r="A70" s="100">
        <v>2028</v>
      </c>
      <c r="B70" s="6" t="s">
        <v>846</v>
      </c>
      <c r="C70" s="6" t="s">
        <v>105</v>
      </c>
      <c r="D70" s="6" t="s">
        <v>1449</v>
      </c>
      <c r="E70" s="104">
        <v>15</v>
      </c>
    </row>
    <row r="71" spans="1:5">
      <c r="A71" s="100">
        <v>2028</v>
      </c>
      <c r="B71" s="6" t="s">
        <v>847</v>
      </c>
      <c r="C71" s="6" t="s">
        <v>105</v>
      </c>
      <c r="D71" s="6" t="s">
        <v>1443</v>
      </c>
      <c r="E71" s="104">
        <v>1539.9313999999999</v>
      </c>
    </row>
    <row r="72" spans="1:5" ht="42">
      <c r="A72" s="100">
        <v>2028</v>
      </c>
      <c r="B72" s="6" t="s">
        <v>847</v>
      </c>
      <c r="C72" s="6" t="s">
        <v>105</v>
      </c>
      <c r="D72" s="6" t="s">
        <v>1450</v>
      </c>
      <c r="E72" s="104">
        <v>136</v>
      </c>
    </row>
    <row r="73" spans="1:5" ht="56">
      <c r="A73" s="100">
        <v>2028</v>
      </c>
      <c r="B73" s="6" t="s">
        <v>847</v>
      </c>
      <c r="C73" s="6" t="s">
        <v>105</v>
      </c>
      <c r="D73" s="6" t="s">
        <v>1449</v>
      </c>
      <c r="E73" s="104">
        <v>37</v>
      </c>
    </row>
    <row r="74" spans="1:5">
      <c r="A74" s="100">
        <v>2028</v>
      </c>
      <c r="B74" s="6" t="s">
        <v>848</v>
      </c>
      <c r="C74" s="6" t="s">
        <v>105</v>
      </c>
      <c r="D74" s="6" t="s">
        <v>1443</v>
      </c>
      <c r="E74" s="104">
        <v>2283.8384999999998</v>
      </c>
    </row>
    <row r="75" spans="1:5" ht="42">
      <c r="A75" s="100">
        <v>2028</v>
      </c>
      <c r="B75" s="6" t="s">
        <v>848</v>
      </c>
      <c r="C75" s="6" t="s">
        <v>105</v>
      </c>
      <c r="D75" s="6" t="s">
        <v>1450</v>
      </c>
      <c r="E75" s="104">
        <v>233</v>
      </c>
    </row>
    <row r="76" spans="1:5" ht="56">
      <c r="A76" s="100">
        <v>2028</v>
      </c>
      <c r="B76" s="6" t="s">
        <v>848</v>
      </c>
      <c r="C76" s="6" t="s">
        <v>105</v>
      </c>
      <c r="D76" s="6" t="s">
        <v>1449</v>
      </c>
      <c r="E76" s="104">
        <v>25</v>
      </c>
    </row>
    <row r="77" spans="1:5">
      <c r="A77" s="100">
        <v>2028</v>
      </c>
      <c r="B77" s="6" t="s">
        <v>843</v>
      </c>
      <c r="C77" s="6" t="s">
        <v>105</v>
      </c>
      <c r="D77" s="6" t="s">
        <v>1443</v>
      </c>
      <c r="E77" s="104">
        <v>1931</v>
      </c>
    </row>
    <row r="78" spans="1:5" ht="42">
      <c r="A78" s="100">
        <v>2028</v>
      </c>
      <c r="B78" s="6" t="s">
        <v>843</v>
      </c>
      <c r="C78" s="6" t="s">
        <v>105</v>
      </c>
      <c r="D78" s="6" t="s">
        <v>1450</v>
      </c>
      <c r="E78" s="104">
        <v>105</v>
      </c>
    </row>
    <row r="79" spans="1:5" ht="56">
      <c r="A79" s="100">
        <v>2028</v>
      </c>
      <c r="B79" s="6" t="s">
        <v>843</v>
      </c>
      <c r="C79" s="6" t="s">
        <v>105</v>
      </c>
      <c r="D79" s="6" t="s">
        <v>1449</v>
      </c>
      <c r="E79" s="104">
        <v>20</v>
      </c>
    </row>
    <row r="80" spans="1:5">
      <c r="A80" s="100">
        <v>2028</v>
      </c>
      <c r="B80" s="6" t="s">
        <v>845</v>
      </c>
      <c r="C80" s="6" t="s">
        <v>105</v>
      </c>
      <c r="D80" s="6" t="s">
        <v>1443</v>
      </c>
      <c r="E80" s="104">
        <v>1931</v>
      </c>
    </row>
    <row r="81" spans="1:5" ht="42">
      <c r="A81" s="100">
        <v>2028</v>
      </c>
      <c r="B81" s="6" t="s">
        <v>845</v>
      </c>
      <c r="C81" s="6" t="s">
        <v>105</v>
      </c>
      <c r="D81" s="6" t="s">
        <v>1450</v>
      </c>
      <c r="E81" s="104">
        <v>44</v>
      </c>
    </row>
    <row r="82" spans="1:5" ht="42">
      <c r="A82" s="100">
        <v>2028</v>
      </c>
      <c r="B82" s="6" t="s">
        <v>845</v>
      </c>
      <c r="C82" s="6" t="s">
        <v>105</v>
      </c>
      <c r="D82" s="6" t="s">
        <v>1451</v>
      </c>
      <c r="E82" s="104">
        <v>35</v>
      </c>
    </row>
    <row r="83" spans="1:5" ht="56">
      <c r="A83" s="100">
        <v>2028</v>
      </c>
      <c r="B83" s="6" t="s">
        <v>845</v>
      </c>
      <c r="C83" s="6" t="s">
        <v>105</v>
      </c>
      <c r="D83" s="6" t="s">
        <v>1448</v>
      </c>
      <c r="E83" s="104">
        <v>15</v>
      </c>
    </row>
    <row r="84" spans="1:5" ht="56">
      <c r="A84" s="100">
        <v>2028</v>
      </c>
      <c r="B84" s="6" t="s">
        <v>845</v>
      </c>
      <c r="C84" s="6" t="s">
        <v>105</v>
      </c>
      <c r="D84" s="6" t="s">
        <v>1449</v>
      </c>
      <c r="E84" s="104">
        <v>30</v>
      </c>
    </row>
    <row r="85" spans="1:5">
      <c r="A85" s="100">
        <v>2029</v>
      </c>
      <c r="B85" s="6" t="s">
        <v>846</v>
      </c>
      <c r="C85" s="6" t="s">
        <v>105</v>
      </c>
      <c r="D85" s="6" t="s">
        <v>1443</v>
      </c>
      <c r="E85" s="104">
        <v>2112</v>
      </c>
    </row>
    <row r="86" spans="1:5" ht="42">
      <c r="A86" s="100">
        <v>2029</v>
      </c>
      <c r="B86" s="6" t="s">
        <v>846</v>
      </c>
      <c r="C86" s="6" t="s">
        <v>105</v>
      </c>
      <c r="D86" s="6" t="s">
        <v>1450</v>
      </c>
      <c r="E86" s="104">
        <v>211</v>
      </c>
    </row>
    <row r="87" spans="1:5" ht="42">
      <c r="A87" s="100">
        <v>2029</v>
      </c>
      <c r="B87" s="6" t="s">
        <v>846</v>
      </c>
      <c r="C87" s="6" t="s">
        <v>105</v>
      </c>
      <c r="D87" s="6" t="s">
        <v>1451</v>
      </c>
      <c r="E87" s="104">
        <v>103</v>
      </c>
    </row>
    <row r="88" spans="1:5" ht="56">
      <c r="A88" s="100">
        <v>2029</v>
      </c>
      <c r="B88" s="6" t="s">
        <v>846</v>
      </c>
      <c r="C88" s="6" t="s">
        <v>105</v>
      </c>
      <c r="D88" s="6" t="s">
        <v>1448</v>
      </c>
      <c r="E88" s="104">
        <v>8</v>
      </c>
    </row>
    <row r="89" spans="1:5" ht="56">
      <c r="A89" s="100">
        <v>2029</v>
      </c>
      <c r="B89" s="6" t="s">
        <v>846</v>
      </c>
      <c r="C89" s="6" t="s">
        <v>105</v>
      </c>
      <c r="D89" s="6" t="s">
        <v>1449</v>
      </c>
      <c r="E89" s="104">
        <v>43</v>
      </c>
    </row>
    <row r="90" spans="1:5">
      <c r="A90" s="100">
        <v>2029</v>
      </c>
      <c r="B90" s="6" t="s">
        <v>847</v>
      </c>
      <c r="C90" s="6" t="s">
        <v>105</v>
      </c>
      <c r="D90" s="6" t="s">
        <v>1443</v>
      </c>
      <c r="E90" s="104">
        <v>1550</v>
      </c>
    </row>
    <row r="91" spans="1:5" ht="42">
      <c r="A91" s="100">
        <v>2029</v>
      </c>
      <c r="B91" s="6" t="s">
        <v>847</v>
      </c>
      <c r="C91" s="6" t="s">
        <v>105</v>
      </c>
      <c r="D91" s="6" t="s">
        <v>1450</v>
      </c>
      <c r="E91" s="104">
        <v>159</v>
      </c>
    </row>
    <row r="92" spans="1:5" ht="42">
      <c r="A92" s="100">
        <v>2029</v>
      </c>
      <c r="B92" s="6" t="s">
        <v>847</v>
      </c>
      <c r="C92" s="6" t="s">
        <v>105</v>
      </c>
      <c r="D92" s="6" t="s">
        <v>1451</v>
      </c>
      <c r="E92" s="104">
        <v>63</v>
      </c>
    </row>
    <row r="93" spans="1:5" ht="56">
      <c r="A93" s="100">
        <v>2029</v>
      </c>
      <c r="B93" s="6" t="s">
        <v>847</v>
      </c>
      <c r="C93" s="6" t="s">
        <v>105</v>
      </c>
      <c r="D93" s="6" t="s">
        <v>1448</v>
      </c>
      <c r="E93" s="104">
        <v>7</v>
      </c>
    </row>
    <row r="94" spans="1:5" ht="56">
      <c r="A94" s="100">
        <v>2029</v>
      </c>
      <c r="B94" s="6" t="s">
        <v>847</v>
      </c>
      <c r="C94" s="6" t="s">
        <v>105</v>
      </c>
      <c r="D94" s="6" t="s">
        <v>1449</v>
      </c>
      <c r="E94" s="104">
        <v>35</v>
      </c>
    </row>
    <row r="95" spans="1:5">
      <c r="A95" s="100">
        <v>2029</v>
      </c>
      <c r="B95" s="6" t="s">
        <v>848</v>
      </c>
      <c r="C95" s="6" t="s">
        <v>105</v>
      </c>
      <c r="D95" s="6" t="s">
        <v>1443</v>
      </c>
      <c r="E95" s="104">
        <v>2301</v>
      </c>
    </row>
    <row r="96" spans="1:5" ht="42">
      <c r="A96" s="100">
        <v>2029</v>
      </c>
      <c r="B96" s="6" t="s">
        <v>848</v>
      </c>
      <c r="C96" s="6" t="s">
        <v>105</v>
      </c>
      <c r="D96" s="6" t="s">
        <v>1450</v>
      </c>
      <c r="E96" s="104">
        <v>255</v>
      </c>
    </row>
    <row r="97" spans="1:5" ht="42">
      <c r="A97" s="100">
        <v>2029</v>
      </c>
      <c r="B97" s="6" t="s">
        <v>848</v>
      </c>
      <c r="C97" s="6" t="s">
        <v>105</v>
      </c>
      <c r="D97" s="6" t="s">
        <v>1451</v>
      </c>
      <c r="E97" s="104">
        <v>101</v>
      </c>
    </row>
    <row r="98" spans="1:5" ht="56">
      <c r="A98" s="100">
        <v>2029</v>
      </c>
      <c r="B98" s="6" t="s">
        <v>848</v>
      </c>
      <c r="C98" s="6" t="s">
        <v>105</v>
      </c>
      <c r="D98" s="6" t="s">
        <v>1448</v>
      </c>
      <c r="E98" s="104">
        <v>8</v>
      </c>
    </row>
    <row r="99" spans="1:5" ht="56">
      <c r="A99" s="100">
        <v>2029</v>
      </c>
      <c r="B99" s="6" t="s">
        <v>848</v>
      </c>
      <c r="C99" s="6" t="s">
        <v>105</v>
      </c>
      <c r="D99" s="6" t="s">
        <v>1449</v>
      </c>
      <c r="E99" s="104">
        <v>29</v>
      </c>
    </row>
    <row r="100" spans="1:5">
      <c r="A100" s="100">
        <v>2029</v>
      </c>
      <c r="B100" s="6" t="s">
        <v>843</v>
      </c>
      <c r="C100" s="6" t="s">
        <v>105</v>
      </c>
      <c r="D100" s="6" t="s">
        <v>1443</v>
      </c>
      <c r="E100" s="104">
        <v>1944</v>
      </c>
    </row>
    <row r="101" spans="1:5" ht="42">
      <c r="A101" s="100">
        <v>2029</v>
      </c>
      <c r="B101" s="6" t="s">
        <v>843</v>
      </c>
      <c r="C101" s="6" t="s">
        <v>105</v>
      </c>
      <c r="D101" s="6" t="s">
        <v>1450</v>
      </c>
      <c r="E101" s="104">
        <v>199</v>
      </c>
    </row>
    <row r="102" spans="1:5" ht="42">
      <c r="A102" s="100">
        <v>2029</v>
      </c>
      <c r="B102" s="6" t="s">
        <v>843</v>
      </c>
      <c r="C102" s="6" t="s">
        <v>105</v>
      </c>
      <c r="D102" s="6" t="s">
        <v>1451</v>
      </c>
      <c r="E102" s="104">
        <v>61</v>
      </c>
    </row>
    <row r="103" spans="1:5" ht="56">
      <c r="A103" s="100">
        <v>2029</v>
      </c>
      <c r="B103" s="6" t="s">
        <v>843</v>
      </c>
      <c r="C103" s="6" t="s">
        <v>105</v>
      </c>
      <c r="D103" s="6" t="s">
        <v>1448</v>
      </c>
      <c r="E103" s="104">
        <v>10</v>
      </c>
    </row>
    <row r="104" spans="1:5" ht="56">
      <c r="A104" s="100">
        <v>2029</v>
      </c>
      <c r="B104" s="6" t="s">
        <v>843</v>
      </c>
      <c r="C104" s="6" t="s">
        <v>105</v>
      </c>
      <c r="D104" s="6" t="s">
        <v>1449</v>
      </c>
      <c r="E104" s="104">
        <v>25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81"/>
  <sheetViews>
    <sheetView workbookViewId="0"/>
  </sheetViews>
  <sheetFormatPr baseColWidth="10" defaultColWidth="8.6640625" defaultRowHeight="14"/>
  <cols>
    <col min="1" max="5" width="16" customWidth="1"/>
    <col min="6" max="9" width="18" customWidth="1"/>
    <col min="10" max="10" width="16" customWidth="1"/>
  </cols>
  <sheetData>
    <row r="1" spans="1:10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842</v>
      </c>
      <c r="G1" s="82" t="s">
        <v>1352</v>
      </c>
      <c r="H1" s="82" t="s">
        <v>1354</v>
      </c>
      <c r="I1" s="82" t="s">
        <v>1355</v>
      </c>
      <c r="J1" s="82" t="s">
        <v>1356</v>
      </c>
    </row>
    <row r="2" spans="1:10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f>SUMIFS(ni_bimestral_pos_ejec!$F:$F,ni_bimestral_pos_ejec!$C:$C,$C2,ni_bimestral_pos_ejec!$B:$B,$B2,ni_bimestral_pos_ejec!$D:$D,$D2,ni_bimestral_pos_ejec!$E:$E,$E2)</f>
        <v>1866</v>
      </c>
      <c r="G2" s="70">
        <f>SUMIFS(ri_bimestral_pos_ejec!$F:$F,ri_bimestral_pos_ejec!$C:$C,$C2,ri_bimestral_pos_ejec!$B:$B,$B2,ri_bimestral_pos_ejec!$D:$D,$D2,ri_bimestral_pos_ejec!$E:$E,$E2)</f>
        <v>9912</v>
      </c>
      <c r="H2" s="70">
        <f>SUMIFS(pmp_mt_pos_ejec!$E:$E,pmp_mt_pos_ejec!$A:$A,$C2,pmp_mt_pos_ejec!$B:$B,$B2,pmp_mt_pos_ejec!$C:$C,$D2)</f>
        <v>14561</v>
      </c>
      <c r="I2" s="70">
        <f t="shared" ref="I2:I33" si="0">IF(H2=0,"",MAX(0,H2-F2-G2))</f>
        <v>2783</v>
      </c>
      <c r="J2" s="18" t="str">
        <f t="shared" ref="J2:J33" si="1">IF(H2=0,"Sin PMP",IF(ABS((F2+G2+I2)-H2)&lt;1,"OK","Revisar"))</f>
        <v>OK</v>
      </c>
    </row>
    <row r="3" spans="1:10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f>SUMIFS(ni_bimestral_pos_ejec!$F:$F,ni_bimestral_pos_ejec!$C:$C,$C3,ni_bimestral_pos_ejec!$B:$B,$B3,ni_bimestral_pos_ejec!$D:$D,$D3,ni_bimestral_pos_ejec!$E:$E,$E3)</f>
        <v>0</v>
      </c>
      <c r="G3" s="70">
        <f>SUMIFS(ri_bimestral_pos_ejec!$F:$F,ri_bimestral_pos_ejec!$C:$C,$C3,ri_bimestral_pos_ejec!$B:$B,$B3,ri_bimestral_pos_ejec!$D:$D,$D3,ri_bimestral_pos_ejec!$E:$E,$E3)</f>
        <v>0</v>
      </c>
      <c r="H3" s="70">
        <f>SUMIFS(pmp_mt_pos_ejec!$E:$E,pmp_mt_pos_ejec!$A:$A,$C3,pmp_mt_pos_ejec!$B:$B,$B3,pmp_mt_pos_ejec!$C:$C,$D3)</f>
        <v>14561</v>
      </c>
      <c r="I3" s="70">
        <f t="shared" si="0"/>
        <v>14561</v>
      </c>
      <c r="J3" s="18" t="str">
        <f t="shared" si="1"/>
        <v>OK</v>
      </c>
    </row>
    <row r="4" spans="1:10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f>SUMIFS(ni_bimestral_pos_ejec!$F:$F,ni_bimestral_pos_ejec!$C:$C,$C4,ni_bimestral_pos_ejec!$B:$B,$B4,ni_bimestral_pos_ejec!$D:$D,$D4,ni_bimestral_pos_ejec!$E:$E,$E4)</f>
        <v>952</v>
      </c>
      <c r="G4" s="70">
        <f>SUMIFS(ri_bimestral_pos_ejec!$F:$F,ri_bimestral_pos_ejec!$C:$C,$C4,ri_bimestral_pos_ejec!$B:$B,$B4,ri_bimestral_pos_ejec!$D:$D,$D4,ri_bimestral_pos_ejec!$E:$E,$E4)</f>
        <v>2023</v>
      </c>
      <c r="H4" s="70">
        <f>SUMIFS(pmp_mt_pos_ejec!$E:$E,pmp_mt_pos_ejec!$A:$A,$C4,pmp_mt_pos_ejec!$B:$B,$B4,pmp_mt_pos_ejec!$C:$C,$D4)</f>
        <v>10207</v>
      </c>
      <c r="I4" s="70">
        <f t="shared" si="0"/>
        <v>7232</v>
      </c>
      <c r="J4" s="18" t="str">
        <f t="shared" si="1"/>
        <v>OK</v>
      </c>
    </row>
    <row r="5" spans="1:10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>
        <f>SUMIFS(ni_bimestral_pos_ejec!$F:$F,ni_bimestral_pos_ejec!$C:$C,$C5,ni_bimestral_pos_ejec!$B:$B,$B5,ni_bimestral_pos_ejec!$D:$D,$D5,ni_bimestral_pos_ejec!$E:$E,$E5)</f>
        <v>0</v>
      </c>
      <c r="G5" s="70">
        <f>SUMIFS(ri_bimestral_pos_ejec!$F:$F,ri_bimestral_pos_ejec!$C:$C,$C5,ri_bimestral_pos_ejec!$B:$B,$B5,ri_bimestral_pos_ejec!$D:$D,$D5,ri_bimestral_pos_ejec!$E:$E,$E5)</f>
        <v>0</v>
      </c>
      <c r="H5" s="70">
        <f>SUMIFS(pmp_mt_pos_ejec!$E:$E,pmp_mt_pos_ejec!$A:$A,$C5,pmp_mt_pos_ejec!$B:$B,$B5,pmp_mt_pos_ejec!$C:$C,$D5)</f>
        <v>10207</v>
      </c>
      <c r="I5" s="70">
        <f t="shared" si="0"/>
        <v>10207</v>
      </c>
      <c r="J5" s="18" t="str">
        <f t="shared" si="1"/>
        <v>OK</v>
      </c>
    </row>
    <row r="6" spans="1:10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f>SUMIFS(ni_bimestral_pos_ejec!$F:$F,ni_bimestral_pos_ejec!$C:$C,$C6,ni_bimestral_pos_ejec!$B:$B,$B6,ni_bimestral_pos_ejec!$D:$D,$D6,ni_bimestral_pos_ejec!$E:$E,$E6)</f>
        <v>1660</v>
      </c>
      <c r="G6" s="70">
        <f>SUMIFS(ri_bimestral_pos_ejec!$F:$F,ri_bimestral_pos_ejec!$C:$C,$C6,ri_bimestral_pos_ejec!$B:$B,$B6,ri_bimestral_pos_ejec!$D:$D,$D6,ri_bimestral_pos_ejec!$E:$E,$E6)</f>
        <v>1697</v>
      </c>
      <c r="H6" s="70">
        <f>SUMIFS(pmp_mt_pos_ejec!$E:$E,pmp_mt_pos_ejec!$A:$A,$C6,pmp_mt_pos_ejec!$B:$B,$B6,pmp_mt_pos_ejec!$C:$C,$D6)</f>
        <v>0</v>
      </c>
      <c r="I6" s="70" t="str">
        <f t="shared" si="0"/>
        <v/>
      </c>
      <c r="J6" s="18" t="str">
        <f t="shared" si="1"/>
        <v>Sin PMP</v>
      </c>
    </row>
    <row r="7" spans="1:10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>
        <f>SUMIFS(ni_bimestral_pos_ejec!$F:$F,ni_bimestral_pos_ejec!$C:$C,$C7,ni_bimestral_pos_ejec!$B:$B,$B7,ni_bimestral_pos_ejec!$D:$D,$D7,ni_bimestral_pos_ejec!$E:$E,$E7)</f>
        <v>0</v>
      </c>
      <c r="G7" s="70">
        <f>SUMIFS(ri_bimestral_pos_ejec!$F:$F,ri_bimestral_pos_ejec!$C:$C,$C7,ri_bimestral_pos_ejec!$B:$B,$B7,ri_bimestral_pos_ejec!$D:$D,$D7,ri_bimestral_pos_ejec!$E:$E,$E7)</f>
        <v>0</v>
      </c>
      <c r="H7" s="70">
        <f>SUMIFS(pmp_mt_pos_ejec!$E:$E,pmp_mt_pos_ejec!$A:$A,$C7,pmp_mt_pos_ejec!$B:$B,$B7,pmp_mt_pos_ejec!$C:$C,$D7)</f>
        <v>0</v>
      </c>
      <c r="I7" s="70" t="str">
        <f t="shared" si="0"/>
        <v/>
      </c>
      <c r="J7" s="18" t="str">
        <f t="shared" si="1"/>
        <v>Sin PMP</v>
      </c>
    </row>
    <row r="8" spans="1:10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f>SUMIFS(ni_bimestral_pos_ejec!$F:$F,ni_bimestral_pos_ejec!$C:$C,$C8,ni_bimestral_pos_ejec!$B:$B,$B8,ni_bimestral_pos_ejec!$D:$D,$D8,ni_bimestral_pos_ejec!$E:$E,$E8)</f>
        <v>867</v>
      </c>
      <c r="G8" s="70">
        <f>SUMIFS(ri_bimestral_pos_ejec!$F:$F,ri_bimestral_pos_ejec!$C:$C,$C8,ri_bimestral_pos_ejec!$B:$B,$B8,ri_bimestral_pos_ejec!$D:$D,$D8,ri_bimestral_pos_ejec!$E:$E,$E8)</f>
        <v>2702</v>
      </c>
      <c r="H8" s="70">
        <f>SUMIFS(pmp_mt_pos_ejec!$E:$E,pmp_mt_pos_ejec!$A:$A,$C8,pmp_mt_pos_ejec!$B:$B,$B8,pmp_mt_pos_ejec!$C:$C,$D8)</f>
        <v>0</v>
      </c>
      <c r="I8" s="70" t="str">
        <f t="shared" si="0"/>
        <v/>
      </c>
      <c r="J8" s="18" t="str">
        <f t="shared" si="1"/>
        <v>Sin PMP</v>
      </c>
    </row>
    <row r="9" spans="1:10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>
        <f>SUMIFS(ni_bimestral_pos_ejec!$F:$F,ni_bimestral_pos_ejec!$C:$C,$C9,ni_bimestral_pos_ejec!$B:$B,$B9,ni_bimestral_pos_ejec!$D:$D,$D9,ni_bimestral_pos_ejec!$E:$E,$E9)</f>
        <v>0</v>
      </c>
      <c r="G9" s="70">
        <f>SUMIFS(ri_bimestral_pos_ejec!$F:$F,ri_bimestral_pos_ejec!$C:$C,$C9,ri_bimestral_pos_ejec!$B:$B,$B9,ri_bimestral_pos_ejec!$D:$D,$D9,ri_bimestral_pos_ejec!$E:$E,$E9)</f>
        <v>0</v>
      </c>
      <c r="H9" s="70">
        <f>SUMIFS(pmp_mt_pos_ejec!$E:$E,pmp_mt_pos_ejec!$A:$A,$C9,pmp_mt_pos_ejec!$B:$B,$B9,pmp_mt_pos_ejec!$C:$C,$D9)</f>
        <v>0</v>
      </c>
      <c r="I9" s="70" t="str">
        <f t="shared" si="0"/>
        <v/>
      </c>
      <c r="J9" s="18" t="str">
        <f t="shared" si="1"/>
        <v>Sin PMP</v>
      </c>
    </row>
    <row r="10" spans="1:10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f>SUMIFS(ni_bimestral_pos_ejec!$F:$F,ni_bimestral_pos_ejec!$C:$C,$C10,ni_bimestral_pos_ejec!$B:$B,$B10,ni_bimestral_pos_ejec!$D:$D,$D10,ni_bimestral_pos_ejec!$E:$E,$E10)</f>
        <v>2062</v>
      </c>
      <c r="G10" s="70">
        <f>SUMIFS(ri_bimestral_pos_ejec!$F:$F,ri_bimestral_pos_ejec!$C:$C,$C10,ri_bimestral_pos_ejec!$B:$B,$B10,ri_bimestral_pos_ejec!$D:$D,$D10,ri_bimestral_pos_ejec!$E:$E,$E10)</f>
        <v>3107</v>
      </c>
      <c r="H10" s="70">
        <f>SUMIFS(pmp_mt_pos_ejec!$E:$E,pmp_mt_pos_ejec!$A:$A,$C10,pmp_mt_pos_ejec!$B:$B,$B10,pmp_mt_pos_ejec!$C:$C,$D10)</f>
        <v>0</v>
      </c>
      <c r="I10" s="70" t="str">
        <f t="shared" si="0"/>
        <v/>
      </c>
      <c r="J10" s="18" t="str">
        <f t="shared" si="1"/>
        <v>Sin PMP</v>
      </c>
    </row>
    <row r="11" spans="1:10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>
        <f>SUMIFS(ni_bimestral_pos_ejec!$F:$F,ni_bimestral_pos_ejec!$C:$C,$C11,ni_bimestral_pos_ejec!$B:$B,$B11,ni_bimestral_pos_ejec!$D:$D,$D11,ni_bimestral_pos_ejec!$E:$E,$E11)</f>
        <v>0</v>
      </c>
      <c r="G11" s="70">
        <f>SUMIFS(ri_bimestral_pos_ejec!$F:$F,ri_bimestral_pos_ejec!$C:$C,$C11,ri_bimestral_pos_ejec!$B:$B,$B11,ri_bimestral_pos_ejec!$D:$D,$D11,ri_bimestral_pos_ejec!$E:$E,$E11)</f>
        <v>0</v>
      </c>
      <c r="H11" s="70">
        <f>SUMIFS(pmp_mt_pos_ejec!$E:$E,pmp_mt_pos_ejec!$A:$A,$C11,pmp_mt_pos_ejec!$B:$B,$B11,pmp_mt_pos_ejec!$C:$C,$D11)</f>
        <v>0</v>
      </c>
      <c r="I11" s="70" t="str">
        <f t="shared" si="0"/>
        <v/>
      </c>
      <c r="J11" s="18" t="str">
        <f t="shared" si="1"/>
        <v>Sin PMP</v>
      </c>
    </row>
    <row r="12" spans="1:10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f>SUMIFS(ni_bimestral_pos_ejec!$F:$F,ni_bimestral_pos_ejec!$C:$C,$C12,ni_bimestral_pos_ejec!$B:$B,$B12,ni_bimestral_pos_ejec!$D:$D,$D12,ni_bimestral_pos_ejec!$E:$E,$E12)</f>
        <v>1020</v>
      </c>
      <c r="G12" s="70">
        <f>SUMIFS(ri_bimestral_pos_ejec!$F:$F,ri_bimestral_pos_ejec!$C:$C,$C12,ri_bimestral_pos_ejec!$B:$B,$B12,ri_bimestral_pos_ejec!$D:$D,$D12,ri_bimestral_pos_ejec!$E:$E,$E12)</f>
        <v>3104</v>
      </c>
      <c r="H12" s="70">
        <f>SUMIFS(pmp_mt_pos_ejec!$E:$E,pmp_mt_pos_ejec!$A:$A,$C12,pmp_mt_pos_ejec!$B:$B,$B12,pmp_mt_pos_ejec!$C:$C,$D12)</f>
        <v>0</v>
      </c>
      <c r="I12" s="70" t="str">
        <f t="shared" si="0"/>
        <v/>
      </c>
      <c r="J12" s="18" t="str">
        <f t="shared" si="1"/>
        <v>Sin PMP</v>
      </c>
    </row>
    <row r="13" spans="1:10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>
        <f>SUMIFS(ni_bimestral_pos_ejec!$F:$F,ni_bimestral_pos_ejec!$C:$C,$C13,ni_bimestral_pos_ejec!$B:$B,$B13,ni_bimestral_pos_ejec!$D:$D,$D13,ni_bimestral_pos_ejec!$E:$E,$E13)</f>
        <v>0</v>
      </c>
      <c r="G13" s="70">
        <f>SUMIFS(ri_bimestral_pos_ejec!$F:$F,ri_bimestral_pos_ejec!$C:$C,$C13,ri_bimestral_pos_ejec!$B:$B,$B13,ri_bimestral_pos_ejec!$D:$D,$D13,ri_bimestral_pos_ejec!$E:$E,$E13)</f>
        <v>0</v>
      </c>
      <c r="H13" s="70">
        <f>SUMIFS(pmp_mt_pos_ejec!$E:$E,pmp_mt_pos_ejec!$A:$A,$C13,pmp_mt_pos_ejec!$B:$B,$B13,pmp_mt_pos_ejec!$C:$C,$D13)</f>
        <v>0</v>
      </c>
      <c r="I13" s="70" t="str">
        <f t="shared" si="0"/>
        <v/>
      </c>
      <c r="J13" s="18" t="str">
        <f t="shared" si="1"/>
        <v>Sin PMP</v>
      </c>
    </row>
    <row r="14" spans="1:10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f>SUMIFS(ni_bimestral_pos_ejec!$F:$F,ni_bimestral_pos_ejec!$C:$C,$C14,ni_bimestral_pos_ejec!$B:$B,$B14,ni_bimestral_pos_ejec!$D:$D,$D14,ni_bimestral_pos_ejec!$E:$E,$E14)</f>
        <v>1513</v>
      </c>
      <c r="G14" s="70">
        <f>SUMIFS(ri_bimestral_pos_ejec!$F:$F,ri_bimestral_pos_ejec!$C:$C,$C14,ri_bimestral_pos_ejec!$B:$B,$B14,ri_bimestral_pos_ejec!$D:$D,$D14,ri_bimestral_pos_ejec!$E:$E,$E14)</f>
        <v>4809</v>
      </c>
      <c r="H14" s="70">
        <f>SUMIFS(pmp_mt_pos_ejec!$E:$E,pmp_mt_pos_ejec!$A:$A,$C14,pmp_mt_pos_ejec!$B:$B,$B14,pmp_mt_pos_ejec!$C:$C,$D14)</f>
        <v>0</v>
      </c>
      <c r="I14" s="70" t="str">
        <f t="shared" si="0"/>
        <v/>
      </c>
      <c r="J14" s="18" t="str">
        <f t="shared" si="1"/>
        <v>Sin PMP</v>
      </c>
    </row>
    <row r="15" spans="1:10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>
        <f>SUMIFS(ni_bimestral_pos_ejec!$F:$F,ni_bimestral_pos_ejec!$C:$C,$C15,ni_bimestral_pos_ejec!$B:$B,$B15,ni_bimestral_pos_ejec!$D:$D,$D15,ni_bimestral_pos_ejec!$E:$E,$E15)</f>
        <v>0</v>
      </c>
      <c r="G15" s="70">
        <f>SUMIFS(ri_bimestral_pos_ejec!$F:$F,ri_bimestral_pos_ejec!$C:$C,$C15,ri_bimestral_pos_ejec!$B:$B,$B15,ri_bimestral_pos_ejec!$D:$D,$D15,ri_bimestral_pos_ejec!$E:$E,$E15)</f>
        <v>0</v>
      </c>
      <c r="H15" s="70">
        <f>SUMIFS(pmp_mt_pos_ejec!$E:$E,pmp_mt_pos_ejec!$A:$A,$C15,pmp_mt_pos_ejec!$B:$B,$B15,pmp_mt_pos_ejec!$C:$C,$D15)</f>
        <v>0</v>
      </c>
      <c r="I15" s="70" t="str">
        <f t="shared" si="0"/>
        <v/>
      </c>
      <c r="J15" s="18" t="str">
        <f t="shared" si="1"/>
        <v>Sin PMP</v>
      </c>
    </row>
    <row r="16" spans="1:10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f>SUMIFS(ni_bimestral_pos_ejec!$F:$F,ni_bimestral_pos_ejec!$C:$C,$C16,ni_bimestral_pos_ejec!$B:$B,$B16,ni_bimestral_pos_ejec!$D:$D,$D16,ni_bimestral_pos_ejec!$E:$E,$E16)</f>
        <v>778</v>
      </c>
      <c r="G16" s="70">
        <f>SUMIFS(ri_bimestral_pos_ejec!$F:$F,ri_bimestral_pos_ejec!$C:$C,$C16,ri_bimestral_pos_ejec!$B:$B,$B16,ri_bimestral_pos_ejec!$D:$D,$D16,ri_bimestral_pos_ejec!$E:$E,$E16)</f>
        <v>3528</v>
      </c>
      <c r="H16" s="70">
        <f>SUMIFS(pmp_mt_pos_ejec!$E:$E,pmp_mt_pos_ejec!$A:$A,$C16,pmp_mt_pos_ejec!$B:$B,$B16,pmp_mt_pos_ejec!$C:$C,$D16)</f>
        <v>0</v>
      </c>
      <c r="I16" s="70" t="str">
        <f t="shared" si="0"/>
        <v/>
      </c>
      <c r="J16" s="18" t="str">
        <f t="shared" si="1"/>
        <v>Sin PMP</v>
      </c>
    </row>
    <row r="17" spans="1:10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>
        <f>SUMIFS(ni_bimestral_pos_ejec!$F:$F,ni_bimestral_pos_ejec!$C:$C,$C17,ni_bimestral_pos_ejec!$B:$B,$B17,ni_bimestral_pos_ejec!$D:$D,$D17,ni_bimestral_pos_ejec!$E:$E,$E17)</f>
        <v>0</v>
      </c>
      <c r="G17" s="70">
        <f>SUMIFS(ri_bimestral_pos_ejec!$F:$F,ri_bimestral_pos_ejec!$C:$C,$C17,ri_bimestral_pos_ejec!$B:$B,$B17,ri_bimestral_pos_ejec!$D:$D,$D17,ri_bimestral_pos_ejec!$E:$E,$E17)</f>
        <v>0</v>
      </c>
      <c r="H17" s="70">
        <f>SUMIFS(pmp_mt_pos_ejec!$E:$E,pmp_mt_pos_ejec!$A:$A,$C17,pmp_mt_pos_ejec!$B:$B,$B17,pmp_mt_pos_ejec!$C:$C,$D17)</f>
        <v>0</v>
      </c>
      <c r="I17" s="70" t="str">
        <f t="shared" si="0"/>
        <v/>
      </c>
      <c r="J17" s="18" t="str">
        <f t="shared" si="1"/>
        <v>Sin PMP</v>
      </c>
    </row>
    <row r="18" spans="1:10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f>SUMIFS(ni_bimestral_pos_ejec!$F:$F,ni_bimestral_pos_ejec!$C:$C,$C18,ni_bimestral_pos_ejec!$B:$B,$B18,ni_bimestral_pos_ejec!$D:$D,$D18,ni_bimestral_pos_ejec!$E:$E,$E18)</f>
        <v>2245</v>
      </c>
      <c r="G18" s="70">
        <f>SUMIFS(ri_bimestral_pos_ejec!$F:$F,ri_bimestral_pos_ejec!$C:$C,$C18,ri_bimestral_pos_ejec!$B:$B,$B18,ri_bimestral_pos_ejec!$D:$D,$D18,ri_bimestral_pos_ejec!$E:$E,$E18)</f>
        <v>5886</v>
      </c>
      <c r="H18" s="70">
        <f>SUMIFS(pmp_mt_pos_ejec!$E:$E,pmp_mt_pos_ejec!$A:$A,$C18,pmp_mt_pos_ejec!$B:$B,$B18,pmp_mt_pos_ejec!$C:$C,$D18)</f>
        <v>0</v>
      </c>
      <c r="I18" s="70" t="str">
        <f t="shared" si="0"/>
        <v/>
      </c>
      <c r="J18" s="18" t="str">
        <f t="shared" si="1"/>
        <v>Sin PMP</v>
      </c>
    </row>
    <row r="19" spans="1:10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>
        <f>SUMIFS(ni_bimestral_pos_ejec!$F:$F,ni_bimestral_pos_ejec!$C:$C,$C19,ni_bimestral_pos_ejec!$B:$B,$B19,ni_bimestral_pos_ejec!$D:$D,$D19,ni_bimestral_pos_ejec!$E:$E,$E19)</f>
        <v>0</v>
      </c>
      <c r="G19" s="70">
        <f>SUMIFS(ri_bimestral_pos_ejec!$F:$F,ri_bimestral_pos_ejec!$C:$C,$C19,ri_bimestral_pos_ejec!$B:$B,$B19,ri_bimestral_pos_ejec!$D:$D,$D19,ri_bimestral_pos_ejec!$E:$E,$E19)</f>
        <v>0</v>
      </c>
      <c r="H19" s="70">
        <f>SUMIFS(pmp_mt_pos_ejec!$E:$E,pmp_mt_pos_ejec!$A:$A,$C19,pmp_mt_pos_ejec!$B:$B,$B19,pmp_mt_pos_ejec!$C:$C,$D19)</f>
        <v>0</v>
      </c>
      <c r="I19" s="70" t="str">
        <f t="shared" si="0"/>
        <v/>
      </c>
      <c r="J19" s="18" t="str">
        <f t="shared" si="1"/>
        <v>Sin PMP</v>
      </c>
    </row>
    <row r="20" spans="1:10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f>SUMIFS(ni_bimestral_pos_ejec!$F:$F,ni_bimestral_pos_ejec!$C:$C,$C20,ni_bimestral_pos_ejec!$B:$B,$B20,ni_bimestral_pos_ejec!$D:$D,$D20,ni_bimestral_pos_ejec!$E:$E,$E20)</f>
        <v>1016</v>
      </c>
      <c r="G20" s="70">
        <f>SUMIFS(ri_bimestral_pos_ejec!$F:$F,ri_bimestral_pos_ejec!$C:$C,$C20,ri_bimestral_pos_ejec!$B:$B,$B20,ri_bimestral_pos_ejec!$D:$D,$D20,ri_bimestral_pos_ejec!$E:$E,$E20)</f>
        <v>3798</v>
      </c>
      <c r="H20" s="70">
        <f>SUMIFS(pmp_mt_pos_ejec!$E:$E,pmp_mt_pos_ejec!$A:$A,$C20,pmp_mt_pos_ejec!$B:$B,$B20,pmp_mt_pos_ejec!$C:$C,$D20)</f>
        <v>0</v>
      </c>
      <c r="I20" s="70" t="str">
        <f t="shared" si="0"/>
        <v/>
      </c>
      <c r="J20" s="18" t="str">
        <f t="shared" si="1"/>
        <v>Sin PMP</v>
      </c>
    </row>
    <row r="21" spans="1:10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>
        <f>SUMIFS(ni_bimestral_pos_ejec!$F:$F,ni_bimestral_pos_ejec!$C:$C,$C21,ni_bimestral_pos_ejec!$B:$B,$B21,ni_bimestral_pos_ejec!$D:$D,$D21,ni_bimestral_pos_ejec!$E:$E,$E21)</f>
        <v>0</v>
      </c>
      <c r="G21" s="70">
        <f>SUMIFS(ri_bimestral_pos_ejec!$F:$F,ri_bimestral_pos_ejec!$C:$C,$C21,ri_bimestral_pos_ejec!$B:$B,$B21,ri_bimestral_pos_ejec!$D:$D,$D21,ri_bimestral_pos_ejec!$E:$E,$E21)</f>
        <v>0</v>
      </c>
      <c r="H21" s="70">
        <f>SUMIFS(pmp_mt_pos_ejec!$E:$E,pmp_mt_pos_ejec!$A:$A,$C21,pmp_mt_pos_ejec!$B:$B,$B21,pmp_mt_pos_ejec!$C:$C,$D21)</f>
        <v>0</v>
      </c>
      <c r="I21" s="70" t="str">
        <f t="shared" si="0"/>
        <v/>
      </c>
      <c r="J21" s="18" t="str">
        <f t="shared" si="1"/>
        <v>Sin PMP</v>
      </c>
    </row>
    <row r="22" spans="1:10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f>SUMIFS(ni_bimestral_pos_ejec!$F:$F,ni_bimestral_pos_ejec!$C:$C,$C22,ni_bimestral_pos_ejec!$B:$B,$B22,ni_bimestral_pos_ejec!$D:$D,$D22,ni_bimestral_pos_ejec!$E:$E,$E22)</f>
        <v>1898</v>
      </c>
      <c r="G22" s="70">
        <f>SUMIFS(ri_bimestral_pos_ejec!$F:$F,ri_bimestral_pos_ejec!$C:$C,$C22,ri_bimestral_pos_ejec!$B:$B,$B22,ri_bimestral_pos_ejec!$D:$D,$D22,ri_bimestral_pos_ejec!$E:$E,$E22)</f>
        <v>7563</v>
      </c>
      <c r="H22" s="70">
        <f>SUMIFS(pmp_mt_pos_ejec!$E:$E,pmp_mt_pos_ejec!$A:$A,$C22,pmp_mt_pos_ejec!$B:$B,$B22,pmp_mt_pos_ejec!$C:$C,$D22)</f>
        <v>15271</v>
      </c>
      <c r="I22" s="70">
        <f t="shared" si="0"/>
        <v>5810</v>
      </c>
      <c r="J22" s="18" t="str">
        <f t="shared" si="1"/>
        <v>OK</v>
      </c>
    </row>
    <row r="23" spans="1:10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>
        <f>SUMIFS(ni_bimestral_pos_ejec!$F:$F,ni_bimestral_pos_ejec!$C:$C,$C23,ni_bimestral_pos_ejec!$B:$B,$B23,ni_bimestral_pos_ejec!$D:$D,$D23,ni_bimestral_pos_ejec!$E:$E,$E23)</f>
        <v>0</v>
      </c>
      <c r="G23" s="70">
        <f>SUMIFS(ri_bimestral_pos_ejec!$F:$F,ri_bimestral_pos_ejec!$C:$C,$C23,ri_bimestral_pos_ejec!$B:$B,$B23,ri_bimestral_pos_ejec!$D:$D,$D23,ri_bimestral_pos_ejec!$E:$E,$E23)</f>
        <v>0</v>
      </c>
      <c r="H23" s="70">
        <f>SUMIFS(pmp_mt_pos_ejec!$E:$E,pmp_mt_pos_ejec!$A:$A,$C23,pmp_mt_pos_ejec!$B:$B,$B23,pmp_mt_pos_ejec!$C:$C,$D23)</f>
        <v>15271</v>
      </c>
      <c r="I23" s="70">
        <f t="shared" si="0"/>
        <v>15271</v>
      </c>
      <c r="J23" s="18" t="str">
        <f t="shared" si="1"/>
        <v>OK</v>
      </c>
    </row>
    <row r="24" spans="1:10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f>SUMIFS(ni_bimestral_pos_ejec!$F:$F,ni_bimestral_pos_ejec!$C:$C,$C24,ni_bimestral_pos_ejec!$B:$B,$B24,ni_bimestral_pos_ejec!$D:$D,$D24,ni_bimestral_pos_ejec!$E:$E,$E24)</f>
        <v>1159</v>
      </c>
      <c r="G24" s="70">
        <f>SUMIFS(ri_bimestral_pos_ejec!$F:$F,ri_bimestral_pos_ejec!$C:$C,$C24,ri_bimestral_pos_ejec!$B:$B,$B24,ri_bimestral_pos_ejec!$D:$D,$D24,ri_bimestral_pos_ejec!$E:$E,$E24)</f>
        <v>4070</v>
      </c>
      <c r="H24" s="70">
        <f>SUMIFS(pmp_mt_pos_ejec!$E:$E,pmp_mt_pos_ejec!$A:$A,$C24,pmp_mt_pos_ejec!$B:$B,$B24,pmp_mt_pos_ejec!$C:$C,$D24)</f>
        <v>10729</v>
      </c>
      <c r="I24" s="70">
        <f t="shared" si="0"/>
        <v>5500</v>
      </c>
      <c r="J24" s="18" t="str">
        <f t="shared" si="1"/>
        <v>OK</v>
      </c>
    </row>
    <row r="25" spans="1:10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>
        <f>SUMIFS(ni_bimestral_pos_ejec!$F:$F,ni_bimestral_pos_ejec!$C:$C,$C25,ni_bimestral_pos_ejec!$B:$B,$B25,ni_bimestral_pos_ejec!$D:$D,$D25,ni_bimestral_pos_ejec!$E:$E,$E25)</f>
        <v>0</v>
      </c>
      <c r="G25" s="70">
        <f>SUMIFS(ri_bimestral_pos_ejec!$F:$F,ri_bimestral_pos_ejec!$C:$C,$C25,ri_bimestral_pos_ejec!$B:$B,$B25,ri_bimestral_pos_ejec!$D:$D,$D25,ri_bimestral_pos_ejec!$E:$E,$E25)</f>
        <v>0</v>
      </c>
      <c r="H25" s="70">
        <f>SUMIFS(pmp_mt_pos_ejec!$E:$E,pmp_mt_pos_ejec!$A:$A,$C25,pmp_mt_pos_ejec!$B:$B,$B25,pmp_mt_pos_ejec!$C:$C,$D25)</f>
        <v>10729</v>
      </c>
      <c r="I25" s="70">
        <f t="shared" si="0"/>
        <v>10729</v>
      </c>
      <c r="J25" s="18" t="str">
        <f t="shared" si="1"/>
        <v>OK</v>
      </c>
    </row>
    <row r="26" spans="1:10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f>SUMIFS(ni_bimestral_pos_ejec!$F:$F,ni_bimestral_pos_ejec!$C:$C,$C26,ni_bimestral_pos_ejec!$B:$B,$B26,ni_bimestral_pos_ejec!$D:$D,$D26,ni_bimestral_pos_ejec!$E:$E,$E26)</f>
        <v>1898</v>
      </c>
      <c r="G26" s="70">
        <f>SUMIFS(ri_bimestral_pos_ejec!$F:$F,ri_bimestral_pos_ejec!$C:$C,$C26,ri_bimestral_pos_ejec!$B:$B,$B26,ri_bimestral_pos_ejec!$D:$D,$D26,ri_bimestral_pos_ejec!$E:$E,$E26)</f>
        <v>8762</v>
      </c>
      <c r="H26" s="70">
        <f>SUMIFS(pmp_mt_pos_ejec!$E:$E,pmp_mt_pos_ejec!$A:$A,$C26,pmp_mt_pos_ejec!$B:$B,$B26,pmp_mt_pos_ejec!$C:$C,$D26)</f>
        <v>0</v>
      </c>
      <c r="I26" s="70" t="str">
        <f t="shared" si="0"/>
        <v/>
      </c>
      <c r="J26" s="18" t="str">
        <f t="shared" si="1"/>
        <v>Sin PMP</v>
      </c>
    </row>
    <row r="27" spans="1:10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>
        <f>SUMIFS(ni_bimestral_pos_ejec!$F:$F,ni_bimestral_pos_ejec!$C:$C,$C27,ni_bimestral_pos_ejec!$B:$B,$B27,ni_bimestral_pos_ejec!$D:$D,$D27,ni_bimestral_pos_ejec!$E:$E,$E27)</f>
        <v>0</v>
      </c>
      <c r="G27" s="70">
        <f>SUMIFS(ri_bimestral_pos_ejec!$F:$F,ri_bimestral_pos_ejec!$C:$C,$C27,ri_bimestral_pos_ejec!$B:$B,$B27,ri_bimestral_pos_ejec!$D:$D,$D27,ri_bimestral_pos_ejec!$E:$E,$E27)</f>
        <v>0</v>
      </c>
      <c r="H27" s="70">
        <f>SUMIFS(pmp_mt_pos_ejec!$E:$E,pmp_mt_pos_ejec!$A:$A,$C27,pmp_mt_pos_ejec!$B:$B,$B27,pmp_mt_pos_ejec!$C:$C,$D27)</f>
        <v>0</v>
      </c>
      <c r="I27" s="70" t="str">
        <f t="shared" si="0"/>
        <v/>
      </c>
      <c r="J27" s="18" t="str">
        <f t="shared" si="1"/>
        <v>Sin PMP</v>
      </c>
    </row>
    <row r="28" spans="1:10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f>SUMIFS(ni_bimestral_pos_ejec!$F:$F,ni_bimestral_pos_ejec!$C:$C,$C28,ni_bimestral_pos_ejec!$B:$B,$B28,ni_bimestral_pos_ejec!$D:$D,$D28,ni_bimestral_pos_ejec!$E:$E,$E28)</f>
        <v>1045</v>
      </c>
      <c r="G28" s="70">
        <f>SUMIFS(ri_bimestral_pos_ejec!$F:$F,ri_bimestral_pos_ejec!$C:$C,$C28,ri_bimestral_pos_ejec!$B:$B,$B28,ri_bimestral_pos_ejec!$D:$D,$D28,ri_bimestral_pos_ejec!$E:$E,$E28)</f>
        <v>4672</v>
      </c>
      <c r="H28" s="70">
        <f>SUMIFS(pmp_mt_pos_ejec!$E:$E,pmp_mt_pos_ejec!$A:$A,$C28,pmp_mt_pos_ejec!$B:$B,$B28,pmp_mt_pos_ejec!$C:$C,$D28)</f>
        <v>0</v>
      </c>
      <c r="I28" s="70" t="str">
        <f t="shared" si="0"/>
        <v/>
      </c>
      <c r="J28" s="18" t="str">
        <f t="shared" si="1"/>
        <v>Sin PMP</v>
      </c>
    </row>
    <row r="29" spans="1:10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>
        <f>SUMIFS(ni_bimestral_pos_ejec!$F:$F,ni_bimestral_pos_ejec!$C:$C,$C29,ni_bimestral_pos_ejec!$B:$B,$B29,ni_bimestral_pos_ejec!$D:$D,$D29,ni_bimestral_pos_ejec!$E:$E,$E29)</f>
        <v>0</v>
      </c>
      <c r="G29" s="70">
        <f>SUMIFS(ri_bimestral_pos_ejec!$F:$F,ri_bimestral_pos_ejec!$C:$C,$C29,ri_bimestral_pos_ejec!$B:$B,$B29,ri_bimestral_pos_ejec!$D:$D,$D29,ri_bimestral_pos_ejec!$E:$E,$E29)</f>
        <v>0</v>
      </c>
      <c r="H29" s="70">
        <f>SUMIFS(pmp_mt_pos_ejec!$E:$E,pmp_mt_pos_ejec!$A:$A,$C29,pmp_mt_pos_ejec!$B:$B,$B29,pmp_mt_pos_ejec!$C:$C,$D29)</f>
        <v>0</v>
      </c>
      <c r="I29" s="70" t="str">
        <f t="shared" si="0"/>
        <v/>
      </c>
      <c r="J29" s="18" t="str">
        <f t="shared" si="1"/>
        <v>Sin PMP</v>
      </c>
    </row>
    <row r="30" spans="1:10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f>SUMIFS(ni_bimestral_pos_ejec!$F:$F,ni_bimestral_pos_ejec!$C:$C,$C30,ni_bimestral_pos_ejec!$B:$B,$B30,ni_bimestral_pos_ejec!$D:$D,$D30,ni_bimestral_pos_ejec!$E:$E,$E30)</f>
        <v>2338</v>
      </c>
      <c r="G30" s="70">
        <f>SUMIFS(ri_bimestral_pos_ejec!$F:$F,ri_bimestral_pos_ejec!$C:$C,$C30,ri_bimestral_pos_ejec!$B:$B,$B30,ri_bimestral_pos_ejec!$D:$D,$D30,ri_bimestral_pos_ejec!$E:$E,$E30)</f>
        <v>9833</v>
      </c>
      <c r="H30" s="70">
        <f>SUMIFS(pmp_mt_pos_ejec!$E:$E,pmp_mt_pos_ejec!$A:$A,$C30,pmp_mt_pos_ejec!$B:$B,$B30,pmp_mt_pos_ejec!$C:$C,$D30)</f>
        <v>0</v>
      </c>
      <c r="I30" s="70" t="str">
        <f t="shared" si="0"/>
        <v/>
      </c>
      <c r="J30" s="18" t="str">
        <f t="shared" si="1"/>
        <v>Sin PMP</v>
      </c>
    </row>
    <row r="31" spans="1:10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>
        <f>SUMIFS(ni_bimestral_pos_ejec!$F:$F,ni_bimestral_pos_ejec!$C:$C,$C31,ni_bimestral_pos_ejec!$B:$B,$B31,ni_bimestral_pos_ejec!$D:$D,$D31,ni_bimestral_pos_ejec!$E:$E,$E31)</f>
        <v>0</v>
      </c>
      <c r="G31" s="70">
        <f>SUMIFS(ri_bimestral_pos_ejec!$F:$F,ri_bimestral_pos_ejec!$C:$C,$C31,ri_bimestral_pos_ejec!$B:$B,$B31,ri_bimestral_pos_ejec!$D:$D,$D31,ri_bimestral_pos_ejec!$E:$E,$E31)</f>
        <v>0</v>
      </c>
      <c r="H31" s="70">
        <f>SUMIFS(pmp_mt_pos_ejec!$E:$E,pmp_mt_pos_ejec!$A:$A,$C31,pmp_mt_pos_ejec!$B:$B,$B31,pmp_mt_pos_ejec!$C:$C,$D31)</f>
        <v>0</v>
      </c>
      <c r="I31" s="70" t="str">
        <f t="shared" si="0"/>
        <v/>
      </c>
      <c r="J31" s="18" t="str">
        <f t="shared" si="1"/>
        <v>Sin PMP</v>
      </c>
    </row>
    <row r="32" spans="1:10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f>SUMIFS(ni_bimestral_pos_ejec!$F:$F,ni_bimestral_pos_ejec!$C:$C,$C32,ni_bimestral_pos_ejec!$B:$B,$B32,ni_bimestral_pos_ejec!$D:$D,$D32,ni_bimestral_pos_ejec!$E:$E,$E32)</f>
        <v>1105</v>
      </c>
      <c r="G32" s="70">
        <f>SUMIFS(ri_bimestral_pos_ejec!$F:$F,ri_bimestral_pos_ejec!$C:$C,$C32,ri_bimestral_pos_ejec!$B:$B,$B32,ri_bimestral_pos_ejec!$D:$D,$D32,ri_bimestral_pos_ejec!$E:$E,$E32)</f>
        <v>4949</v>
      </c>
      <c r="H32" s="70">
        <f>SUMIFS(pmp_mt_pos_ejec!$E:$E,pmp_mt_pos_ejec!$A:$A,$C32,pmp_mt_pos_ejec!$B:$B,$B32,pmp_mt_pos_ejec!$C:$C,$D32)</f>
        <v>0</v>
      </c>
      <c r="I32" s="70" t="str">
        <f t="shared" si="0"/>
        <v/>
      </c>
      <c r="J32" s="18" t="str">
        <f t="shared" si="1"/>
        <v>Sin PMP</v>
      </c>
    </row>
    <row r="33" spans="1:10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>
        <f>SUMIFS(ni_bimestral_pos_ejec!$F:$F,ni_bimestral_pos_ejec!$C:$C,$C33,ni_bimestral_pos_ejec!$B:$B,$B33,ni_bimestral_pos_ejec!$D:$D,$D33,ni_bimestral_pos_ejec!$E:$E,$E33)</f>
        <v>0</v>
      </c>
      <c r="G33" s="70">
        <f>SUMIFS(ri_bimestral_pos_ejec!$F:$F,ri_bimestral_pos_ejec!$C:$C,$C33,ri_bimestral_pos_ejec!$B:$B,$B33,ri_bimestral_pos_ejec!$D:$D,$D33,ri_bimestral_pos_ejec!$E:$E,$E33)</f>
        <v>0</v>
      </c>
      <c r="H33" s="70">
        <f>SUMIFS(pmp_mt_pos_ejec!$E:$E,pmp_mt_pos_ejec!$A:$A,$C33,pmp_mt_pos_ejec!$B:$B,$B33,pmp_mt_pos_ejec!$C:$C,$D33)</f>
        <v>0</v>
      </c>
      <c r="I33" s="70" t="str">
        <f t="shared" si="0"/>
        <v/>
      </c>
      <c r="J33" s="18" t="str">
        <f t="shared" si="1"/>
        <v>Sin PMP</v>
      </c>
    </row>
    <row r="34" spans="1:10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f>SUMIFS(ni_bimestral_pos_ejec!$F:$F,ni_bimestral_pos_ejec!$C:$C,$C34,ni_bimestral_pos_ejec!$B:$B,$B34,ni_bimestral_pos_ejec!$D:$D,$D34,ni_bimestral_pos_ejec!$E:$E,$E34)</f>
        <v>1713</v>
      </c>
      <c r="G34" s="70">
        <f>SUMIFS(ri_bimestral_pos_ejec!$F:$F,ri_bimestral_pos_ejec!$C:$C,$C34,ri_bimestral_pos_ejec!$B:$B,$B34,ri_bimestral_pos_ejec!$D:$D,$D34,ri_bimestral_pos_ejec!$E:$E,$E34)</f>
        <v>11303</v>
      </c>
      <c r="H34" s="70">
        <f>SUMIFS(pmp_mt_pos_ejec!$E:$E,pmp_mt_pos_ejec!$A:$A,$C34,pmp_mt_pos_ejec!$B:$B,$B34,pmp_mt_pos_ejec!$C:$C,$D34)</f>
        <v>0</v>
      </c>
      <c r="I34" s="70" t="str">
        <f t="shared" ref="I34:I65" si="2">IF(H34=0,"",MAX(0,H34-F34-G34))</f>
        <v/>
      </c>
      <c r="J34" s="18" t="str">
        <f t="shared" ref="J34:J65" si="3">IF(H34=0,"Sin PMP",IF(ABS((F34+G34+I34)-H34)&lt;1,"OK","Revisar"))</f>
        <v>Sin PMP</v>
      </c>
    </row>
    <row r="35" spans="1:10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>
        <f>SUMIFS(ni_bimestral_pos_ejec!$F:$F,ni_bimestral_pos_ejec!$C:$C,$C35,ni_bimestral_pos_ejec!$B:$B,$B35,ni_bimestral_pos_ejec!$D:$D,$D35,ni_bimestral_pos_ejec!$E:$E,$E35)</f>
        <v>0</v>
      </c>
      <c r="G35" s="70">
        <f>SUMIFS(ri_bimestral_pos_ejec!$F:$F,ri_bimestral_pos_ejec!$C:$C,$C35,ri_bimestral_pos_ejec!$B:$B,$B35,ri_bimestral_pos_ejec!$D:$D,$D35,ri_bimestral_pos_ejec!$E:$E,$E35)</f>
        <v>0</v>
      </c>
      <c r="H35" s="70">
        <f>SUMIFS(pmp_mt_pos_ejec!$E:$E,pmp_mt_pos_ejec!$A:$A,$C35,pmp_mt_pos_ejec!$B:$B,$B35,pmp_mt_pos_ejec!$C:$C,$D35)</f>
        <v>0</v>
      </c>
      <c r="I35" s="70" t="str">
        <f t="shared" si="2"/>
        <v/>
      </c>
      <c r="J35" s="18" t="str">
        <f t="shared" si="3"/>
        <v>Sin PMP</v>
      </c>
    </row>
    <row r="36" spans="1:10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f>SUMIFS(ni_bimestral_pos_ejec!$F:$F,ni_bimestral_pos_ejec!$C:$C,$C36,ni_bimestral_pos_ejec!$B:$B,$B36,ni_bimestral_pos_ejec!$D:$D,$D36,ni_bimestral_pos_ejec!$E:$E,$E36)</f>
        <v>872</v>
      </c>
      <c r="G36" s="70">
        <f>SUMIFS(ri_bimestral_pos_ejec!$F:$F,ri_bimestral_pos_ejec!$C:$C,$C36,ri_bimestral_pos_ejec!$B:$B,$B36,ri_bimestral_pos_ejec!$D:$D,$D36,ri_bimestral_pos_ejec!$E:$E,$E36)</f>
        <v>5352</v>
      </c>
      <c r="H36" s="70">
        <f>SUMIFS(pmp_mt_pos_ejec!$E:$E,pmp_mt_pos_ejec!$A:$A,$C36,pmp_mt_pos_ejec!$B:$B,$B36,pmp_mt_pos_ejec!$C:$C,$D36)</f>
        <v>0</v>
      </c>
      <c r="I36" s="70" t="str">
        <f t="shared" si="2"/>
        <v/>
      </c>
      <c r="J36" s="18" t="str">
        <f t="shared" si="3"/>
        <v>Sin PMP</v>
      </c>
    </row>
    <row r="37" spans="1:10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>
        <f>SUMIFS(ni_bimestral_pos_ejec!$F:$F,ni_bimestral_pos_ejec!$C:$C,$C37,ni_bimestral_pos_ejec!$B:$B,$B37,ni_bimestral_pos_ejec!$D:$D,$D37,ni_bimestral_pos_ejec!$E:$E,$E37)</f>
        <v>0</v>
      </c>
      <c r="G37" s="70">
        <f>SUMIFS(ri_bimestral_pos_ejec!$F:$F,ri_bimestral_pos_ejec!$C:$C,$C37,ri_bimestral_pos_ejec!$B:$B,$B37,ri_bimestral_pos_ejec!$D:$D,$D37,ri_bimestral_pos_ejec!$E:$E,$E37)</f>
        <v>0</v>
      </c>
      <c r="H37" s="70">
        <f>SUMIFS(pmp_mt_pos_ejec!$E:$E,pmp_mt_pos_ejec!$A:$A,$C37,pmp_mt_pos_ejec!$B:$B,$B37,pmp_mt_pos_ejec!$C:$C,$D37)</f>
        <v>0</v>
      </c>
      <c r="I37" s="70" t="str">
        <f t="shared" si="2"/>
        <v/>
      </c>
      <c r="J37" s="18" t="str">
        <f t="shared" si="3"/>
        <v>Sin PMP</v>
      </c>
    </row>
    <row r="38" spans="1:10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f>SUMIFS(ni_bimestral_pos_ejec!$F:$F,ni_bimestral_pos_ejec!$C:$C,$C38,ni_bimestral_pos_ejec!$B:$B,$B38,ni_bimestral_pos_ejec!$D:$D,$D38,ni_bimestral_pos_ejec!$E:$E,$E38)</f>
        <v>2542</v>
      </c>
      <c r="G38" s="70">
        <f>SUMIFS(ri_bimestral_pos_ejec!$F:$F,ri_bimestral_pos_ejec!$C:$C,$C38,ri_bimestral_pos_ejec!$B:$B,$B38,ri_bimestral_pos_ejec!$D:$D,$D38,ri_bimestral_pos_ejec!$E:$E,$E38)</f>
        <v>12071</v>
      </c>
      <c r="H38" s="70">
        <f>SUMIFS(pmp_mt_pos_ejec!$E:$E,pmp_mt_pos_ejec!$A:$A,$C38,pmp_mt_pos_ejec!$B:$B,$B38,pmp_mt_pos_ejec!$C:$C,$D38)</f>
        <v>0</v>
      </c>
      <c r="I38" s="70" t="str">
        <f t="shared" si="2"/>
        <v/>
      </c>
      <c r="J38" s="18" t="str">
        <f t="shared" si="3"/>
        <v>Sin PMP</v>
      </c>
    </row>
    <row r="39" spans="1:10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>
        <f>SUMIFS(ni_bimestral_pos_ejec!$F:$F,ni_bimestral_pos_ejec!$C:$C,$C39,ni_bimestral_pos_ejec!$B:$B,$B39,ni_bimestral_pos_ejec!$D:$D,$D39,ni_bimestral_pos_ejec!$E:$E,$E39)</f>
        <v>0</v>
      </c>
      <c r="G39" s="70">
        <f>SUMIFS(ri_bimestral_pos_ejec!$F:$F,ri_bimestral_pos_ejec!$C:$C,$C39,ri_bimestral_pos_ejec!$B:$B,$B39,ri_bimestral_pos_ejec!$D:$D,$D39,ri_bimestral_pos_ejec!$E:$E,$E39)</f>
        <v>0</v>
      </c>
      <c r="H39" s="70">
        <f>SUMIFS(pmp_mt_pos_ejec!$E:$E,pmp_mt_pos_ejec!$A:$A,$C39,pmp_mt_pos_ejec!$B:$B,$B39,pmp_mt_pos_ejec!$C:$C,$D39)</f>
        <v>0</v>
      </c>
      <c r="I39" s="70" t="str">
        <f t="shared" si="2"/>
        <v/>
      </c>
      <c r="J39" s="18" t="str">
        <f t="shared" si="3"/>
        <v>Sin PMP</v>
      </c>
    </row>
    <row r="40" spans="1:10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f>SUMIFS(ni_bimestral_pos_ejec!$F:$F,ni_bimestral_pos_ejec!$C:$C,$C40,ni_bimestral_pos_ejec!$B:$B,$B40,ni_bimestral_pos_ejec!$D:$D,$D40,ni_bimestral_pos_ejec!$E:$E,$E40)</f>
        <v>1131</v>
      </c>
      <c r="G40" s="70">
        <f>SUMIFS(ri_bimestral_pos_ejec!$F:$F,ri_bimestral_pos_ejec!$C:$C,$C40,ri_bimestral_pos_ejec!$B:$B,$B40,ri_bimestral_pos_ejec!$D:$D,$D40,ri_bimestral_pos_ejec!$E:$E,$E40)</f>
        <v>5847</v>
      </c>
      <c r="H40" s="70">
        <f>SUMIFS(pmp_mt_pos_ejec!$E:$E,pmp_mt_pos_ejec!$A:$A,$C40,pmp_mt_pos_ejec!$B:$B,$B40,pmp_mt_pos_ejec!$C:$C,$D40)</f>
        <v>0</v>
      </c>
      <c r="I40" s="70" t="str">
        <f t="shared" si="2"/>
        <v/>
      </c>
      <c r="J40" s="18" t="str">
        <f t="shared" si="3"/>
        <v>Sin PMP</v>
      </c>
    </row>
    <row r="41" spans="1:10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>
        <f>SUMIFS(ni_bimestral_pos_ejec!$F:$F,ni_bimestral_pos_ejec!$C:$C,$C41,ni_bimestral_pos_ejec!$B:$B,$B41,ni_bimestral_pos_ejec!$D:$D,$D41,ni_bimestral_pos_ejec!$E:$E,$E41)</f>
        <v>0</v>
      </c>
      <c r="G41" s="70">
        <f>SUMIFS(ri_bimestral_pos_ejec!$F:$F,ri_bimestral_pos_ejec!$C:$C,$C41,ri_bimestral_pos_ejec!$B:$B,$B41,ri_bimestral_pos_ejec!$D:$D,$D41,ri_bimestral_pos_ejec!$E:$E,$E41)</f>
        <v>0</v>
      </c>
      <c r="H41" s="70">
        <f>SUMIFS(pmp_mt_pos_ejec!$E:$E,pmp_mt_pos_ejec!$A:$A,$C41,pmp_mt_pos_ejec!$B:$B,$B41,pmp_mt_pos_ejec!$C:$C,$D41)</f>
        <v>0</v>
      </c>
      <c r="I41" s="70" t="str">
        <f t="shared" si="2"/>
        <v/>
      </c>
      <c r="J41" s="18" t="str">
        <f t="shared" si="3"/>
        <v>Sin PMP</v>
      </c>
    </row>
    <row r="42" spans="1:10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f>SUMIFS(ni_bimestral_pos_ejec!$F:$F,ni_bimestral_pos_ejec!$C:$C,$C42,ni_bimestral_pos_ejec!$B:$B,$B42,ni_bimestral_pos_ejec!$D:$D,$D42,ni_bimestral_pos_ejec!$E:$E,$E42)</f>
        <v>2056</v>
      </c>
      <c r="G42" s="70">
        <f>SUMIFS(ri_bimestral_pos_ejec!$F:$F,ri_bimestral_pos_ejec!$C:$C,$C42,ri_bimestral_pos_ejec!$B:$B,$B42,ri_bimestral_pos_ejec!$D:$D,$D42,ri_bimestral_pos_ejec!$E:$E,$E42)</f>
        <v>13052</v>
      </c>
      <c r="H42" s="70">
        <f>SUMIFS(pmp_mt_pos_ejec!$E:$E,pmp_mt_pos_ejec!$A:$A,$C42,pmp_mt_pos_ejec!$B:$B,$B42,pmp_mt_pos_ejec!$C:$C,$D42)</f>
        <v>16108</v>
      </c>
      <c r="I42" s="70">
        <f t="shared" si="2"/>
        <v>1000</v>
      </c>
      <c r="J42" s="18" t="str">
        <f t="shared" si="3"/>
        <v>OK</v>
      </c>
    </row>
    <row r="43" spans="1:10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>
        <f>SUMIFS(ni_bimestral_pos_ejec!$F:$F,ni_bimestral_pos_ejec!$C:$C,$C43,ni_bimestral_pos_ejec!$B:$B,$B43,ni_bimestral_pos_ejec!$D:$D,$D43,ni_bimestral_pos_ejec!$E:$E,$E43)</f>
        <v>0</v>
      </c>
      <c r="G43" s="70">
        <f>SUMIFS(ri_bimestral_pos_ejec!$F:$F,ri_bimestral_pos_ejec!$C:$C,$C43,ri_bimestral_pos_ejec!$B:$B,$B43,ri_bimestral_pos_ejec!$D:$D,$D43,ri_bimestral_pos_ejec!$E:$E,$E43)</f>
        <v>0</v>
      </c>
      <c r="H43" s="70">
        <f>SUMIFS(pmp_mt_pos_ejec!$E:$E,pmp_mt_pos_ejec!$A:$A,$C43,pmp_mt_pos_ejec!$B:$B,$B43,pmp_mt_pos_ejec!$C:$C,$D43)</f>
        <v>16108</v>
      </c>
      <c r="I43" s="70">
        <f t="shared" si="2"/>
        <v>16108</v>
      </c>
      <c r="J43" s="18" t="str">
        <f t="shared" si="3"/>
        <v>OK</v>
      </c>
    </row>
    <row r="44" spans="1:10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f>SUMIFS(ni_bimestral_pos_ejec!$F:$F,ni_bimestral_pos_ejec!$C:$C,$C44,ni_bimestral_pos_ejec!$B:$B,$B44,ni_bimestral_pos_ejec!$D:$D,$D44,ni_bimestral_pos_ejec!$E:$E,$E44)</f>
        <v>1254</v>
      </c>
      <c r="G44" s="70">
        <f>SUMIFS(ri_bimestral_pos_ejec!$F:$F,ri_bimestral_pos_ejec!$C:$C,$C44,ri_bimestral_pos_ejec!$B:$B,$B44,ri_bimestral_pos_ejec!$D:$D,$D44,ri_bimestral_pos_ejec!$E:$E,$E44)</f>
        <v>6377</v>
      </c>
      <c r="H44" s="70">
        <f>SUMIFS(pmp_mt_pos_ejec!$E:$E,pmp_mt_pos_ejec!$A:$A,$C44,pmp_mt_pos_ejec!$B:$B,$B44,pmp_mt_pos_ejec!$C:$C,$D44)</f>
        <v>12095</v>
      </c>
      <c r="I44" s="70">
        <f t="shared" si="2"/>
        <v>4464</v>
      </c>
      <c r="J44" s="18" t="str">
        <f t="shared" si="3"/>
        <v>OK</v>
      </c>
    </row>
    <row r="45" spans="1:10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>
        <f>SUMIFS(ni_bimestral_pos_ejec!$F:$F,ni_bimestral_pos_ejec!$C:$C,$C45,ni_bimestral_pos_ejec!$B:$B,$B45,ni_bimestral_pos_ejec!$D:$D,$D45,ni_bimestral_pos_ejec!$E:$E,$E45)</f>
        <v>36</v>
      </c>
      <c r="G45" s="70">
        <f>SUMIFS(ri_bimestral_pos_ejec!$F:$F,ri_bimestral_pos_ejec!$C:$C,$C45,ri_bimestral_pos_ejec!$B:$B,$B45,ri_bimestral_pos_ejec!$D:$D,$D45,ri_bimestral_pos_ejec!$E:$E,$E45)</f>
        <v>0</v>
      </c>
      <c r="H45" s="70">
        <f>SUMIFS(pmp_mt_pos_ejec!$E:$E,pmp_mt_pos_ejec!$A:$A,$C45,pmp_mt_pos_ejec!$B:$B,$B45,pmp_mt_pos_ejec!$C:$C,$D45)</f>
        <v>12095</v>
      </c>
      <c r="I45" s="70">
        <f t="shared" si="2"/>
        <v>12059</v>
      </c>
      <c r="J45" s="18" t="str">
        <f t="shared" si="3"/>
        <v>OK</v>
      </c>
    </row>
    <row r="46" spans="1:10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f>SUMIFS(ni_bimestral_pos_ejec!$F:$F,ni_bimestral_pos_ejec!$C:$C,$C46,ni_bimestral_pos_ejec!$B:$B,$B46,ni_bimestral_pos_ejec!$D:$D,$D46,ni_bimestral_pos_ejec!$E:$E,$E46)</f>
        <v>2020</v>
      </c>
      <c r="G46" s="70">
        <f>SUMIFS(ri_bimestral_pos_ejec!$F:$F,ri_bimestral_pos_ejec!$C:$C,$C46,ri_bimestral_pos_ejec!$B:$B,$B46,ri_bimestral_pos_ejec!$D:$D,$D46,ri_bimestral_pos_ejec!$E:$E,$E46)</f>
        <v>13294</v>
      </c>
      <c r="H46" s="70">
        <f>SUMIFS(pmp_mt_pos_ejec!$E:$E,pmp_mt_pos_ejec!$A:$A,$C46,pmp_mt_pos_ejec!$B:$B,$B46,pmp_mt_pos_ejec!$C:$C,$D46)</f>
        <v>0</v>
      </c>
      <c r="I46" s="70" t="str">
        <f t="shared" si="2"/>
        <v/>
      </c>
      <c r="J46" s="18" t="str">
        <f t="shared" si="3"/>
        <v>Sin PMP</v>
      </c>
    </row>
    <row r="47" spans="1:10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>
        <f>SUMIFS(ni_bimestral_pos_ejec!$F:$F,ni_bimestral_pos_ejec!$C:$C,$C47,ni_bimestral_pos_ejec!$B:$B,$B47,ni_bimestral_pos_ejec!$D:$D,$D47,ni_bimestral_pos_ejec!$E:$E,$E47)</f>
        <v>35</v>
      </c>
      <c r="G47" s="70">
        <f>SUMIFS(ri_bimestral_pos_ejec!$F:$F,ri_bimestral_pos_ejec!$C:$C,$C47,ri_bimestral_pos_ejec!$B:$B,$B47,ri_bimestral_pos_ejec!$D:$D,$D47,ri_bimestral_pos_ejec!$E:$E,$E47)</f>
        <v>0</v>
      </c>
      <c r="H47" s="70">
        <f>SUMIFS(pmp_mt_pos_ejec!$E:$E,pmp_mt_pos_ejec!$A:$A,$C47,pmp_mt_pos_ejec!$B:$B,$B47,pmp_mt_pos_ejec!$C:$C,$D47)</f>
        <v>0</v>
      </c>
      <c r="I47" s="70" t="str">
        <f t="shared" si="2"/>
        <v/>
      </c>
      <c r="J47" s="18" t="str">
        <f t="shared" si="3"/>
        <v>Sin PMP</v>
      </c>
    </row>
    <row r="48" spans="1:10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f>SUMIFS(ni_bimestral_pos_ejec!$F:$F,ni_bimestral_pos_ejec!$C:$C,$C48,ni_bimestral_pos_ejec!$B:$B,$B48,ni_bimestral_pos_ejec!$D:$D,$D48,ni_bimestral_pos_ejec!$E:$E,$E48)</f>
        <v>1086</v>
      </c>
      <c r="G48" s="70">
        <f>SUMIFS(ri_bimestral_pos_ejec!$F:$F,ri_bimestral_pos_ejec!$C:$C,$C48,ri_bimestral_pos_ejec!$B:$B,$B48,ri_bimestral_pos_ejec!$D:$D,$D48,ri_bimestral_pos_ejec!$E:$E,$E48)</f>
        <v>6525</v>
      </c>
      <c r="H48" s="70">
        <f>SUMIFS(pmp_mt_pos_ejec!$E:$E,pmp_mt_pos_ejec!$A:$A,$C48,pmp_mt_pos_ejec!$B:$B,$B48,pmp_mt_pos_ejec!$C:$C,$D48)</f>
        <v>0</v>
      </c>
      <c r="I48" s="70" t="str">
        <f t="shared" si="2"/>
        <v/>
      </c>
      <c r="J48" s="18" t="str">
        <f t="shared" si="3"/>
        <v>Sin PMP</v>
      </c>
    </row>
    <row r="49" spans="1:10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>
        <f>SUMIFS(ni_bimestral_pos_ejec!$F:$F,ni_bimestral_pos_ejec!$C:$C,$C49,ni_bimestral_pos_ejec!$B:$B,$B49,ni_bimestral_pos_ejec!$D:$D,$D49,ni_bimestral_pos_ejec!$E:$E,$E49)</f>
        <v>31</v>
      </c>
      <c r="G49" s="70">
        <f>SUMIFS(ri_bimestral_pos_ejec!$F:$F,ri_bimestral_pos_ejec!$C:$C,$C49,ri_bimestral_pos_ejec!$B:$B,$B49,ri_bimestral_pos_ejec!$D:$D,$D49,ri_bimestral_pos_ejec!$E:$E,$E49)</f>
        <v>0</v>
      </c>
      <c r="H49" s="70">
        <f>SUMIFS(pmp_mt_pos_ejec!$E:$E,pmp_mt_pos_ejec!$A:$A,$C49,pmp_mt_pos_ejec!$B:$B,$B49,pmp_mt_pos_ejec!$C:$C,$D49)</f>
        <v>0</v>
      </c>
      <c r="I49" s="70" t="str">
        <f t="shared" si="2"/>
        <v/>
      </c>
      <c r="J49" s="18" t="str">
        <f t="shared" si="3"/>
        <v>Sin PMP</v>
      </c>
    </row>
    <row r="50" spans="1:10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f>SUMIFS(ni_bimestral_pos_ejec!$F:$F,ni_bimestral_pos_ejec!$C:$C,$C50,ni_bimestral_pos_ejec!$B:$B,$B50,ni_bimestral_pos_ejec!$D:$D,$D50,ni_bimestral_pos_ejec!$E:$E,$E50)</f>
        <v>2374</v>
      </c>
      <c r="G50" s="70">
        <f>SUMIFS(ri_bimestral_pos_ejec!$F:$F,ri_bimestral_pos_ejec!$C:$C,$C50,ri_bimestral_pos_ejec!$B:$B,$B50,ri_bimestral_pos_ejec!$D:$D,$D50,ri_bimestral_pos_ejec!$E:$E,$E50)</f>
        <v>13470</v>
      </c>
      <c r="H50" s="70">
        <f>SUMIFS(pmp_mt_pos_ejec!$E:$E,pmp_mt_pos_ejec!$A:$A,$C50,pmp_mt_pos_ejec!$B:$B,$B50,pmp_mt_pos_ejec!$C:$C,$D50)</f>
        <v>0</v>
      </c>
      <c r="I50" s="70" t="str">
        <f t="shared" si="2"/>
        <v/>
      </c>
      <c r="J50" s="18" t="str">
        <f t="shared" si="3"/>
        <v>Sin PMP</v>
      </c>
    </row>
    <row r="51" spans="1:10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>
        <f>SUMIFS(ni_bimestral_pos_ejec!$F:$F,ni_bimestral_pos_ejec!$C:$C,$C51,ni_bimestral_pos_ejec!$B:$B,$B51,ni_bimestral_pos_ejec!$D:$D,$D51,ni_bimestral_pos_ejec!$E:$E,$E51)</f>
        <v>103</v>
      </c>
      <c r="G51" s="70">
        <f>SUMIFS(ri_bimestral_pos_ejec!$F:$F,ri_bimestral_pos_ejec!$C:$C,$C51,ri_bimestral_pos_ejec!$B:$B,$B51,ri_bimestral_pos_ejec!$D:$D,$D51,ri_bimestral_pos_ejec!$E:$E,$E51)</f>
        <v>0</v>
      </c>
      <c r="H51" s="70">
        <f>SUMIFS(pmp_mt_pos_ejec!$E:$E,pmp_mt_pos_ejec!$A:$A,$C51,pmp_mt_pos_ejec!$B:$B,$B51,pmp_mt_pos_ejec!$C:$C,$D51)</f>
        <v>0</v>
      </c>
      <c r="I51" s="70" t="str">
        <f t="shared" si="2"/>
        <v/>
      </c>
      <c r="J51" s="18" t="str">
        <f t="shared" si="3"/>
        <v>Sin PMP</v>
      </c>
    </row>
    <row r="52" spans="1:10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f>SUMIFS(ni_bimestral_pos_ejec!$F:$F,ni_bimestral_pos_ejec!$C:$C,$C52,ni_bimestral_pos_ejec!$B:$B,$B52,ni_bimestral_pos_ejec!$D:$D,$D52,ni_bimestral_pos_ejec!$E:$E,$E52)</f>
        <v>1220</v>
      </c>
      <c r="G52" s="70">
        <f>SUMIFS(ri_bimestral_pos_ejec!$F:$F,ri_bimestral_pos_ejec!$C:$C,$C52,ri_bimestral_pos_ejec!$B:$B,$B52,ri_bimestral_pos_ejec!$D:$D,$D52,ri_bimestral_pos_ejec!$E:$E,$E52)</f>
        <v>6633</v>
      </c>
      <c r="H52" s="70">
        <f>SUMIFS(pmp_mt_pos_ejec!$E:$E,pmp_mt_pos_ejec!$A:$A,$C52,pmp_mt_pos_ejec!$B:$B,$B52,pmp_mt_pos_ejec!$C:$C,$D52)</f>
        <v>0</v>
      </c>
      <c r="I52" s="70" t="str">
        <f t="shared" si="2"/>
        <v/>
      </c>
      <c r="J52" s="18" t="str">
        <f t="shared" si="3"/>
        <v>Sin PMP</v>
      </c>
    </row>
    <row r="53" spans="1:10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>
        <f>SUMIFS(ni_bimestral_pos_ejec!$F:$F,ni_bimestral_pos_ejec!$C:$C,$C53,ni_bimestral_pos_ejec!$B:$B,$B53,ni_bimestral_pos_ejec!$D:$D,$D53,ni_bimestral_pos_ejec!$E:$E,$E53)</f>
        <v>33</v>
      </c>
      <c r="G53" s="70">
        <f>SUMIFS(ri_bimestral_pos_ejec!$F:$F,ri_bimestral_pos_ejec!$C:$C,$C53,ri_bimestral_pos_ejec!$B:$B,$B53,ri_bimestral_pos_ejec!$D:$D,$D53,ri_bimestral_pos_ejec!$E:$E,$E53)</f>
        <v>0</v>
      </c>
      <c r="H53" s="70">
        <f>SUMIFS(pmp_mt_pos_ejec!$E:$E,pmp_mt_pos_ejec!$A:$A,$C53,pmp_mt_pos_ejec!$B:$B,$B53,pmp_mt_pos_ejec!$C:$C,$D53)</f>
        <v>0</v>
      </c>
      <c r="I53" s="70" t="str">
        <f t="shared" si="2"/>
        <v/>
      </c>
      <c r="J53" s="18" t="str">
        <f t="shared" si="3"/>
        <v>Sin PMP</v>
      </c>
    </row>
    <row r="54" spans="1:10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f>SUMIFS(ni_bimestral_pos_ejec!$F:$F,ni_bimestral_pos_ejec!$C:$C,$C54,ni_bimestral_pos_ejec!$B:$B,$B54,ni_bimestral_pos_ejec!$D:$D,$D54,ni_bimestral_pos_ejec!$E:$E,$E54)</f>
        <v>1751</v>
      </c>
      <c r="G54" s="70">
        <f>SUMIFS(ri_bimestral_pos_ejec!$F:$F,ri_bimestral_pos_ejec!$C:$C,$C54,ri_bimestral_pos_ejec!$B:$B,$B54,ri_bimestral_pos_ejec!$D:$D,$D54,ri_bimestral_pos_ejec!$E:$E,$E54)</f>
        <v>13844</v>
      </c>
      <c r="H54" s="70">
        <f>SUMIFS(pmp_mt_pos_ejec!$E:$E,pmp_mt_pos_ejec!$A:$A,$C54,pmp_mt_pos_ejec!$B:$B,$B54,pmp_mt_pos_ejec!$C:$C,$D54)</f>
        <v>0</v>
      </c>
      <c r="I54" s="70" t="str">
        <f t="shared" si="2"/>
        <v/>
      </c>
      <c r="J54" s="18" t="str">
        <f t="shared" si="3"/>
        <v>Sin PMP</v>
      </c>
    </row>
    <row r="55" spans="1:10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>
        <f>SUMIFS(ni_bimestral_pos_ejec!$F:$F,ni_bimestral_pos_ejec!$C:$C,$C55,ni_bimestral_pos_ejec!$B:$B,$B55,ni_bimestral_pos_ejec!$D:$D,$D55,ni_bimestral_pos_ejec!$E:$E,$E55)</f>
        <v>63</v>
      </c>
      <c r="G55" s="70">
        <f>SUMIFS(ri_bimestral_pos_ejec!$F:$F,ri_bimestral_pos_ejec!$C:$C,$C55,ri_bimestral_pos_ejec!$B:$B,$B55,ri_bimestral_pos_ejec!$D:$D,$D55,ri_bimestral_pos_ejec!$E:$E,$E55)</f>
        <v>0</v>
      </c>
      <c r="H55" s="70">
        <f>SUMIFS(pmp_mt_pos_ejec!$E:$E,pmp_mt_pos_ejec!$A:$A,$C55,pmp_mt_pos_ejec!$B:$B,$B55,pmp_mt_pos_ejec!$C:$C,$D55)</f>
        <v>0</v>
      </c>
      <c r="I55" s="70" t="str">
        <f t="shared" si="2"/>
        <v/>
      </c>
      <c r="J55" s="18" t="str">
        <f t="shared" si="3"/>
        <v>Sin PMP</v>
      </c>
    </row>
    <row r="56" spans="1:10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f>SUMIFS(ni_bimestral_pos_ejec!$F:$F,ni_bimestral_pos_ejec!$C:$C,$C56,ni_bimestral_pos_ejec!$B:$B,$B56,ni_bimestral_pos_ejec!$D:$D,$D56,ni_bimestral_pos_ejec!$E:$E,$E56)</f>
        <v>970</v>
      </c>
      <c r="G56" s="70">
        <f>SUMIFS(ri_bimestral_pos_ejec!$F:$F,ri_bimestral_pos_ejec!$C:$C,$C56,ri_bimestral_pos_ejec!$B:$B,$B56,ri_bimestral_pos_ejec!$D:$D,$D56,ri_bimestral_pos_ejec!$E:$E,$E56)</f>
        <v>7373</v>
      </c>
      <c r="H56" s="70">
        <f>SUMIFS(pmp_mt_pos_ejec!$E:$E,pmp_mt_pos_ejec!$A:$A,$C56,pmp_mt_pos_ejec!$B:$B,$B56,pmp_mt_pos_ejec!$C:$C,$D56)</f>
        <v>0</v>
      </c>
      <c r="I56" s="70" t="str">
        <f t="shared" si="2"/>
        <v/>
      </c>
      <c r="J56" s="18" t="str">
        <f t="shared" si="3"/>
        <v>Sin PMP</v>
      </c>
    </row>
    <row r="57" spans="1:10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>
        <f>SUMIFS(ni_bimestral_pos_ejec!$F:$F,ni_bimestral_pos_ejec!$C:$C,$C57,ni_bimestral_pos_ejec!$B:$B,$B57,ni_bimestral_pos_ejec!$D:$D,$D57,ni_bimestral_pos_ejec!$E:$E,$E57)</f>
        <v>28</v>
      </c>
      <c r="G57" s="70">
        <f>SUMIFS(ri_bimestral_pos_ejec!$F:$F,ri_bimestral_pos_ejec!$C:$C,$C57,ri_bimestral_pos_ejec!$B:$B,$B57,ri_bimestral_pos_ejec!$D:$D,$D57,ri_bimestral_pos_ejec!$E:$E,$E57)</f>
        <v>0</v>
      </c>
      <c r="H57" s="70">
        <f>SUMIFS(pmp_mt_pos_ejec!$E:$E,pmp_mt_pos_ejec!$A:$A,$C57,pmp_mt_pos_ejec!$B:$B,$B57,pmp_mt_pos_ejec!$C:$C,$D57)</f>
        <v>0</v>
      </c>
      <c r="I57" s="70" t="str">
        <f t="shared" si="2"/>
        <v/>
      </c>
      <c r="J57" s="18" t="str">
        <f t="shared" si="3"/>
        <v>Sin PMP</v>
      </c>
    </row>
    <row r="58" spans="1:10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f>SUMIFS(ni_bimestral_pos_ejec!$F:$F,ni_bimestral_pos_ejec!$C:$C,$C58,ni_bimestral_pos_ejec!$B:$B,$B58,ni_bimestral_pos_ejec!$D:$D,$D58,ni_bimestral_pos_ejec!$E:$E,$E58)</f>
        <v>2593</v>
      </c>
      <c r="G58" s="70">
        <f>SUMIFS(ri_bimestral_pos_ejec!$F:$F,ri_bimestral_pos_ejec!$C:$C,$C58,ri_bimestral_pos_ejec!$B:$B,$B58,ri_bimestral_pos_ejec!$D:$D,$D58,ri_bimestral_pos_ejec!$E:$E,$E58)</f>
        <v>14119</v>
      </c>
      <c r="H58" s="70">
        <f>SUMIFS(pmp_mt_pos_ejec!$E:$E,pmp_mt_pos_ejec!$A:$A,$C58,pmp_mt_pos_ejec!$B:$B,$B58,pmp_mt_pos_ejec!$C:$C,$D58)</f>
        <v>0</v>
      </c>
      <c r="I58" s="70" t="str">
        <f t="shared" si="2"/>
        <v/>
      </c>
      <c r="J58" s="18" t="str">
        <f t="shared" si="3"/>
        <v>Sin PMP</v>
      </c>
    </row>
    <row r="59" spans="1:10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>
        <f>SUMIFS(ni_bimestral_pos_ejec!$F:$F,ni_bimestral_pos_ejec!$C:$C,$C59,ni_bimestral_pos_ejec!$B:$B,$B59,ni_bimestral_pos_ejec!$D:$D,$D59,ni_bimestral_pos_ejec!$E:$E,$E59)</f>
        <v>101</v>
      </c>
      <c r="G59" s="70">
        <f>SUMIFS(ri_bimestral_pos_ejec!$F:$F,ri_bimestral_pos_ejec!$C:$C,$C59,ri_bimestral_pos_ejec!$B:$B,$B59,ri_bimestral_pos_ejec!$D:$D,$D59,ri_bimestral_pos_ejec!$E:$E,$E59)</f>
        <v>0</v>
      </c>
      <c r="H59" s="70">
        <f>SUMIFS(pmp_mt_pos_ejec!$E:$E,pmp_mt_pos_ejec!$A:$A,$C59,pmp_mt_pos_ejec!$B:$B,$B59,pmp_mt_pos_ejec!$C:$C,$D59)</f>
        <v>0</v>
      </c>
      <c r="I59" s="70" t="str">
        <f t="shared" si="2"/>
        <v/>
      </c>
      <c r="J59" s="18" t="str">
        <f t="shared" si="3"/>
        <v>Sin PMP</v>
      </c>
    </row>
    <row r="60" spans="1:10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f>SUMIFS(ni_bimestral_pos_ejec!$F:$F,ni_bimestral_pos_ejec!$C:$C,$C60,ni_bimestral_pos_ejec!$B:$B,$B60,ni_bimestral_pos_ejec!$D:$D,$D60,ni_bimestral_pos_ejec!$E:$E,$E60)</f>
        <v>1248</v>
      </c>
      <c r="G60" s="70">
        <f>SUMIFS(ri_bimestral_pos_ejec!$F:$F,ri_bimestral_pos_ejec!$C:$C,$C60,ri_bimestral_pos_ejec!$B:$B,$B60,ri_bimestral_pos_ejec!$D:$D,$D60,ri_bimestral_pos_ejec!$E:$E,$E60)</f>
        <v>7521</v>
      </c>
      <c r="H60" s="70">
        <f>SUMIFS(pmp_mt_pos_ejec!$E:$E,pmp_mt_pos_ejec!$A:$A,$C60,pmp_mt_pos_ejec!$B:$B,$B60,pmp_mt_pos_ejec!$C:$C,$D60)</f>
        <v>0</v>
      </c>
      <c r="I60" s="70" t="str">
        <f t="shared" si="2"/>
        <v/>
      </c>
      <c r="J60" s="18" t="str">
        <f t="shared" si="3"/>
        <v>Sin PMP</v>
      </c>
    </row>
    <row r="61" spans="1:10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>
        <f>SUMIFS(ni_bimestral_pos_ejec!$F:$F,ni_bimestral_pos_ejec!$C:$C,$C61,ni_bimestral_pos_ejec!$B:$B,$B61,ni_bimestral_pos_ejec!$D:$D,$D61,ni_bimestral_pos_ejec!$E:$E,$E61)</f>
        <v>36</v>
      </c>
      <c r="G61" s="70">
        <f>SUMIFS(ri_bimestral_pos_ejec!$F:$F,ri_bimestral_pos_ejec!$C:$C,$C61,ri_bimestral_pos_ejec!$B:$B,$B61,ri_bimestral_pos_ejec!$D:$D,$D61,ri_bimestral_pos_ejec!$E:$E,$E61)</f>
        <v>0</v>
      </c>
      <c r="H61" s="70">
        <f>SUMIFS(pmp_mt_pos_ejec!$E:$E,pmp_mt_pos_ejec!$A:$A,$C61,pmp_mt_pos_ejec!$B:$B,$B61,pmp_mt_pos_ejec!$C:$C,$D61)</f>
        <v>0</v>
      </c>
      <c r="I61" s="70" t="str">
        <f t="shared" si="2"/>
        <v/>
      </c>
      <c r="J61" s="18" t="str">
        <f t="shared" si="3"/>
        <v>Sin PMP</v>
      </c>
    </row>
    <row r="62" spans="1:10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f>SUMIFS(ni_bimestral_pos_ejec!$F:$F,ni_bimestral_pos_ejec!$C:$C,$C62,ni_bimestral_pos_ejec!$B:$B,$B62,ni_bimestral_pos_ejec!$D:$D,$D62,ni_bimestral_pos_ejec!$E:$E,$E62)</f>
        <v>2178</v>
      </c>
      <c r="G62" s="70">
        <f>SUMIFS(ri_bimestral_pos_ejec!$F:$F,ri_bimestral_pos_ejec!$C:$C,$C62,ri_bimestral_pos_ejec!$B:$B,$B62,ri_bimestral_pos_ejec!$D:$D,$D62,ri_bimestral_pos_ejec!$E:$E,$E62)</f>
        <v>14902</v>
      </c>
      <c r="H62" s="70">
        <f>SUMIFS(pmp_mt_pos_ejec!$E:$E,pmp_mt_pos_ejec!$A:$A,$C62,pmp_mt_pos_ejec!$B:$B,$B62,pmp_mt_pos_ejec!$C:$C,$D62)</f>
        <v>17341</v>
      </c>
      <c r="I62" s="70">
        <f t="shared" si="2"/>
        <v>261</v>
      </c>
      <c r="J62" s="18" t="str">
        <f t="shared" si="3"/>
        <v>OK</v>
      </c>
    </row>
    <row r="63" spans="1:10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>
        <f>SUMIFS(ni_bimestral_pos_ejec!$F:$F,ni_bimestral_pos_ejec!$C:$C,$C63,ni_bimestral_pos_ejec!$B:$B,$B63,ni_bimestral_pos_ejec!$D:$D,$D63,ni_bimestral_pos_ejec!$E:$E,$E63)</f>
        <v>61</v>
      </c>
      <c r="G63" s="70">
        <f>SUMIFS(ri_bimestral_pos_ejec!$F:$F,ri_bimestral_pos_ejec!$C:$C,$C63,ri_bimestral_pos_ejec!$B:$B,$B63,ri_bimestral_pos_ejec!$D:$D,$D63,ri_bimestral_pos_ejec!$E:$E,$E63)</f>
        <v>0</v>
      </c>
      <c r="H63" s="70">
        <f>SUMIFS(pmp_mt_pos_ejec!$E:$E,pmp_mt_pos_ejec!$A:$A,$C63,pmp_mt_pos_ejec!$B:$B,$B63,pmp_mt_pos_ejec!$C:$C,$D63)</f>
        <v>17341</v>
      </c>
      <c r="I63" s="70">
        <f t="shared" si="2"/>
        <v>17280</v>
      </c>
      <c r="J63" s="18" t="str">
        <f t="shared" si="3"/>
        <v>OK</v>
      </c>
    </row>
    <row r="64" spans="1:10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f>SUMIFS(ni_bimestral_pos_ejec!$F:$F,ni_bimestral_pos_ejec!$C:$C,$C64,ni_bimestral_pos_ejec!$B:$B,$B64,ni_bimestral_pos_ejec!$D:$D,$D64,ni_bimestral_pos_ejec!$E:$E,$E64)</f>
        <v>1310</v>
      </c>
      <c r="G64" s="70">
        <f>SUMIFS(ri_bimestral_pos_ejec!$F:$F,ri_bimestral_pos_ejec!$C:$C,$C64,ri_bimestral_pos_ejec!$B:$B,$B64,ri_bimestral_pos_ejec!$D:$D,$D64,ri_bimestral_pos_ejec!$E:$E,$E64)</f>
        <v>7764</v>
      </c>
      <c r="H64" s="70">
        <f>SUMIFS(pmp_mt_pos_ejec!$E:$E,pmp_mt_pos_ejec!$A:$A,$C64,pmp_mt_pos_ejec!$B:$B,$B64,pmp_mt_pos_ejec!$C:$C,$D64)</f>
        <v>12757</v>
      </c>
      <c r="I64" s="70">
        <f t="shared" si="2"/>
        <v>3683</v>
      </c>
      <c r="J64" s="18" t="str">
        <f t="shared" si="3"/>
        <v>OK</v>
      </c>
    </row>
    <row r="65" spans="1:10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>
        <f>SUMIFS(ni_bimestral_pos_ejec!$F:$F,ni_bimestral_pos_ejec!$C:$C,$C65,ni_bimestral_pos_ejec!$B:$B,$B65,ni_bimestral_pos_ejec!$D:$D,$D65,ni_bimestral_pos_ejec!$E:$E,$E65)</f>
        <v>49</v>
      </c>
      <c r="G65" s="70">
        <f>SUMIFS(ri_bimestral_pos_ejec!$F:$F,ri_bimestral_pos_ejec!$C:$C,$C65,ri_bimestral_pos_ejec!$B:$B,$B65,ri_bimestral_pos_ejec!$D:$D,$D65,ri_bimestral_pos_ejec!$E:$E,$E65)</f>
        <v>0</v>
      </c>
      <c r="H65" s="70">
        <f>SUMIFS(pmp_mt_pos_ejec!$E:$E,pmp_mt_pos_ejec!$A:$A,$C65,pmp_mt_pos_ejec!$B:$B,$B65,pmp_mt_pos_ejec!$C:$C,$D65)</f>
        <v>12757</v>
      </c>
      <c r="I65" s="70">
        <f t="shared" si="2"/>
        <v>12708</v>
      </c>
      <c r="J65" s="18" t="str">
        <f t="shared" si="3"/>
        <v>OK</v>
      </c>
    </row>
    <row r="66" spans="1:10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f>SUMIFS(ni_bimestral_pos_ejec!$F:$F,ni_bimestral_pos_ejec!$C:$C,$C66,ni_bimestral_pos_ejec!$B:$B,$B66,ni_bimestral_pos_ejec!$D:$D,$D66,ni_bimestral_pos_ejec!$E:$E,$E66)</f>
        <v>2177</v>
      </c>
      <c r="G66" s="70">
        <f>SUMIFS(ri_bimestral_pos_ejec!$F:$F,ri_bimestral_pos_ejec!$C:$C,$C66,ri_bimestral_pos_ejec!$B:$B,$B66,ri_bimestral_pos_ejec!$D:$D,$D66,ri_bimestral_pos_ejec!$E:$E,$E66)</f>
        <v>15196</v>
      </c>
      <c r="H66" s="70">
        <f>SUMIFS(pmp_mt_pos_ejec!$E:$E,pmp_mt_pos_ejec!$A:$A,$C66,pmp_mt_pos_ejec!$B:$B,$B66,pmp_mt_pos_ejec!$C:$C,$D66)</f>
        <v>0</v>
      </c>
      <c r="I66" s="70" t="str">
        <f t="shared" ref="I66:I97" si="4">IF(H66=0,"",MAX(0,H66-F66-G66))</f>
        <v/>
      </c>
      <c r="J66" s="18" t="str">
        <f t="shared" ref="J66:J97" si="5">IF(H66=0,"Sin PMP",IF(ABS((F66+G66+I66)-H66)&lt;1,"OK","Revisar"))</f>
        <v>Sin PMP</v>
      </c>
    </row>
    <row r="67" spans="1:10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>
        <f>SUMIFS(ni_bimestral_pos_ejec!$F:$F,ni_bimestral_pos_ejec!$C:$C,$C67,ni_bimestral_pos_ejec!$B:$B,$B67,ni_bimestral_pos_ejec!$D:$D,$D67,ni_bimestral_pos_ejec!$E:$E,$E67)</f>
        <v>61</v>
      </c>
      <c r="G67" s="70">
        <f>SUMIFS(ri_bimestral_pos_ejec!$F:$F,ri_bimestral_pos_ejec!$C:$C,$C67,ri_bimestral_pos_ejec!$B:$B,$B67,ri_bimestral_pos_ejec!$D:$D,$D67,ri_bimestral_pos_ejec!$E:$E,$E67)</f>
        <v>0</v>
      </c>
      <c r="H67" s="70">
        <f>SUMIFS(pmp_mt_pos_ejec!$E:$E,pmp_mt_pos_ejec!$A:$A,$C67,pmp_mt_pos_ejec!$B:$B,$B67,pmp_mt_pos_ejec!$C:$C,$D67)</f>
        <v>0</v>
      </c>
      <c r="I67" s="70" t="str">
        <f t="shared" si="4"/>
        <v/>
      </c>
      <c r="J67" s="18" t="str">
        <f t="shared" si="5"/>
        <v>Sin PMP</v>
      </c>
    </row>
    <row r="68" spans="1:10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f>SUMIFS(ni_bimestral_pos_ejec!$F:$F,ni_bimestral_pos_ejec!$C:$C,$C68,ni_bimestral_pos_ejec!$B:$B,$B68,ni_bimestral_pos_ejec!$D:$D,$D68,ni_bimestral_pos_ejec!$E:$E,$E68)</f>
        <v>1207</v>
      </c>
      <c r="G68" s="70">
        <f>SUMIFS(ri_bimestral_pos_ejec!$F:$F,ri_bimestral_pos_ejec!$C:$C,$C68,ri_bimestral_pos_ejec!$B:$B,$B68,ri_bimestral_pos_ejec!$D:$D,$D68,ri_bimestral_pos_ejec!$E:$E,$E68)</f>
        <v>8479</v>
      </c>
      <c r="H68" s="70">
        <f>SUMIFS(pmp_mt_pos_ejec!$E:$E,pmp_mt_pos_ejec!$A:$A,$C68,pmp_mt_pos_ejec!$B:$B,$B68,pmp_mt_pos_ejec!$C:$C,$D68)</f>
        <v>0</v>
      </c>
      <c r="I68" s="70" t="str">
        <f t="shared" si="4"/>
        <v/>
      </c>
      <c r="J68" s="18" t="str">
        <f t="shared" si="5"/>
        <v>Sin PMP</v>
      </c>
    </row>
    <row r="69" spans="1:10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>
        <f>SUMIFS(ni_bimestral_pos_ejec!$F:$F,ni_bimestral_pos_ejec!$C:$C,$C69,ni_bimestral_pos_ejec!$B:$B,$B69,ni_bimestral_pos_ejec!$D:$D,$D69,ni_bimestral_pos_ejec!$E:$E,$E69)</f>
        <v>43</v>
      </c>
      <c r="G69" s="70">
        <f>SUMIFS(ri_bimestral_pos_ejec!$F:$F,ri_bimestral_pos_ejec!$C:$C,$C69,ri_bimestral_pos_ejec!$B:$B,$B69,ri_bimestral_pos_ejec!$D:$D,$D69,ri_bimestral_pos_ejec!$E:$E,$E69)</f>
        <v>0</v>
      </c>
      <c r="H69" s="70">
        <f>SUMIFS(pmp_mt_pos_ejec!$E:$E,pmp_mt_pos_ejec!$A:$A,$C69,pmp_mt_pos_ejec!$B:$B,$B69,pmp_mt_pos_ejec!$C:$C,$D69)</f>
        <v>0</v>
      </c>
      <c r="I69" s="70" t="str">
        <f t="shared" si="4"/>
        <v/>
      </c>
      <c r="J69" s="18" t="str">
        <f t="shared" si="5"/>
        <v>Sin PMP</v>
      </c>
    </row>
    <row r="70" spans="1:10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f>SUMIFS(ni_bimestral_pos_ejec!$F:$F,ni_bimestral_pos_ejec!$C:$C,$C70,ni_bimestral_pos_ejec!$B:$B,$B70,ni_bimestral_pos_ejec!$D:$D,$D70,ni_bimestral_pos_ejec!$E:$E,$E70)</f>
        <v>2445</v>
      </c>
      <c r="G70" s="70">
        <f>SUMIFS(ri_bimestral_pos_ejec!$F:$F,ri_bimestral_pos_ejec!$C:$C,$C70,ri_bimestral_pos_ejec!$B:$B,$B70,ri_bimestral_pos_ejec!$D:$D,$D70,ri_bimestral_pos_ejec!$E:$E,$E70)</f>
        <v>14986</v>
      </c>
      <c r="H70" s="70">
        <f>SUMIFS(pmp_mt_pos_ejec!$E:$E,pmp_mt_pos_ejec!$A:$A,$C70,pmp_mt_pos_ejec!$B:$B,$B70,pmp_mt_pos_ejec!$C:$C,$D70)</f>
        <v>0</v>
      </c>
      <c r="I70" s="70" t="str">
        <f t="shared" si="4"/>
        <v/>
      </c>
      <c r="J70" s="18" t="str">
        <f t="shared" si="5"/>
        <v>Sin PMP</v>
      </c>
    </row>
    <row r="71" spans="1:10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>
        <f>SUMIFS(ni_bimestral_pos_ejec!$F:$F,ni_bimestral_pos_ejec!$C:$C,$C71,ni_bimestral_pos_ejec!$B:$B,$B71,ni_bimestral_pos_ejec!$D:$D,$D71,ni_bimestral_pos_ejec!$E:$E,$E71)</f>
        <v>109</v>
      </c>
      <c r="G71" s="70">
        <f>SUMIFS(ri_bimestral_pos_ejec!$F:$F,ri_bimestral_pos_ejec!$C:$C,$C71,ri_bimestral_pos_ejec!$B:$B,$B71,ri_bimestral_pos_ejec!$D:$D,$D71,ri_bimestral_pos_ejec!$E:$E,$E71)</f>
        <v>0</v>
      </c>
      <c r="H71" s="70">
        <f>SUMIFS(pmp_mt_pos_ejec!$E:$E,pmp_mt_pos_ejec!$A:$A,$C71,pmp_mt_pos_ejec!$B:$B,$B71,pmp_mt_pos_ejec!$C:$C,$D71)</f>
        <v>0</v>
      </c>
      <c r="I71" s="70" t="str">
        <f t="shared" si="4"/>
        <v/>
      </c>
      <c r="J71" s="18" t="str">
        <f t="shared" si="5"/>
        <v>Sin PMP</v>
      </c>
    </row>
    <row r="72" spans="1:10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f>SUMIFS(ni_bimestral_pos_ejec!$F:$F,ni_bimestral_pos_ejec!$C:$C,$C72,ni_bimestral_pos_ejec!$B:$B,$B72,ni_bimestral_pos_ejec!$D:$D,$D72,ni_bimestral_pos_ejec!$E:$E,$E72)</f>
        <v>1305</v>
      </c>
      <c r="G72" s="70">
        <f>SUMIFS(ri_bimestral_pos_ejec!$F:$F,ri_bimestral_pos_ejec!$C:$C,$C72,ri_bimestral_pos_ejec!$B:$B,$B72,ri_bimestral_pos_ejec!$D:$D,$D72,ri_bimestral_pos_ejec!$E:$E,$E72)</f>
        <v>8122</v>
      </c>
      <c r="H72" s="70">
        <f>SUMIFS(pmp_mt_pos_ejec!$E:$E,pmp_mt_pos_ejec!$A:$A,$C72,pmp_mt_pos_ejec!$B:$B,$B72,pmp_mt_pos_ejec!$C:$C,$D72)</f>
        <v>0</v>
      </c>
      <c r="I72" s="70" t="str">
        <f t="shared" si="4"/>
        <v/>
      </c>
      <c r="J72" s="18" t="str">
        <f t="shared" si="5"/>
        <v>Sin PMP</v>
      </c>
    </row>
    <row r="73" spans="1:10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>
        <f>SUMIFS(ni_bimestral_pos_ejec!$F:$F,ni_bimestral_pos_ejec!$C:$C,$C73,ni_bimestral_pos_ejec!$B:$B,$B73,ni_bimestral_pos_ejec!$D:$D,$D73,ni_bimestral_pos_ejec!$E:$E,$E73)</f>
        <v>45</v>
      </c>
      <c r="G73" s="70">
        <f>SUMIFS(ri_bimestral_pos_ejec!$F:$F,ri_bimestral_pos_ejec!$C:$C,$C73,ri_bimestral_pos_ejec!$B:$B,$B73,ri_bimestral_pos_ejec!$D:$D,$D73,ri_bimestral_pos_ejec!$E:$E,$E73)</f>
        <v>0</v>
      </c>
      <c r="H73" s="70">
        <f>SUMIFS(pmp_mt_pos_ejec!$E:$E,pmp_mt_pos_ejec!$A:$A,$C73,pmp_mt_pos_ejec!$B:$B,$B73,pmp_mt_pos_ejec!$C:$C,$D73)</f>
        <v>0</v>
      </c>
      <c r="I73" s="70" t="str">
        <f t="shared" si="4"/>
        <v/>
      </c>
      <c r="J73" s="18" t="str">
        <f t="shared" si="5"/>
        <v>Sin PMP</v>
      </c>
    </row>
    <row r="74" spans="1:10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f>SUMIFS(ni_bimestral_pos_ejec!$F:$F,ni_bimestral_pos_ejec!$C:$C,$C74,ni_bimestral_pos_ejec!$B:$B,$B74,ni_bimestral_pos_ejec!$D:$D,$D74,ni_bimestral_pos_ejec!$E:$E,$E74)</f>
        <v>1813</v>
      </c>
      <c r="G74" s="70">
        <f>SUMIFS(ri_bimestral_pos_ejec!$F:$F,ri_bimestral_pos_ejec!$C:$C,$C74,ri_bimestral_pos_ejec!$B:$B,$B74,ri_bimestral_pos_ejec!$D:$D,$D74,ri_bimestral_pos_ejec!$E:$E,$E74)</f>
        <v>15496</v>
      </c>
      <c r="H74" s="70">
        <f>SUMIFS(pmp_mt_pos_ejec!$E:$E,pmp_mt_pos_ejec!$A:$A,$C74,pmp_mt_pos_ejec!$B:$B,$B74,pmp_mt_pos_ejec!$C:$C,$D74)</f>
        <v>0</v>
      </c>
      <c r="I74" s="70" t="str">
        <f t="shared" si="4"/>
        <v/>
      </c>
      <c r="J74" s="18" t="str">
        <f t="shared" si="5"/>
        <v>Sin PMP</v>
      </c>
    </row>
    <row r="75" spans="1:10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>
        <f>SUMIFS(ni_bimestral_pos_ejec!$F:$F,ni_bimestral_pos_ejec!$C:$C,$C75,ni_bimestral_pos_ejec!$B:$B,$B75,ni_bimestral_pos_ejec!$D:$D,$D75,ni_bimestral_pos_ejec!$E:$E,$E75)</f>
        <v>70</v>
      </c>
      <c r="G75" s="70">
        <f>SUMIFS(ri_bimestral_pos_ejec!$F:$F,ri_bimestral_pos_ejec!$C:$C,$C75,ri_bimestral_pos_ejec!$B:$B,$B75,ri_bimestral_pos_ejec!$D:$D,$D75,ri_bimestral_pos_ejec!$E:$E,$E75)</f>
        <v>0</v>
      </c>
      <c r="H75" s="70">
        <f>SUMIFS(pmp_mt_pos_ejec!$E:$E,pmp_mt_pos_ejec!$A:$A,$C75,pmp_mt_pos_ejec!$B:$B,$B75,pmp_mt_pos_ejec!$C:$C,$D75)</f>
        <v>0</v>
      </c>
      <c r="I75" s="70" t="str">
        <f t="shared" si="4"/>
        <v/>
      </c>
      <c r="J75" s="18" t="str">
        <f t="shared" si="5"/>
        <v>Sin PMP</v>
      </c>
    </row>
    <row r="76" spans="1:10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f>SUMIFS(ni_bimestral_pos_ejec!$F:$F,ni_bimestral_pos_ejec!$C:$C,$C76,ni_bimestral_pos_ejec!$B:$B,$B76,ni_bimestral_pos_ejec!$D:$D,$D76,ni_bimestral_pos_ejec!$E:$E,$E76)</f>
        <v>1096</v>
      </c>
      <c r="G76" s="70">
        <f>SUMIFS(ri_bimestral_pos_ejec!$F:$F,ri_bimestral_pos_ejec!$C:$C,$C76,ri_bimestral_pos_ejec!$B:$B,$B76,ri_bimestral_pos_ejec!$D:$D,$D76,ri_bimestral_pos_ejec!$E:$E,$E76)</f>
        <v>9538</v>
      </c>
      <c r="H76" s="70">
        <f>SUMIFS(pmp_mt_pos_ejec!$E:$E,pmp_mt_pos_ejec!$A:$A,$C76,pmp_mt_pos_ejec!$B:$B,$B76,pmp_mt_pos_ejec!$C:$C,$D76)</f>
        <v>0</v>
      </c>
      <c r="I76" s="70" t="str">
        <f t="shared" si="4"/>
        <v/>
      </c>
      <c r="J76" s="18" t="str">
        <f t="shared" si="5"/>
        <v>Sin PMP</v>
      </c>
    </row>
    <row r="77" spans="1:10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>
        <f>SUMIFS(ni_bimestral_pos_ejec!$F:$F,ni_bimestral_pos_ejec!$C:$C,$C77,ni_bimestral_pos_ejec!$B:$B,$B77,ni_bimestral_pos_ejec!$D:$D,$D77,ni_bimestral_pos_ejec!$E:$E,$E77)</f>
        <v>41</v>
      </c>
      <c r="G77" s="70">
        <f>SUMIFS(ri_bimestral_pos_ejec!$F:$F,ri_bimestral_pos_ejec!$C:$C,$C77,ri_bimestral_pos_ejec!$B:$B,$B77,ri_bimestral_pos_ejec!$D:$D,$D77,ri_bimestral_pos_ejec!$E:$E,$E77)</f>
        <v>0</v>
      </c>
      <c r="H77" s="70">
        <f>SUMIFS(pmp_mt_pos_ejec!$E:$E,pmp_mt_pos_ejec!$A:$A,$C77,pmp_mt_pos_ejec!$B:$B,$B77,pmp_mt_pos_ejec!$C:$C,$D77)</f>
        <v>0</v>
      </c>
      <c r="I77" s="70" t="str">
        <f t="shared" si="4"/>
        <v/>
      </c>
      <c r="J77" s="18" t="str">
        <f t="shared" si="5"/>
        <v>Sin PMP</v>
      </c>
    </row>
    <row r="78" spans="1:10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f>SUMIFS(ni_bimestral_pos_ejec!$F:$F,ni_bimestral_pos_ejec!$C:$C,$C78,ni_bimestral_pos_ejec!$B:$B,$B78,ni_bimestral_pos_ejec!$D:$D,$D78,ni_bimestral_pos_ejec!$E:$E,$E78)</f>
        <v>2647</v>
      </c>
      <c r="G78" s="70">
        <f>SUMIFS(ri_bimestral_pos_ejec!$F:$F,ri_bimestral_pos_ejec!$C:$C,$C78,ri_bimestral_pos_ejec!$B:$B,$B78,ri_bimestral_pos_ejec!$D:$D,$D78,ri_bimestral_pos_ejec!$E:$E,$E78)</f>
        <v>15802</v>
      </c>
      <c r="H78" s="70">
        <f>SUMIFS(pmp_mt_pos_ejec!$E:$E,pmp_mt_pos_ejec!$A:$A,$C78,pmp_mt_pos_ejec!$B:$B,$B78,pmp_mt_pos_ejec!$C:$C,$D78)</f>
        <v>0</v>
      </c>
      <c r="I78" s="70" t="str">
        <f t="shared" si="4"/>
        <v/>
      </c>
      <c r="J78" s="18" t="str">
        <f t="shared" si="5"/>
        <v>Sin PMP</v>
      </c>
    </row>
    <row r="79" spans="1:10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>
        <f>SUMIFS(ni_bimestral_pos_ejec!$F:$F,ni_bimestral_pos_ejec!$C:$C,$C79,ni_bimestral_pos_ejec!$B:$B,$B79,ni_bimestral_pos_ejec!$D:$D,$D79,ni_bimestral_pos_ejec!$E:$E,$E79)</f>
        <v>110</v>
      </c>
      <c r="G79" s="70">
        <f>SUMIFS(ri_bimestral_pos_ejec!$F:$F,ri_bimestral_pos_ejec!$C:$C,$C79,ri_bimestral_pos_ejec!$B:$B,$B79,ri_bimestral_pos_ejec!$D:$D,$D79,ri_bimestral_pos_ejec!$E:$E,$E79)</f>
        <v>0</v>
      </c>
      <c r="H79" s="70">
        <f>SUMIFS(pmp_mt_pos_ejec!$E:$E,pmp_mt_pos_ejec!$A:$A,$C79,pmp_mt_pos_ejec!$B:$B,$B79,pmp_mt_pos_ejec!$C:$C,$D79)</f>
        <v>0</v>
      </c>
      <c r="I79" s="70" t="str">
        <f t="shared" si="4"/>
        <v/>
      </c>
      <c r="J79" s="18" t="str">
        <f t="shared" si="5"/>
        <v>Sin PMP</v>
      </c>
    </row>
    <row r="80" spans="1:10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f>SUMIFS(ni_bimestral_pos_ejec!$F:$F,ni_bimestral_pos_ejec!$C:$C,$C80,ni_bimestral_pos_ejec!$B:$B,$B80,ni_bimestral_pos_ejec!$D:$D,$D80,ni_bimestral_pos_ejec!$E:$E,$E80)</f>
        <v>1399</v>
      </c>
      <c r="G80" s="70">
        <f>SUMIFS(ri_bimestral_pos_ejec!$F:$F,ri_bimestral_pos_ejec!$C:$C,$C80,ri_bimestral_pos_ejec!$B:$B,$B80,ri_bimestral_pos_ejec!$D:$D,$D80,ri_bimestral_pos_ejec!$E:$E,$E80)</f>
        <v>10052</v>
      </c>
      <c r="H80" s="70">
        <f>SUMIFS(pmp_mt_pos_ejec!$E:$E,pmp_mt_pos_ejec!$A:$A,$C80,pmp_mt_pos_ejec!$B:$B,$B80,pmp_mt_pos_ejec!$C:$C,$D80)</f>
        <v>0</v>
      </c>
      <c r="I80" s="70" t="str">
        <f t="shared" si="4"/>
        <v/>
      </c>
      <c r="J80" s="18" t="str">
        <f t="shared" si="5"/>
        <v>Sin PMP</v>
      </c>
    </row>
    <row r="81" spans="1:10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>
        <f>SUMIFS(ni_bimestral_pos_ejec!$F:$F,ni_bimestral_pos_ejec!$C:$C,$C81,ni_bimestral_pos_ejec!$B:$B,$B81,ni_bimestral_pos_ejec!$D:$D,$D81,ni_bimestral_pos_ejec!$E:$E,$E81)</f>
        <v>49</v>
      </c>
      <c r="G81" s="70">
        <f>SUMIFS(ri_bimestral_pos_ejec!$F:$F,ri_bimestral_pos_ejec!$C:$C,$C81,ri_bimestral_pos_ejec!$B:$B,$B81,ri_bimestral_pos_ejec!$D:$D,$D81,ri_bimestral_pos_ejec!$E:$E,$E81)</f>
        <v>0</v>
      </c>
      <c r="H81" s="70">
        <f>SUMIFS(pmp_mt_pos_ejec!$E:$E,pmp_mt_pos_ejec!$A:$A,$C81,pmp_mt_pos_ejec!$B:$B,$B81,pmp_mt_pos_ejec!$C:$C,$D81)</f>
        <v>0</v>
      </c>
      <c r="I81" s="70" t="str">
        <f t="shared" si="4"/>
        <v/>
      </c>
      <c r="J81" s="18" t="str">
        <f t="shared" si="5"/>
        <v>Sin PMP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1357</v>
      </c>
      <c r="B1" s="82" t="s">
        <v>1358</v>
      </c>
    </row>
    <row r="2" spans="1:2">
      <c r="A2" s="18" t="s">
        <v>1359</v>
      </c>
      <c r="B2" s="18" t="s">
        <v>1360</v>
      </c>
    </row>
    <row r="3" spans="1:2">
      <c r="A3" s="18" t="s">
        <v>1361</v>
      </c>
      <c r="B3" s="18" t="s">
        <v>1362</v>
      </c>
    </row>
    <row r="4" spans="1:2">
      <c r="A4" s="18" t="s">
        <v>1363</v>
      </c>
      <c r="B4" s="18" t="s">
        <v>1364</v>
      </c>
    </row>
    <row r="5" spans="1:2">
      <c r="A5" s="18" t="s">
        <v>1365</v>
      </c>
      <c r="B5" s="18" t="s">
        <v>1366</v>
      </c>
    </row>
    <row r="6" spans="1:2">
      <c r="A6" s="18" t="s">
        <v>1367</v>
      </c>
      <c r="B6" s="18" t="s">
        <v>1368</v>
      </c>
    </row>
    <row r="7" spans="1:2">
      <c r="A7" s="18" t="s">
        <v>130</v>
      </c>
      <c r="B7" s="18" t="s">
        <v>1369</v>
      </c>
    </row>
    <row r="8" spans="1:2">
      <c r="A8" s="18" t="s">
        <v>920</v>
      </c>
      <c r="B8" s="18" t="s">
        <v>1370</v>
      </c>
    </row>
    <row r="9" spans="1:2" ht="28">
      <c r="A9" s="18" t="s">
        <v>416</v>
      </c>
      <c r="B9" s="18" t="s">
        <v>1371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951</v>
      </c>
      <c r="B1" s="82" t="s">
        <v>940</v>
      </c>
    </row>
    <row r="2" spans="1:2">
      <c r="A2" s="18" t="s">
        <v>1326</v>
      </c>
      <c r="B2" s="18" t="s">
        <v>1372</v>
      </c>
    </row>
    <row r="3" spans="1:2">
      <c r="A3" s="18" t="s">
        <v>1373</v>
      </c>
      <c r="B3" s="18" t="s">
        <v>1374</v>
      </c>
    </row>
    <row r="4" spans="1:2">
      <c r="A4" s="18" t="s">
        <v>1373</v>
      </c>
      <c r="B4" s="18" t="s">
        <v>1375</v>
      </c>
    </row>
    <row r="5" spans="1:2">
      <c r="A5" s="18" t="s">
        <v>1376</v>
      </c>
      <c r="B5" s="18" t="s">
        <v>1368</v>
      </c>
    </row>
    <row r="6" spans="1:2">
      <c r="A6" s="18" t="s">
        <v>1377</v>
      </c>
      <c r="B6" s="18" t="s">
        <v>1378</v>
      </c>
    </row>
    <row r="7" spans="1:2">
      <c r="A7" s="18" t="s">
        <v>1379</v>
      </c>
      <c r="B7" s="18" t="s">
        <v>1380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3" t="s">
        <v>951</v>
      </c>
      <c r="B1" s="83" t="s">
        <v>940</v>
      </c>
    </row>
    <row r="2" spans="1:2">
      <c r="A2" s="18" t="s">
        <v>1381</v>
      </c>
      <c r="B2" s="18" t="s">
        <v>1382</v>
      </c>
    </row>
    <row r="3" spans="1:2">
      <c r="A3" s="18" t="s">
        <v>1383</v>
      </c>
      <c r="B3" s="18" t="s">
        <v>1384</v>
      </c>
    </row>
    <row r="4" spans="1:2">
      <c r="A4" s="18" t="s">
        <v>945</v>
      </c>
      <c r="B4" s="18" t="s">
        <v>1385</v>
      </c>
    </row>
    <row r="5" spans="1:2">
      <c r="A5" s="18" t="s">
        <v>1232</v>
      </c>
      <c r="B5" s="18" t="s">
        <v>1386</v>
      </c>
    </row>
    <row r="6" spans="1:2">
      <c r="A6" s="18" t="s">
        <v>1387</v>
      </c>
      <c r="B6" s="18" t="s">
        <v>1388</v>
      </c>
    </row>
    <row r="7" spans="1:2">
      <c r="A7" s="18" t="s">
        <v>1248</v>
      </c>
      <c r="B7" s="18" t="s">
        <v>1389</v>
      </c>
    </row>
    <row r="8" spans="1:2">
      <c r="A8" s="18" t="s">
        <v>1390</v>
      </c>
      <c r="B8" s="18" t="s">
        <v>1391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4" t="s">
        <v>951</v>
      </c>
      <c r="B1" s="84" t="s">
        <v>940</v>
      </c>
    </row>
    <row r="2" spans="1:2">
      <c r="A2" s="18" t="s">
        <v>1328</v>
      </c>
      <c r="B2" s="18" t="s">
        <v>1392</v>
      </c>
    </row>
    <row r="3" spans="1:2">
      <c r="A3" s="18" t="s">
        <v>414</v>
      </c>
      <c r="B3" s="18" t="s">
        <v>1393</v>
      </c>
    </row>
    <row r="4" spans="1:2">
      <c r="A4" s="18" t="s">
        <v>1322</v>
      </c>
      <c r="B4" s="18" t="s">
        <v>1394</v>
      </c>
    </row>
    <row r="5" spans="1:2">
      <c r="A5" s="18" t="s">
        <v>1367</v>
      </c>
      <c r="B5" s="18" t="s">
        <v>1395</v>
      </c>
    </row>
    <row r="6" spans="1:2">
      <c r="A6" s="18" t="s">
        <v>1057</v>
      </c>
      <c r="B6" s="18" t="s">
        <v>1396</v>
      </c>
    </row>
    <row r="7" spans="1:2">
      <c r="A7" s="18" t="s">
        <v>1397</v>
      </c>
      <c r="B7" s="18" t="s">
        <v>1398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5" t="s">
        <v>951</v>
      </c>
      <c r="B1" s="85" t="s">
        <v>940</v>
      </c>
    </row>
    <row r="2" spans="1:2">
      <c r="A2" s="18" t="s">
        <v>1399</v>
      </c>
      <c r="B2" s="18" t="s">
        <v>1400</v>
      </c>
    </row>
    <row r="3" spans="1:2">
      <c r="A3" s="18" t="s">
        <v>1232</v>
      </c>
      <c r="B3" s="18" t="s">
        <v>1401</v>
      </c>
    </row>
    <row r="4" spans="1:2">
      <c r="A4" s="18" t="s">
        <v>769</v>
      </c>
      <c r="B4" s="18" t="s">
        <v>1402</v>
      </c>
    </row>
    <row r="5" spans="1:2">
      <c r="A5" s="18" t="s">
        <v>1072</v>
      </c>
      <c r="B5" s="18" t="s">
        <v>1403</v>
      </c>
    </row>
    <row r="6" spans="1:2">
      <c r="A6" s="18" t="s">
        <v>1404</v>
      </c>
      <c r="B6" s="18" t="s">
        <v>1405</v>
      </c>
    </row>
    <row r="7" spans="1:2">
      <c r="A7" s="18" t="s">
        <v>1057</v>
      </c>
      <c r="B7" s="18" t="s">
        <v>1406</v>
      </c>
    </row>
    <row r="8" spans="1:2">
      <c r="A8" s="18" t="s">
        <v>1397</v>
      </c>
      <c r="B8" s="18" t="s">
        <v>1407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10"/>
  <sheetViews>
    <sheetView workbookViewId="0"/>
  </sheetViews>
  <sheetFormatPr baseColWidth="10" defaultColWidth="8.6640625" defaultRowHeight="14"/>
  <cols>
    <col min="1" max="1" width="28" customWidth="1"/>
    <col min="2" max="2" width="112" customWidth="1"/>
  </cols>
  <sheetData>
    <row r="1" spans="1:2">
      <c r="A1" s="86" t="s">
        <v>951</v>
      </c>
      <c r="B1" s="86" t="s">
        <v>940</v>
      </c>
    </row>
    <row r="2" spans="1:2">
      <c r="A2" s="18" t="s">
        <v>1408</v>
      </c>
      <c r="B2" s="18" t="s">
        <v>1409</v>
      </c>
    </row>
    <row r="3" spans="1:2">
      <c r="A3" s="18" t="s">
        <v>1410</v>
      </c>
      <c r="B3" s="18" t="s">
        <v>1411</v>
      </c>
    </row>
    <row r="4" spans="1:2">
      <c r="A4" s="18" t="s">
        <v>1412</v>
      </c>
      <c r="B4" s="18" t="s">
        <v>1413</v>
      </c>
    </row>
    <row r="5" spans="1:2">
      <c r="A5" s="18" t="s">
        <v>1414</v>
      </c>
      <c r="B5" s="18" t="s">
        <v>1415</v>
      </c>
    </row>
    <row r="6" spans="1:2">
      <c r="A6" s="18" t="s">
        <v>1416</v>
      </c>
      <c r="B6" s="18" t="s">
        <v>1417</v>
      </c>
    </row>
    <row r="7" spans="1:2">
      <c r="A7" s="18" t="s">
        <v>1418</v>
      </c>
      <c r="B7" s="18" t="s">
        <v>1419</v>
      </c>
    </row>
    <row r="8" spans="1:2">
      <c r="A8" s="18" t="s">
        <v>1420</v>
      </c>
      <c r="B8" s="18" t="s">
        <v>1421</v>
      </c>
    </row>
    <row r="9" spans="1:2">
      <c r="A9" s="18" t="s">
        <v>1422</v>
      </c>
      <c r="B9" s="18" t="s">
        <v>1423</v>
      </c>
    </row>
    <row r="10" spans="1:2">
      <c r="A10" s="18" t="s">
        <v>1397</v>
      </c>
      <c r="B10" s="18" t="s">
        <v>1424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10"/>
  <sheetViews>
    <sheetView workbookViewId="0"/>
  </sheetViews>
  <sheetFormatPr baseColWidth="10" defaultColWidth="8.6640625" defaultRowHeight="14"/>
  <cols>
    <col min="1" max="1" width="30" customWidth="1"/>
    <col min="2" max="2" width="115" customWidth="1"/>
  </cols>
  <sheetData>
    <row r="1" spans="1:2">
      <c r="A1" s="87" t="s">
        <v>951</v>
      </c>
      <c r="B1" s="87" t="s">
        <v>940</v>
      </c>
    </row>
    <row r="2" spans="1:2">
      <c r="A2" s="18" t="s">
        <v>1326</v>
      </c>
      <c r="B2" s="18" t="s">
        <v>1425</v>
      </c>
    </row>
    <row r="3" spans="1:2">
      <c r="A3" s="18" t="s">
        <v>1426</v>
      </c>
      <c r="B3" s="18" t="s">
        <v>1427</v>
      </c>
    </row>
    <row r="4" spans="1:2">
      <c r="A4" s="18" t="s">
        <v>1428</v>
      </c>
      <c r="B4" s="18" t="s">
        <v>1429</v>
      </c>
    </row>
    <row r="5" spans="1:2">
      <c r="A5" s="18" t="s">
        <v>1430</v>
      </c>
      <c r="B5" s="18" t="s">
        <v>1431</v>
      </c>
    </row>
    <row r="6" spans="1:2">
      <c r="A6" s="18" t="s">
        <v>1432</v>
      </c>
      <c r="B6" s="18" t="s">
        <v>1433</v>
      </c>
    </row>
    <row r="7" spans="1:2">
      <c r="A7" s="18" t="s">
        <v>1434</v>
      </c>
      <c r="B7" s="18" t="s">
        <v>1435</v>
      </c>
    </row>
    <row r="8" spans="1:2">
      <c r="A8" s="18" t="s">
        <v>1422</v>
      </c>
      <c r="B8" s="18" t="s">
        <v>1436</v>
      </c>
    </row>
    <row r="9" spans="1:2">
      <c r="A9" s="18" t="s">
        <v>1057</v>
      </c>
      <c r="B9" s="18" t="s">
        <v>1437</v>
      </c>
    </row>
    <row r="10" spans="1:2">
      <c r="A10" s="18" t="s">
        <v>1397</v>
      </c>
      <c r="B10" s="18" t="s">
        <v>1438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74</vt:i4>
      </vt:variant>
    </vt:vector>
  </HeadingPairs>
  <TitlesOfParts>
    <vt:vector size="74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  <vt:lpstr>LEEME_v114_pos_ejec</vt:lpstr>
      <vt:lpstr>LEEME_v115_pos_ejec</vt:lpstr>
      <vt:lpstr>LEEME_v116_pos_ejec</vt:lpstr>
      <vt:lpstr>LEEME_v117_pos_ejec</vt:lpstr>
      <vt:lpstr>LEEME_v118_pos_ejec</vt:lpstr>
      <vt:lpstr>LEEME_v119_pos_ejec</vt:lpstr>
      <vt:lpstr>LEEME_v120_pos_ejec</vt:lpstr>
      <vt:lpstr>LEEME_v121_pos_ejec</vt:lpstr>
      <vt:lpstr>reparto_ni_anual_pos_ejec</vt:lpstr>
      <vt:lpstr>LEEME_v122_pos_ejec</vt:lpstr>
      <vt:lpstr>LEEME_v123_pos_ejec</vt:lpstr>
      <vt:lpstr>crecimiento_bloques_pos_ejec</vt:lpstr>
      <vt:lpstr>tetra_historica_pos_ejec</vt:lpstr>
      <vt:lpstr>LEEME_v124_pos_ejec</vt:lpstr>
      <vt:lpstr>LEEME_v125_pos_ejec</vt:lpstr>
      <vt:lpstr>pmp_mt_pos_ejec</vt:lpstr>
      <vt:lpstr>LEEME_v127_pos_ejec</vt:lpstr>
      <vt:lpstr>caso_base_fijo_3pct</vt:lpstr>
      <vt:lpstr>instrucciones_tasas_reales</vt:lpstr>
      <vt:lpstr>LEEME_v129_pos_ejec</vt:lpstr>
      <vt:lpstr>LEEME_v136_pos_ejec</vt:lpstr>
      <vt:lpstr>mt_pos_ejec</vt:lpstr>
      <vt:lpstr>LEEME_v137_pos_ejec</vt:lpstr>
      <vt:lpstr>internacional_base</vt:lpstr>
      <vt:lpstr>internacional_crecimiento</vt:lpstr>
      <vt:lpstr>LEEME_v138_pos_ejec</vt:lpstr>
      <vt:lpstr>internacional_bimestres</vt:lpstr>
      <vt:lpstr>LEEME_v139_internacional</vt:lpstr>
      <vt:lpstr>internacional_agosto</vt:lpstr>
      <vt:lpstr>caso_base_meta_2036</vt:lpstr>
      <vt:lpstr>espacio_connect</vt:lpstr>
      <vt:lpstr>LEEME_v140</vt:lpstr>
      <vt:lpstr>LEEME_v141</vt:lpstr>
      <vt:lpstr>caso_base_formato_v142</vt:lpstr>
      <vt:lpstr>LEEME_v142</vt:lpstr>
      <vt:lpstr>ri_bimestral_pos_ejec</vt:lpstr>
      <vt:lpstr>mt_tetra_historica_pos_ejec</vt:lpstr>
      <vt:lpstr>ni_iniciativas_pos_ejec</vt:lpstr>
      <vt:lpstr>calculo_tetra_pmp_pos_ejec</vt:lpstr>
      <vt:lpstr>INSTRUCCIONES_captura_PMP_RI</vt:lpstr>
      <vt:lpstr>LEEME_v143_captura</vt:lpstr>
      <vt:lpstr>LEEME_v145</vt:lpstr>
      <vt:lpstr>LEEME_v146</vt:lpstr>
      <vt:lpstr>LEEME_v147</vt:lpstr>
      <vt:lpstr>LEEME_v150</vt:lpstr>
      <vt:lpstr>LEEME_v152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2026-10-19T14:12:01Z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