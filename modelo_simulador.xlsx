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75(1)\"/>
    </mc:Choice>
  </mc:AlternateContent>
  <xr:revisionPtr revIDLastSave="0" documentId="13_ncr:1_{FD1CB8C3-334C-404B-AD6D-B08F7FB9EA14}" xr6:coauthVersionLast="47" xr6:coauthVersionMax="47" xr10:uidLastSave="{00000000-0000-0000-0000-000000000000}"/>
  <bookViews>
    <workbookView xWindow="-110" yWindow="-110" windowWidth="19420" windowHeight="10300" firstSheet="10" activeTab="1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I986" i="3"/>
  <c r="H986" i="3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<sst xmlns="http://schemas.openxmlformats.org/spreadsheetml/2006/main" count="9344" uniqueCount="732">
  <si>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</si>
  <si>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</si>
  <si>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</si>
  <si>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</si>
  <si>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</si>
  <si>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</si>
  <si>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</si>
  <si>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</si>
  <si>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</si>
  <si>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</si>
  <si>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</si>
  <si>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</si>
  <si>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</si>
  <si>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</si>
  <si>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</si>
  <si>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</si>
  <si>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</si>
  <si>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</si>
  <si>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</si>
  <si>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</si>
  <si>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</si>
  <si>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</si>
  <si>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</si>
  <si>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</si>
  <si>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</si>
  <si>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</si>
  <si>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</si>
  <si>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</si>
  <si>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</si>
  <si>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</si>
  <si>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</si>
  <si>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</si>
  <si>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</si>
  <si>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</si>
  <si>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</si>
  <si>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</si>
  <si>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</si>
  <si>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</si>
  <si>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</si>
  <si>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</si>
  <si>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</si>
  <si>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</si>
  <si>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</si>
  <si>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</si>
  <si>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</si>
  <si>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</si>
  <si>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</si>
  <si>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</si>
  <si>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</si>
  <si>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</si>
  <si>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</si>
  <si>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</si>
  <si>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</si>
  <si>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</si>
  <si>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</si>
  <si>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</si>
  <si>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</si>
  <si>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</si>
  <si>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</si>
  <si>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</si>
  <si>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</si>
  <si>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</si>
  <si>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</si>
  <si>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</si>
  <si>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</si>
  <si>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</si>
  <si>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</si>
  <si>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</si>
  <si>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</si>
  <si>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</si>
  <si>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</si>
  <si>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</si>
  <si>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</si>
  <si>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</si>
  <si>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</si>
  <si>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</si>
  <si>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</si>
  <si>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</si>
  <si>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</si>
  <si>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</si>
  <si>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</si>
  <si>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</si>
  <si>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</si>
  <si>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</si>
  <si>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</si>
  <si>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</si>
  <si>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</si>
  <si>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</si>
  <si>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</si>
  <si>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</si>
  <si>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</si>
  <si>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</si>
  <si>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</si>
  <si>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</si>
  <si>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</si>
  <si>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</si>
  <si>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</si>
  <si>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</si>
  <si>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</si>
  <si>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</si>
  <si>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</si>
  <si>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</si>
  <si>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</si>
  <si>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</si>
  <si>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</si>
  <si>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</si>
  <si>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</si>
  <si>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</si>
  <si>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</si>
  <si>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</si>
  <si>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</si>
  <si>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</si>
  <si>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</si>
  <si>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</si>
  <si>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</si>
  <si>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</si>
  <si>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</si>
  <si>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</si>
  <si>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</si>
  <si>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</si>
  <si>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</si>
  <si>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</si>
  <si>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</si>
  <si>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</si>
  <si>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</si>
  <si>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</si>
  <si>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</si>
  <si>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</si>
  <si>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</si>
  <si>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</si>
  <si>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</si>
  <si>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</si>
  <si>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</si>
  <si>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</si>
  <si>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</si>
  <si>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</si>
  <si>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</si>
  <si>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</si>
  <si>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</si>
  <si>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</si>
  <si>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</si>
  <si>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</si>
  <si>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</si>
  <si>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</si>
  <si>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</si>
  <si>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</si>
  <si>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</si>
  <si>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</si>
  <si>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</si>
  <si>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</si>
  <si>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</si>
  <si>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</si>
  <si>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</si>
  <si>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</si>
  <si>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</si>
  <si>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</si>
  <si>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</si>
  <si>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</si>
  <si>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</si>
  <si>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</si>
  <si>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</si>
  <si>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</si>
  <si>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</si>
  <si>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</si>
  <si>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</si>
  <si>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</si>
  <si>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</si>
  <si>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</si>
  <si>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</si>
  <si>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</si>
  <si>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</si>
  <si>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</si>
  <si>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</si>
  <si>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</si>
  <si>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</si>
  <si>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</si>
  <si>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</si>
  <si>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</si>
  <si>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</si>
  <si>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</si>
  <si>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</si>
  <si>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</si>
  <si>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</si>
  <si>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</si>
  <si>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</si>
  <si>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</si>
  <si>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</si>
  <si>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</si>
  <si>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</si>
  <si>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</si>
  <si>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</si>
  <si>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</si>
  <si>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</si>
  <si>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</si>
  <si>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</si>
  <si>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</si>
  <si>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</si>
  <si>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</si>
  <si>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</si>
  <si>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</si>
  <si>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</si>
  <si>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</si>
  <si>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</si>
  <si>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</si>
  <si>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</si>
  <si>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</si>
  <si>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</si>
  <si>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</si>
  <si>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</si>
  <si>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</si>
  <si>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</si>
  <si>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</si>
  <si>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</si>
  <si>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</si>
  <si>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</si>
  <si>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</si>
  <si>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</si>
  <si>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</si>
  <si>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</si>
  <si>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</si>
  <si>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</si>
  <si>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</si>
  <si>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</si>
  <si>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</si>
  <si>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</si>
  <si>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</si>
  <si>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</si>
  <si>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</si>
  <si>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</si>
  <si>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</si>
  <si>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</si>
  <si>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</si>
  <si>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</si>
  <si>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</si>
  <si>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</si>
  <si>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</si>
  <si>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</si>
  <si>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</si>
  <si>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</si>
  <si>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</si>
  <si>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</si>
  <si>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</si>
  <si>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</si>
  <si>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</si>
  <si>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</si>
  <si>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</si>
  <si>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</si>
  <si>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</si>
  <si>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</si>
  <si>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</si>
  <si>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</si>
  <si>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</si>
  <si>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</si>
  <si>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</si>
  <si>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</si>
  <si>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</si>
  <si>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</si>
  <si>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</si>
  <si>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</si>
  <si>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</si>
  <si>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</si>
  <si>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</si>
  <si>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</si>
  <si>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</si>
  <si>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</si>
  <si>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</si>
  <si>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</si>
  <si>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</si>
  <si>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</si>
  <si>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</si>
  <si>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</si>
  <si>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</si>
  <si>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</si>
  <si>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</si>
  <si>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</si>
  <si>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</si>
  <si>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</si>
  <si>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</si>
  <si>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</si>
  <si>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</si>
  <si>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</si>
  <si>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</si>
  <si>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</si>
  <si>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</si>
  <si>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</si>
  <si>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</si>
  <si>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</si>
  <si>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</si>
  <si>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</si>
  <si>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</si>
  <si>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</si>
  <si>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</si>
  <si>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</si>
  <si>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</si>
  <si>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</si>
  <si>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</si>
  <si>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</si>
  <si>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</si>
  <si>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</si>
  <si>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</si>
  <si>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</si>
  <si>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</si>
  <si>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</si>
  <si>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</si>
  <si>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</si>
  <si>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</si>
  <si>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</si>
  <si>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</si>
  <si>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</si>
  <si>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</si>
  <si>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</si>
  <si>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</si>
  <si>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</si>
  <si>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</si>
  <si>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</si>
  <si>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</si>
  <si>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</si>
  <si>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</si>
  <si>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</si>
  <si>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</si>
  <si>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</si>
  <si>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</si>
  <si>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</si>
  <si>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</si>
  <si>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</si>
  <si>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</si>
  <si>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</si>
  <si>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</si>
  <si>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</si>
  <si>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</si>
  <si>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</si>
  <si>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</si>
  <si>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</si>
  <si>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</si>
  <si>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</si>
  <si>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</si>
  <si>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</si>
  <si>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</si>
  <si>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</si>
  <si>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</si>
  <si>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</si>
  <si>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</si>
  <si>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</si>
  <si>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</si>
  <si>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</si>
  <si>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</si>
  <si>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</si>
  <si>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</si>
  <si>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</si>
  <si>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</si>
  <si>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</si>
  <si>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</si>
  <si>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</si>
  <si>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</si>
  <si>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</si>
  <si>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</si>
  <si>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</si>
  <si>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</si>
  <si>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</si>
  <si>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</si>
  <si>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</si>
  <si>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</si>
  <si>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</si>
  <si>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</si>
  <si>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</si>
  <si>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</si>
  <si>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</si>
  <si>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</si>
  <si>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</si>
  <si>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</si>
  <si>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</si>
  <si>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</si>
  <si>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</si>
  <si>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</si>
  <si>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</si>
  <si>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</si>
  <si>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</si>
  <si>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</si>
  <si>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</si>
  <si>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</si>
  <si>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</si>
  <si>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</si>
  <si>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</si>
  <si>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</si>
  <si>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</si>
  <si>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</si>
  <si>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</si>
  <si>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</si>
  <si>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</si>
  <si>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</si>
  <si>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</si>
  <si>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</si>
  <si>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</si>
  <si>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</si>
  <si>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</si>
  <si>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</si>
  <si>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</si>
  <si>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</si>
  <si>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</si>
  <si>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</si>
  <si>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</si>
  <si>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</si>
  <si>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</si>
  <si>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</si>
  <si>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</si>
  <si>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</si>
  <si>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</si>
  <si>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</si>
  <si>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</si>
  <si>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</si>
  <si>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</si>
  <si>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</si>
  <si>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</si>
  <si>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</si>
  <si>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</si>
  <si>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</si>
  <si>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</si>
  <si>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</si>
  <si>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</si>
  <si>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</si>
  <si>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</si>
  <si>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</si>
  <si>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</si>
  <si>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</si>
  <si>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</si>
  <si>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</si>
  <si>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</si>
  <si>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</si>
  <si>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</si>
  <si>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</si>
  <si>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</si>
  <si>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</si>
  <si>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</si>
  <si>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</si>
  <si>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</si>
  <si>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</si>
  <si>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</si>
  <si>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</si>
  <si>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</si>
  <si>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</si>
  <si>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</si>
  <si>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</si>
  <si>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</si>
  <si>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</si>
  <si>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</si>
  <si>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</si>
  <si>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</si>
  <si>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</si>
  <si>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</si>
  <si>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</si>
  <si>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</si>
  <si>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</si>
  <si>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</si>
  <si>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</si>
  <si>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</si>
  <si>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</si>
  <si>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</si>
  <si>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</si>
  <si>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</si>
  <si>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</si>
  <si>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</si>
  <si>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</si>
  <si>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</si>
  <si>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</si>
  <si>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</si>
  <si>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</si>
  <si>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</si>
  <si>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</si>
  <si>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</si>
  <si>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</si>
  <si>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</si>
  <si>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</si>
  <si>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</si>
  <si>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</si>
  <si>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</si>
  <si>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</si>
  <si>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</si>
  <si>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</si>
  <si>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</si>
  <si>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</si>
  <si>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</si>
  <si>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</si>
  <si>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</si>
  <si>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</si>
  <si>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</si>
  <si>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</si>
  <si>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</si>
  <si>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</si>
  <si>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</si>
  <si>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</si>
  <si>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</si>
  <si>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</si>
  <si>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</si>
  <si>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</si>
  <si>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</si>
  <si>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</si>
  <si>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</si>
  <si>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</si>
  <si>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</si>
  <si>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</si>
  <si>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</si>
  <si>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</si>
  <si>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</si>
  <si>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</si>
  <si>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</si>
  <si>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</si>
  <si>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</si>
  <si>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</si>
  <si>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</si>
  <si>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</si>
  <si>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</si>
  <si>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</si>
  <si>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</si>
  <si>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</si>
  <si>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</si>
  <si>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</si>
  <si>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</si>
  <si>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</si>
  <si>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</si>
  <si>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</si>
  <si>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</si>
  <si>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</si>
  <si>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</si>
  <si>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</si>
  <si>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</si>
  <si>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</si>
  <si>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</si>
  <si>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</si>
  <si>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</si>
  <si>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</si>
  <si>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</si>
  <si>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</si>
  <si>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</si>
  <si>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</si>
  <si>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</si>
  <si>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</si>
  <si>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</si>
  <si>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</si>
  <si>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</si>
  <si>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</si>
  <si>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</si>
  <si>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</si>
  <si>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</si>
  <si>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</si>
  <si>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</si>
  <si>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</si>
  <si>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</si>
  <si>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</si>
  <si>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</si>
  <si>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</si>
  <si>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</si>
  <si>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</si>
  <si>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</si>
  <si>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</si>
  <si>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</si>
  <si>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</si>
  <si>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</si>
  <si>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</si>
  <si>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</si>
  <si>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</si>
  <si>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</si>
  <si>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</si>
  <si>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</si>
  <si>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</si>
  <si>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</si>
  <si>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</si>
  <si>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</si>
  <si>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</si>
  <si>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</si>
  <si>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</si>
  <si>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</si>
  <si>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</si>
  <si>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</si>
  <si>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</si>
  <si>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</si>
  <si>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</si>
  <si>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</si>
  <si>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</si>
  <si>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</si>
  <si>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</si>
  <si>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</si>
  <si>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</si>
  <si>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</si>
  <si>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</si>
  <si>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</si>
  <si>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</si>
  <si>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</si>
  <si>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</si>
  <si>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</si>
  <si>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</si>
  <si>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</si>
  <si>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</si>
  <si>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</si>
  <si>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</si>
  <si>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</si>
  <si>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</si>
  <si>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</si>
  <si>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</si>
  <si>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</si>
  <si>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</si>
  <si>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</si>
  <si>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</si>
  <si>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</si>
  <si>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</si>
  <si>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</si>
  <si>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</si>
  <si>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</si>
  <si>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</si>
  <si>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</si>
  <si>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</si>
  <si>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</si>
  <si>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</si>
  <si>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</si>
  <si>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</si>
  <si>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</si>
  <si>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</si>
  <si>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</si>
  <si>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</si>
  <si>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</si>
  <si>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</si>
  <si>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</si>
  <si>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</si>
  <si>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</si>
  <si>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</si>
  <si>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</si>
  <si>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</si>
  <si>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</si>
  <si>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</si>
  <si>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</si>
  <si>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</si>
  <si>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</si>
  <si>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</si>
  <si>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</si>
  <si>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</si>
  <si>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</si>
  <si>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</si>
  <si>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</si>
  <si>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</si>
  <si>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</si>
  <si>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</si>
  <si>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</si>
  <si>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</si>
  <si>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</si>
  <si>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</si>
  <si>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</si>
  <si>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</si>
  <si>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</si>
  <si>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</si>
  <si>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</si>
  <si>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</si>
  <si>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</si>
  <si>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</si>
  <si>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</si>
  <si>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</si>
  <si>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</si>
  <si>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</si>
  <si>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</si>
  <si>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</si>
  <si>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</si>
  <si>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</si>
  <si>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</si>
  <si>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</si>
  <si>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</si>
  <si>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</si>
  <si>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</si>
  <si>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</si>
  <si>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</si>
  <si>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</si>
  <si>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</si>
  <si>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</si>
  <si>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</si>
  <si>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</si>
  <si>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</si>
  <si>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</si>
  <si>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</si>
  <si>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</si>
  <si>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</si>
  <si>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</si>
  <si>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</si>
  <si>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</si>
  <si>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</si>
  <si>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</si>
  <si>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</si>
  <si>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</si>
  <si>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</si>
  <si>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</si>
  <si>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</si>
  <si>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</si>
  <si>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</si>
  <si>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</si>
  <si>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</si>
  <si>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</si>
  <si>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</si>
  <si>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</si>
  <si>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</si>
  <si>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</si>
  <si>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</si>
  <si>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</si>
  <si>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</si>
  <si>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</si>
  <si>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</si>
  <si>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</si>
  <si>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</si>
  <si>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</si>
  <si>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</si>
  <si>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</si>
  <si>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</si>
  <si>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</si>
  <si>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</si>
  <si>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</si>
  <si>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</si>
  <si>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</si>
  <si>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</si>
  <si>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</si>
  <si>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</si>
  <si>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</si>
  <si>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</si>
  <si>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</si>
  <si>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</si>
  <si>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Borra esta fila y captura las carreras reales.</t>
  </si>
  <si>
    <t>La columna NI 2027 es la aportación esperada del programa.</t>
  </si>
  <si>
    <t>Cd. Juarez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</si>
  <si>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</si>
  <si>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</si>
  <si>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</si>
  <si>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</si>
  <si>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</si>
  <si>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</si>
  <si>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</si>
  <si>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Licenciatura en Ingeniería en Logística y Cadena de</t>
  </si>
  <si>
    <t>Licenciatura en Ingeniería en Mecatrónica</t>
  </si>
  <si>
    <t>Lic. en Ingeniería en Logística y Cadena de suministro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</si>
</sst>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>
    <filterColumn colId="0">
      <filters>
        <filter val="2026"/>
      </filters>
    </filterColumn>
    <filterColumn colId="3">
      <filters>
        <filter val="Profesional"/>
      </filters>
    </filterColumn>
  </autoFilter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38" t="s">
        <v>0</v>
      </c>
      <c r="B1" s="39"/>
      <c r="C1" s="39"/>
      <c r="D1" s="39"/>
      <c r="E1" s="39"/>
      <c r="F1" s="39"/>
      <c r="G1" s="39"/>
      <c r="H1" s="39"/>
    </row>
    <row r="2" spans="1:8" ht="6.75" customHeight="1">
      <c r="A2" s="40" t="s">
        <v>1</v>
      </c>
      <c r="B2" s="39"/>
      <c r="C2" s="39"/>
      <c r="D2" s="39"/>
      <c r="E2" s="39"/>
      <c r="F2" s="39"/>
      <c r="G2" s="39"/>
      <c r="H2" s="39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38" t="s">
        <v>34</v>
      </c>
      <c r="B1" s="39"/>
      <c r="C1" s="39"/>
      <c r="D1" s="39"/>
      <c r="E1" s="39"/>
      <c r="F1" s="39"/>
      <c r="G1" s="39"/>
      <c r="H1" s="39"/>
    </row>
    <row r="2" spans="1:17" ht="6.75" customHeight="1">
      <c r="A2" s="40" t="s">
        <v>35</v>
      </c>
      <c r="B2" s="39"/>
      <c r="C2" s="39"/>
      <c r="D2" s="39"/>
      <c r="E2" s="39"/>
      <c r="F2" s="39"/>
      <c r="G2" s="39"/>
      <c r="H2" s="39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D732" sqref="D732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38" t="s">
        <v>96</v>
      </c>
      <c r="B1" s="39"/>
      <c r="C1" s="39"/>
      <c r="D1" s="39"/>
      <c r="E1" s="39"/>
      <c r="F1" s="41"/>
      <c r="G1" s="41"/>
      <c r="H1" s="41"/>
      <c r="I1" s="39"/>
      <c r="J1" s="39"/>
    </row>
    <row r="2" spans="1:10" ht="6.75" customHeight="1">
      <c r="A2" s="40" t="s">
        <v>97</v>
      </c>
      <c r="B2" s="39"/>
      <c r="C2" s="39"/>
      <c r="D2" s="39"/>
      <c r="E2" s="39"/>
      <c r="F2" s="39"/>
      <c r="G2" s="39"/>
      <c r="H2" s="39"/>
      <c r="I2" s="39"/>
      <c r="J2" s="39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 hidden="1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 hidden="1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 hidden="1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 hidden="1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 hidden="1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 hidden="1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 hidden="1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 hidden="1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 hidden="1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 hidden="1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 hidden="1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 hidden="1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 hidden="1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 hidden="1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 hidden="1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 hidden="1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 hidden="1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 hidden="1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 hidden="1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 hidden="1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 hidden="1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 hidden="1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 hidden="1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 hidden="1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 hidden="1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 hidden="1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 hidden="1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 hidden="1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 hidden="1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 hidden="1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 hidden="1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 hidden="1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 hidden="1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 hidden="1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 hidden="1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 hidden="1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 hidden="1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 hidden="1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 hidden="1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 hidden="1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 hidden="1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 hidden="1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 hidden="1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 hidden="1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 hidden="1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 hidden="1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 hidden="1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 hidden="1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 hidden="1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 hidden="1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 hidden="1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 hidden="1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 hidden="1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 hidden="1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 hidden="1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 hidden="1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 hidden="1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 hidden="1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 hidden="1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 hidden="1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 hidden="1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 hidden="1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 hidden="1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 hidden="1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 hidden="1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 hidden="1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 hidden="1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 hidden="1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 hidden="1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 hidden="1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 hidden="1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 hidden="1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 hidden="1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 hidden="1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 hidden="1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 hidden="1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 hidden="1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 hidden="1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 hidden="1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 hidden="1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 hidden="1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 hidden="1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 hidden="1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 hidden="1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 hidden="1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 hidden="1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 hidden="1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 hidden="1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 hidden="1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 hidden="1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 hidden="1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 hidden="1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 hidden="1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 hidden="1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 hidden="1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 hidden="1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 hidden="1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 hidden="1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 hidden="1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 hidden="1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 hidden="1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 hidden="1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 hidden="1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 hidden="1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 hidden="1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 hidden="1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 hidden="1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 hidden="1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 hidden="1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 hidden="1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 hidden="1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 hidden="1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 hidden="1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 hidden="1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 hidden="1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 hidden="1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 hidden="1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 hidden="1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 hidden="1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 hidden="1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 hidden="1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 hidden="1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 hidden="1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 hidden="1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 hidden="1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 hidden="1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 hidden="1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 hidden="1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 hidden="1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 hidden="1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 hidden="1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 hidden="1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 hidden="1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 hidden="1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 hidden="1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 hidden="1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 hidden="1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 hidden="1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 hidden="1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 hidden="1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 hidden="1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 hidden="1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 hidden="1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 hidden="1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 hidden="1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 hidden="1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 hidden="1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 hidden="1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 hidden="1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 hidden="1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 hidden="1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 hidden="1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 hidden="1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 hidden="1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 hidden="1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 hidden="1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 hidden="1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 hidden="1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 hidden="1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 hidden="1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 hidden="1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 hidden="1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 hidden="1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 hidden="1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 hidden="1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 hidden="1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 hidden="1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 hidden="1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 hidden="1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 hidden="1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 hidden="1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 hidden="1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 hidden="1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 hidden="1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 hidden="1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 hidden="1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 hidden="1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 hidden="1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 hidden="1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 hidden="1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 hidden="1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 hidden="1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 hidden="1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 hidden="1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 hidden="1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 hidden="1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 hidden="1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 hidden="1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 hidden="1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 hidden="1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 hidden="1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 hidden="1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 hidden="1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 hidden="1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 hidden="1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 hidden="1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 hidden="1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 hidden="1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 hidden="1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 hidden="1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 hidden="1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 hidden="1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 hidden="1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 hidden="1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 hidden="1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 hidden="1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 hidden="1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 hidden="1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 hidden="1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 hidden="1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 hidden="1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 hidden="1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 hidden="1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 hidden="1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 hidden="1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 hidden="1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 hidden="1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 hidden="1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 hidden="1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 hidden="1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 hidden="1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 hidden="1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 hidden="1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 hidden="1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 hidden="1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 hidden="1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 hidden="1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 hidden="1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 hidden="1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 hidden="1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 hidden="1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 hidden="1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 hidden="1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 hidden="1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 hidden="1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 hidden="1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 hidden="1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 hidden="1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 hidden="1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 hidden="1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 hidden="1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 hidden="1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 hidden="1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 hidden="1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 hidden="1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 hidden="1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 hidden="1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 hidden="1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 hidden="1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 hidden="1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 hidden="1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 hidden="1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 hidden="1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 hidden="1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 hidden="1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 hidden="1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 hidden="1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 hidden="1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 hidden="1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 hidden="1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 hidden="1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 hidden="1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 hidden="1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 hidden="1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 hidden="1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 hidden="1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 hidden="1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 hidden="1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 hidden="1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 hidden="1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 hidden="1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 hidden="1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 hidden="1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 hidden="1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 hidden="1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 hidden="1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 hidden="1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 hidden="1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 hidden="1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 hidden="1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 hidden="1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 hidden="1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 hidden="1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 hidden="1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 hidden="1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 hidden="1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 hidden="1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 hidden="1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 hidden="1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 hidden="1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 hidden="1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 hidden="1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 hidden="1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 hidden="1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 hidden="1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 hidden="1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 hidden="1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 hidden="1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 hidden="1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 hidden="1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 hidden="1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 hidden="1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 hidden="1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 hidden="1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 hidden="1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 hidden="1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 hidden="1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 hidden="1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 hidden="1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 hidden="1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 hidden="1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 hidden="1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 hidden="1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 hidden="1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 hidden="1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 hidden="1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 hidden="1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 hidden="1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 hidden="1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 hidden="1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 hidden="1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 hidden="1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 hidden="1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 hidden="1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 hidden="1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 hidden="1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 hidden="1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 hidden="1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 hidden="1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 hidden="1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 hidden="1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 hidden="1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 hidden="1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 hidden="1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 hidden="1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 hidden="1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 hidden="1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 hidden="1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 hidden="1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 hidden="1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 hidden="1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 hidden="1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 hidden="1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 hidden="1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 hidden="1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 hidden="1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 hidden="1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 hidden="1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 hidden="1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 hidden="1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 hidden="1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 hidden="1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 hidden="1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 hidden="1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 hidden="1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 hidden="1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 hidden="1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 hidden="1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 hidden="1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 hidden="1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 hidden="1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 hidden="1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 hidden="1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 hidden="1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 hidden="1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 hidden="1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 hidden="1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 hidden="1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 hidden="1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 hidden="1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 hidden="1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 hidden="1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 hidden="1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 hidden="1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 hidden="1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 hidden="1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 hidden="1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 hidden="1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 hidden="1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 hidden="1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 hidden="1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 hidden="1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 hidden="1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 hidden="1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 hidden="1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 hidden="1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 hidden="1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 hidden="1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 hidden="1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 hidden="1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 hidden="1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 hidden="1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 hidden="1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 hidden="1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 hidden="1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 hidden="1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 hidden="1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 hidden="1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 hidden="1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 hidden="1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 hidden="1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 hidden="1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 hidden="1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 hidden="1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 hidden="1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 hidden="1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 hidden="1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 hidden="1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 hidden="1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 hidden="1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 hidden="1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 hidden="1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 hidden="1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 hidden="1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 hidden="1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 hidden="1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 hidden="1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 hidden="1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 hidden="1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 hidden="1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 hidden="1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 hidden="1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 hidden="1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 hidden="1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 hidden="1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 hidden="1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 hidden="1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 hidden="1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 hidden="1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 hidden="1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 hidden="1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 hidden="1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 hidden="1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 hidden="1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 hidden="1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 hidden="1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 hidden="1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 hidden="1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 hidden="1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 hidden="1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 hidden="1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 hidden="1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 hidden="1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 hidden="1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 hidden="1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 hidden="1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 hidden="1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 hidden="1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 hidden="1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 hidden="1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 hidden="1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 hidden="1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 hidden="1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 hidden="1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 hidden="1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 hidden="1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 hidden="1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 hidden="1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 hidden="1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 hidden="1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 hidden="1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 hidden="1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 hidden="1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 hidden="1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 hidden="1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 hidden="1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 hidden="1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 hidden="1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 hidden="1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 hidden="1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 hidden="1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 hidden="1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 hidden="1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 hidden="1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 hidden="1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 hidden="1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 hidden="1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 hidden="1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 hidden="1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 hidden="1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 hidden="1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 hidden="1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 hidden="1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 hidden="1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 hidden="1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 hidden="1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 hidden="1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 hidden="1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 hidden="1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 hidden="1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 hidden="1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 hidden="1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 hidden="1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 hidden="1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 hidden="1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 hidden="1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 hidden="1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 hidden="1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 hidden="1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 hidden="1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 hidden="1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 hidden="1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 hidden="1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 hidden="1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 hidden="1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 hidden="1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 hidden="1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 hidden="1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 hidden="1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 hidden="1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 hidden="1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 hidden="1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 hidden="1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 hidden="1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 hidden="1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 hidden="1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 hidden="1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 hidden="1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 hidden="1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 hidden="1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 hidden="1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 hidden="1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 hidden="1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 hidden="1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 hidden="1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 hidden="1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 hidden="1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 hidden="1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 hidden="1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 hidden="1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 hidden="1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 hidden="1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 hidden="1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 hidden="1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 hidden="1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 hidden="1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 hidden="1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 hidden="1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 hidden="1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 hidden="1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 hidden="1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 hidden="1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 hidden="1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 hidden="1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 hidden="1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 hidden="1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 hidden="1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 hidden="1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 hidden="1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 hidden="1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 hidden="1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 hidden="1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 hidden="1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 hidden="1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 hidden="1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 hidden="1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 hidden="1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 hidden="1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 hidden="1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 hidden="1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 hidden="1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 hidden="1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 hidden="1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 hidden="1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 hidden="1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 hidden="1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 hidden="1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 hidden="1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 hidden="1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 hidden="1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 hidden="1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 hidden="1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 hidden="1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 hidden="1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 hidden="1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 hidden="1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 hidden="1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 hidden="1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 hidden="1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 hidden="1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 hidden="1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 hidden="1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 hidden="1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 hidden="1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 hidden="1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 hidden="1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 hidden="1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 hidden="1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 hidden="1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 hidden="1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 hidden="1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 hidden="1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 hidden="1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 hidden="1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 hidden="1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 hidden="1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 hidden="1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 hidden="1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 hidden="1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 hidden="1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 hidden="1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 hidden="1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 hidden="1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 hidden="1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 hidden="1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 hidden="1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 hidden="1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 hidden="1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 hidden="1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 hidden="1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 hidden="1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 hidden="1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 hidden="1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 hidden="1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 hidden="1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 hidden="1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 hidden="1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 hidden="1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 hidden="1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 hidden="1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 hidden="1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 hidden="1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 hidden="1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 hidden="1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 hidden="1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 hidden="1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 hidden="1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 hidden="1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 hidden="1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 hidden="1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 hidden="1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 hidden="1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 hidden="1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 hidden="1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 hidden="1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 hidden="1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 hidden="1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 hidden="1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 hidden="1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 hidden="1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 hidden="1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 hidden="1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 hidden="1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 hidden="1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 hidden="1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 hidden="1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 hidden="1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 hidden="1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 hidden="1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 hidden="1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 hidden="1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 hidden="1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 hidden="1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 hidden="1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 hidden="1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 hidden="1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 hidden="1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 hidden="1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 hidden="1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 hidden="1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 hidden="1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 hidden="1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 hidden="1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 hidden="1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 hidden="1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 hidden="1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 hidden="1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 hidden="1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 hidden="1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 hidden="1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 hidden="1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 hidden="1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 hidden="1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 hidden="1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 hidden="1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 hidden="1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 hidden="1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 hidden="1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 hidden="1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 hidden="1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 hidden="1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 hidden="1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 hidden="1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 hidden="1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 hidden="1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 hidden="1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 hidden="1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 hidden="1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 hidden="1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 hidden="1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 hidden="1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 hidden="1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 hidden="1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 hidden="1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 hidden="1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 hidden="1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 hidden="1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 hidden="1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 hidden="1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 hidden="1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 hidden="1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 hidden="1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 hidden="1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 hidden="1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 hidden="1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 hidden="1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 hidden="1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 hidden="1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 hidden="1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 hidden="1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 hidden="1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 hidden="1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 hidden="1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 hidden="1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 hidden="1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 hidden="1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 hidden="1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 hidden="1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 hidden="1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 hidden="1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 hidden="1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 hidden="1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 hidden="1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 hidden="1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 hidden="1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 hidden="1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 hidden="1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 hidden="1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 hidden="1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 hidden="1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 hidden="1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 hidden="1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 hidden="1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 hidden="1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 hidden="1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 hidden="1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 hidden="1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 hidden="1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 hidden="1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 hidden="1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 hidden="1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 hidden="1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 hidden="1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 hidden="1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 hidden="1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 hidden="1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 hidden="1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 hidden="1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 hidden="1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 hidden="1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 hidden="1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 hidden="1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 hidden="1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 hidden="1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 hidden="1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 hidden="1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 hidden="1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 hidden="1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 hidden="1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 hidden="1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 hidden="1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 hidden="1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 hidden="1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 hidden="1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 hidden="1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 hidden="1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 hidden="1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 hidden="1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 hidden="1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 hidden="1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 hidden="1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 hidden="1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 hidden="1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 hidden="1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 hidden="1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 hidden="1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 hidden="1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 hidden="1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 hidden="1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 hidden="1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 hidden="1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 hidden="1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 hidden="1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 hidden="1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 hidden="1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 hidden="1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 hidden="1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 hidden="1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 hidden="1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 hidden="1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 hidden="1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 hidden="1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 hidden="1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 hidden="1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 hidden="1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 hidden="1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 hidden="1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 hidden="1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 hidden="1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 hidden="1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 hidden="1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 hidden="1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 hidden="1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 hidden="1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 hidden="1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 hidden="1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 hidden="1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 hidden="1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 hidden="1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 hidden="1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 hidden="1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 hidden="1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 hidden="1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 hidden="1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 hidden="1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 hidden="1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 hidden="1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 hidden="1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 hidden="1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 hidden="1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 hidden="1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 hidden="1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 hidden="1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 hidden="1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 hidden="1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 hidden="1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 hidden="1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 hidden="1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 hidden="1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 hidden="1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 hidden="1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 hidden="1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 hidden="1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 hidden="1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 hidden="1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 hidden="1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 hidden="1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 hidden="1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 hidden="1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 hidden="1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 hidden="1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 hidden="1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 hidden="1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 hidden="1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 hidden="1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 hidden="1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 hidden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idden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idden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 hidden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idden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idden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 hidden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idden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idden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269</v>
      </c>
      <c r="G864" s="6">
        <v>745</v>
      </c>
      <c r="H864" s="12">
        <f>tbl_base_ni_ri[[#This Row],[ni_total]]+tbl_base_ni_ri[[#This Row],[ri_total]]</f>
        <v>1014</v>
      </c>
      <c r="I864" s="6" t="str">
        <f t="shared" si="13"/>
        <v>OK</v>
      </c>
      <c r="J864" s="7"/>
    </row>
    <row r="865" spans="1:10" hidden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idden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idden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95</v>
      </c>
      <c r="G868" s="6">
        <v>252</v>
      </c>
      <c r="H868" s="12">
        <f>tbl_base_ni_ri[[#This Row],[ni_total]]+tbl_base_ni_ri[[#This Row],[ri_total]]</f>
        <v>347</v>
      </c>
      <c r="I868" s="6" t="str">
        <f t="shared" si="13"/>
        <v>OK</v>
      </c>
      <c r="J868" s="7"/>
    </row>
    <row r="869" spans="1:10" hidden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idden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idden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250</v>
      </c>
      <c r="G872" s="6">
        <v>769</v>
      </c>
      <c r="H872" s="12">
        <f>tbl_base_ni_ri[[#This Row],[ni_total]]+tbl_base_ni_ri[[#This Row],[ri_total]]</f>
        <v>1019</v>
      </c>
      <c r="I872" s="6" t="str">
        <f t="shared" si="13"/>
        <v>OK</v>
      </c>
      <c r="J872" s="7"/>
    </row>
    <row r="873" spans="1:10" hidden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idden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idden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195</v>
      </c>
      <c r="G876" s="6">
        <v>671</v>
      </c>
      <c r="H876" s="12">
        <f>tbl_base_ni_ri[[#This Row],[ni_total]]+tbl_base_ni_ri[[#This Row],[ri_total]]</f>
        <v>866</v>
      </c>
      <c r="I876" s="6" t="str">
        <f t="shared" si="13"/>
        <v>OK</v>
      </c>
      <c r="J876" s="7"/>
    </row>
    <row r="877" spans="1:10" hidden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idden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idden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46</v>
      </c>
      <c r="G880" s="6">
        <v>124</v>
      </c>
      <c r="H880" s="12">
        <f>tbl_base_ni_ri[[#This Row],[ni_total]]+tbl_base_ni_ri[[#This Row],[ri_total]]</f>
        <v>170</v>
      </c>
      <c r="I880" s="6" t="str">
        <f t="shared" si="13"/>
        <v>OK</v>
      </c>
      <c r="J880" s="7"/>
    </row>
    <row r="881" spans="1:10" hidden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 hidden="1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 hidden="1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242</v>
      </c>
      <c r="G884" s="6">
        <v>882</v>
      </c>
      <c r="H884" s="12">
        <f>tbl_base_ni_ri[[#This Row],[ni_total]]+tbl_base_ni_ri[[#This Row],[ri_total]]</f>
        <v>1124</v>
      </c>
      <c r="I884" s="6" t="str">
        <f t="shared" si="13"/>
        <v>OK</v>
      </c>
      <c r="J884" s="7"/>
    </row>
    <row r="885" spans="1:10" hidden="1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 hidden="1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 hidden="1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98</v>
      </c>
      <c r="G888" s="6">
        <v>345</v>
      </c>
      <c r="H888" s="12">
        <f>tbl_base_ni_ri[[#This Row],[ni_total]]+tbl_base_ni_ri[[#This Row],[ri_total]]</f>
        <v>443</v>
      </c>
      <c r="I888" s="6" t="str">
        <f t="shared" si="13"/>
        <v>OK</v>
      </c>
      <c r="J888" s="7"/>
    </row>
    <row r="889" spans="1:10" hidden="1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 hidden="1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 hidden="1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169</v>
      </c>
      <c r="G892" s="6">
        <v>685</v>
      </c>
      <c r="H892" s="12">
        <f>tbl_base_ni_ri[[#This Row],[ni_total]]+tbl_base_ni_ri[[#This Row],[ri_total]]</f>
        <v>854</v>
      </c>
      <c r="I892" s="6" t="str">
        <f t="shared" si="13"/>
        <v>OK</v>
      </c>
      <c r="J892" s="7"/>
    </row>
    <row r="893" spans="1:10" hidden="1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 hidden="1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 hidden="1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42</v>
      </c>
      <c r="G896" s="6">
        <v>188</v>
      </c>
      <c r="H896" s="12">
        <f>tbl_base_ni_ri[[#This Row],[ni_total]]+tbl_base_ni_ri[[#This Row],[ri_total]]</f>
        <v>230</v>
      </c>
      <c r="I896" s="6" t="str">
        <f t="shared" si="13"/>
        <v>OK</v>
      </c>
      <c r="J896" s="7"/>
    </row>
    <row r="897" spans="1:10" hidden="1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 hidden="1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 hidden="1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150</v>
      </c>
      <c r="G900" s="6">
        <v>479</v>
      </c>
      <c r="H900" s="12">
        <f>tbl_base_ni_ri[[#This Row],[ni_total]]+tbl_base_ni_ri[[#This Row],[ri_total]]</f>
        <v>629</v>
      </c>
      <c r="I900" s="6" t="str">
        <f t="shared" si="13"/>
        <v>OK</v>
      </c>
      <c r="J900" s="7"/>
    </row>
    <row r="901" spans="1:10" hidden="1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 hidden="1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 hidden="1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673</v>
      </c>
      <c r="G904" s="6">
        <v>2663</v>
      </c>
      <c r="H904" s="12">
        <f>tbl_base_ni_ri[[#This Row],[ni_total]]+tbl_base_ni_ri[[#This Row],[ri_total]]</f>
        <v>3336</v>
      </c>
      <c r="I904" s="6" t="str">
        <f t="shared" si="14"/>
        <v>OK</v>
      </c>
      <c r="J904" s="7"/>
    </row>
    <row r="905" spans="1:10" hidden="1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 hidden="1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 hidden="1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26</v>
      </c>
      <c r="G908" s="6">
        <v>108</v>
      </c>
      <c r="H908" s="12">
        <f>tbl_base_ni_ri[[#This Row],[ni_total]]+tbl_base_ni_ri[[#This Row],[ri_total]]</f>
        <v>134</v>
      </c>
      <c r="I908" s="6" t="str">
        <f t="shared" si="14"/>
        <v>OK</v>
      </c>
      <c r="J908" s="7"/>
    </row>
    <row r="909" spans="1:10" hidden="1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 hidden="1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 hidden="1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105</v>
      </c>
      <c r="G912" s="6">
        <v>382</v>
      </c>
      <c r="H912" s="12">
        <f>tbl_base_ni_ri[[#This Row],[ni_total]]+tbl_base_ni_ri[[#This Row],[ri_total]]</f>
        <v>487</v>
      </c>
      <c r="I912" s="6" t="str">
        <f t="shared" si="14"/>
        <v>OK</v>
      </c>
      <c r="J912" s="7"/>
    </row>
    <row r="913" spans="1:10" hidden="1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 hidden="1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 hidden="1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55</v>
      </c>
      <c r="G916" s="6">
        <v>164</v>
      </c>
      <c r="H916" s="12">
        <f>tbl_base_ni_ri[[#This Row],[ni_total]]+tbl_base_ni_ri[[#This Row],[ri_total]]</f>
        <v>219</v>
      </c>
      <c r="I916" s="6" t="str">
        <f t="shared" si="14"/>
        <v>OK</v>
      </c>
      <c r="J916" s="7"/>
    </row>
    <row r="917" spans="1:10" hidden="1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 hidden="1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 hidden="1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60</v>
      </c>
      <c r="G920" s="6">
        <v>211</v>
      </c>
      <c r="H920" s="12">
        <f>tbl_base_ni_ri[[#This Row],[ni_total]]+tbl_base_ni_ri[[#This Row],[ri_total]]</f>
        <v>271</v>
      </c>
      <c r="I920" s="6" t="str">
        <f t="shared" si="14"/>
        <v>OK</v>
      </c>
      <c r="J920" s="7"/>
    </row>
    <row r="921" spans="1:10" hidden="1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 hidden="1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 hidden="1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114</v>
      </c>
      <c r="G924" s="6">
        <v>376</v>
      </c>
      <c r="H924" s="12">
        <f>tbl_base_ni_ri[[#This Row],[ni_total]]+tbl_base_ni_ri[[#This Row],[ri_total]]</f>
        <v>490</v>
      </c>
      <c r="I924" s="6" t="str">
        <f t="shared" si="14"/>
        <v>OK</v>
      </c>
      <c r="J924" s="7"/>
    </row>
    <row r="925" spans="1:10" hidden="1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 hidden="1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 hidden="1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71</v>
      </c>
      <c r="G928" s="6">
        <v>281</v>
      </c>
      <c r="H928" s="12">
        <f>tbl_base_ni_ri[[#This Row],[ni_total]]+tbl_base_ni_ri[[#This Row],[ri_total]]</f>
        <v>352</v>
      </c>
      <c r="I928" s="6" t="str">
        <f t="shared" si="14"/>
        <v>OK</v>
      </c>
      <c r="J928" s="7"/>
    </row>
    <row r="929" spans="1:10" hidden="1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 hidden="1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 hidden="1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102</v>
      </c>
      <c r="G932" s="6">
        <v>372</v>
      </c>
      <c r="H932" s="12">
        <f>tbl_base_ni_ri[[#This Row],[ni_total]]+tbl_base_ni_ri[[#This Row],[ri_total]]</f>
        <v>474</v>
      </c>
      <c r="I932" s="6" t="str">
        <f t="shared" si="14"/>
        <v>OK</v>
      </c>
      <c r="J932" s="7"/>
    </row>
    <row r="933" spans="1:10" hidden="1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 hidden="1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 hidden="1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105</v>
      </c>
      <c r="G936" s="6">
        <v>406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 hidden="1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 hidden="1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 hidden="1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243</v>
      </c>
      <c r="G940" s="6">
        <v>1004</v>
      </c>
      <c r="H940" s="12">
        <f>tbl_base_ni_ri[[#This Row],[ni_total]]+tbl_base_ni_ri[[#This Row],[ri_total]]</f>
        <v>1247</v>
      </c>
      <c r="I940" s="6" t="str">
        <f t="shared" si="14"/>
        <v>OK</v>
      </c>
      <c r="J940" s="7"/>
    </row>
    <row r="941" spans="1:10" hidden="1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 hidden="1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 hidden="1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 hidden="1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 hidden="1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 hidden="1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55</v>
      </c>
      <c r="G948" s="6">
        <v>204</v>
      </c>
      <c r="H948" s="12">
        <f>tbl_base_ni_ri[[#This Row],[ni_total]]+tbl_base_ni_ri[[#This Row],[ri_total]]</f>
        <v>259</v>
      </c>
      <c r="I948" s="6" t="str">
        <f t="shared" si="14"/>
        <v>OK</v>
      </c>
      <c r="J948" s="7"/>
    </row>
    <row r="949" spans="1:10" hidden="1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 hidden="1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 hidden="1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119</v>
      </c>
      <c r="G952" s="6">
        <v>345</v>
      </c>
      <c r="H952" s="12">
        <f>tbl_base_ni_ri[[#This Row],[ni_total]]+tbl_base_ni_ri[[#This Row],[ri_total]]</f>
        <v>464</v>
      </c>
      <c r="I952" s="6" t="str">
        <f t="shared" si="14"/>
        <v>OK</v>
      </c>
      <c r="J952" s="7"/>
    </row>
    <row r="953" spans="1:10" hidden="1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 hidden="1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 hidden="1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85</v>
      </c>
      <c r="G956" s="6">
        <v>410</v>
      </c>
      <c r="H956" s="12">
        <f>tbl_base_ni_ri[[#This Row],[ni_total]]+tbl_base_ni_ri[[#This Row],[ri_total]]</f>
        <v>495</v>
      </c>
      <c r="I956" s="6" t="str">
        <f t="shared" si="14"/>
        <v>OK</v>
      </c>
      <c r="J956" s="7"/>
    </row>
    <row r="957" spans="1:10" hidden="1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 hidden="1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 hidden="1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61</v>
      </c>
      <c r="G960" s="6">
        <v>94</v>
      </c>
      <c r="H960" s="12">
        <f>tbl_base_ni_ri[[#This Row],[ni_total]]+tbl_base_ni_ri[[#This Row],[ri_total]]</f>
        <v>155</v>
      </c>
      <c r="I960" s="6" t="str">
        <f t="shared" si="14"/>
        <v>OK</v>
      </c>
      <c r="J960" s="7"/>
    </row>
    <row r="961" spans="1:10" hidden="1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 hidden="1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 hidden="1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87</v>
      </c>
      <c r="G964" s="6">
        <v>53</v>
      </c>
      <c r="H964" s="12">
        <f>tbl_base_ni_ri[[#This Row],[ni_total]]+tbl_base_ni_ri[[#This Row],[ri_total]]</f>
        <v>140</v>
      </c>
      <c r="I964" s="6" t="str">
        <f t="shared" si="14"/>
        <v>OK</v>
      </c>
      <c r="J964" s="7"/>
    </row>
    <row r="965" spans="1:10" hidden="1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 hidden="1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 hidden="1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86</v>
      </c>
      <c r="G968" s="6">
        <v>113</v>
      </c>
      <c r="H968" s="12">
        <f>tbl_base_ni_ri[[#This Row],[ni_total]]+tbl_base_ni_ri[[#This Row],[ri_total]]</f>
        <v>199</v>
      </c>
      <c r="I968" s="6" t="str">
        <f t="shared" si="15"/>
        <v>OK</v>
      </c>
      <c r="J968" s="7"/>
    </row>
    <row r="969" spans="1:10" hidden="1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 hidden="1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 hidden="1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 hidden="1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 hidden="1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 hidden="1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 hidden="1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 hidden="1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 hidden="1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 hidden="1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 hidden="1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 hidden="1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 hidden="1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 hidden="1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 hidden="1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 hidden="1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 hidden="1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 hidden="1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 hidden="1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 hidden="1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 hidden="1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 hidden="1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 hidden="1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 hidden="1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 hidden="1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 hidden="1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 hidden="1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 hidden="1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 hidden="1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 hidden="1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 hidden="1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 hidden="1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38" t="s">
        <v>107</v>
      </c>
      <c r="B1" s="39"/>
      <c r="C1" s="39"/>
      <c r="D1" s="39"/>
      <c r="E1" s="39"/>
      <c r="F1" s="41"/>
      <c r="G1" s="42"/>
      <c r="H1" s="39"/>
      <c r="I1" s="39"/>
      <c r="J1" s="39"/>
    </row>
    <row r="2" spans="1:10" ht="6.75" customHeight="1">
      <c r="A2" s="40" t="s">
        <v>108</v>
      </c>
      <c r="B2" s="39"/>
      <c r="C2" s="39"/>
      <c r="D2" s="39"/>
      <c r="E2" s="39"/>
      <c r="F2" s="39"/>
      <c r="G2" s="39"/>
      <c r="H2" s="39"/>
      <c r="I2" s="39"/>
      <c r="J2" s="39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activeCell="A5" sqref="A5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38" t="s">
        <v>113</v>
      </c>
      <c r="B1" s="39"/>
      <c r="C1" s="39"/>
      <c r="D1" s="39"/>
      <c r="E1" s="39"/>
      <c r="F1" s="39"/>
      <c r="G1" s="42"/>
      <c r="H1" s="39"/>
      <c r="I1" s="39"/>
      <c r="J1" s="39"/>
    </row>
    <row r="2" spans="1:10" ht="6.75" customHeight="1">
      <c r="A2" s="40" t="s">
        <v>114</v>
      </c>
      <c r="B2" s="39"/>
      <c r="C2" s="39"/>
      <c r="D2" s="39"/>
      <c r="E2" s="39"/>
      <c r="F2" s="39"/>
      <c r="G2" s="39"/>
      <c r="H2" s="39"/>
      <c r="I2" s="39"/>
      <c r="J2" s="39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38" t="s">
        <v>120</v>
      </c>
      <c r="B1" s="39"/>
      <c r="C1" s="39"/>
      <c r="D1" s="39"/>
      <c r="E1" s="43"/>
      <c r="F1" s="39"/>
      <c r="G1" s="39"/>
      <c r="H1" s="39"/>
    </row>
    <row r="2" spans="1:8" ht="6.75" customHeight="1">
      <c r="A2" s="40" t="s">
        <v>121</v>
      </c>
      <c r="B2" s="39"/>
      <c r="C2" s="39"/>
      <c r="D2" s="39"/>
      <c r="E2" s="39"/>
      <c r="F2" s="39"/>
      <c r="G2" s="39"/>
      <c r="H2" s="39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38" t="s">
        <v>124</v>
      </c>
      <c r="B1" s="39"/>
      <c r="C1" s="39"/>
      <c r="D1" s="39"/>
      <c r="E1" s="39"/>
      <c r="F1" s="42"/>
      <c r="G1" s="39"/>
      <c r="H1" s="39"/>
      <c r="I1" s="39"/>
    </row>
    <row r="2" spans="1:9" ht="6.75" customHeight="1">
      <c r="A2" s="40" t="s">
        <v>125</v>
      </c>
      <c r="B2" s="39"/>
      <c r="C2" s="39"/>
      <c r="D2" s="39"/>
      <c r="E2" s="39"/>
      <c r="F2" s="39"/>
      <c r="G2" s="39"/>
      <c r="H2" s="39"/>
      <c r="I2" s="39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38" t="s">
        <v>128</v>
      </c>
      <c r="B1" s="39"/>
      <c r="C1" s="39"/>
      <c r="D1" s="39"/>
      <c r="E1" s="39"/>
      <c r="F1" s="39"/>
      <c r="G1" s="39"/>
      <c r="H1" s="39"/>
    </row>
    <row r="2" spans="1:8" ht="6.75" customHeight="1">
      <c r="A2" s="40" t="s">
        <v>129</v>
      </c>
      <c r="B2" s="39"/>
      <c r="C2" s="39"/>
      <c r="D2" s="39"/>
      <c r="E2" s="39"/>
      <c r="F2" s="39"/>
      <c r="G2" s="39"/>
      <c r="H2" s="39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4" t="s">
        <v>145</v>
      </c>
      <c r="B1" s="45"/>
      <c r="C1" s="45"/>
      <c r="E1" s="30" t="s">
        <v>639</v>
      </c>
      <c r="F1" s="30"/>
      <c r="G1" s="30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1" t="s">
        <v>648</v>
      </c>
      <c r="F7" s="31"/>
      <c r="G7" s="31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2" t="s">
        <v>655</v>
      </c>
      <c r="F12" s="32"/>
      <c r="G12" s="32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3" t="s">
        <v>662</v>
      </c>
      <c r="F18" s="33"/>
      <c r="G18" s="33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4" t="s">
        <v>672</v>
      </c>
      <c r="F26" s="34"/>
      <c r="G26" s="34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5" t="s">
        <v>686</v>
      </c>
      <c r="F35" s="35"/>
      <c r="G35" s="35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6" t="s">
        <v>700</v>
      </c>
      <c r="F44" s="36"/>
      <c r="G44" s="36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46" t="s">
        <v>170</v>
      </c>
      <c r="B1" s="39"/>
      <c r="C1" s="39"/>
      <c r="D1" s="39"/>
      <c r="E1" s="39"/>
      <c r="F1" s="39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46" t="s">
        <v>343</v>
      </c>
      <c r="B1" s="39"/>
      <c r="C1" s="39"/>
      <c r="D1" s="39"/>
      <c r="E1" s="39"/>
      <c r="F1" s="39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46" t="s">
        <v>353</v>
      </c>
      <c r="B1" s="39"/>
      <c r="C1" s="39"/>
      <c r="D1" s="39"/>
      <c r="E1" s="39"/>
      <c r="F1" s="39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tabSelected="1" topLeftCell="A220" workbookViewId="0">
      <selection activeCell="F233" sqref="F233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46" t="s">
        <v>617</v>
      </c>
      <c r="B1" s="39"/>
      <c r="C1" s="39"/>
      <c r="D1" s="39"/>
      <c r="E1" s="39"/>
      <c r="F1" s="39"/>
      <c r="G1" s="39"/>
      <c r="H1" s="39"/>
      <c r="I1" s="39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13</v>
      </c>
      <c r="G4" s="19">
        <v>105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0</v>
      </c>
      <c r="G18">
        <v>107</v>
      </c>
      <c r="H18" s="49">
        <v>1E-3</v>
      </c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177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311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322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285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333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177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208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223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241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257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311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322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285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333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177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208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257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311</v>
      </c>
      <c r="E38">
        <v>2026</v>
      </c>
      <c r="F38">
        <v>0</v>
      </c>
      <c r="G38">
        <v>95</v>
      </c>
      <c r="H38" s="49">
        <v>1E-3</v>
      </c>
    </row>
    <row r="39" spans="1:8">
      <c r="A39" t="s">
        <v>66</v>
      </c>
      <c r="B39" t="s">
        <v>47</v>
      </c>
      <c r="C39" t="s">
        <v>51</v>
      </c>
      <c r="D39" t="s">
        <v>322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285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333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177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208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223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257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311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285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333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177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208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257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311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285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333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351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177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208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257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285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333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177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208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223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241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257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311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322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285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333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350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351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177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208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223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311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322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285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299</v>
      </c>
      <c r="E78">
        <v>2026</v>
      </c>
      <c r="F78">
        <v>0</v>
      </c>
      <c r="G78">
        <v>98</v>
      </c>
      <c r="H78" s="49">
        <v>1E-3</v>
      </c>
    </row>
    <row r="79" spans="1:8">
      <c r="A79" t="s">
        <v>74</v>
      </c>
      <c r="B79" t="s">
        <v>47</v>
      </c>
      <c r="C79" t="s">
        <v>51</v>
      </c>
      <c r="D79" t="s">
        <v>333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177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208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311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322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285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333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177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208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257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311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285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333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351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177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208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257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285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729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730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311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333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177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208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223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241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257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352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271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729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730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311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333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350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351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177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208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311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333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177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208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311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333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177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208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223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241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257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311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322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285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177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208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223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257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730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311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333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177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208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257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311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333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177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208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241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257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285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730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311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333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177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208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257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285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730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311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333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731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177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208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241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257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285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730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311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177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208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223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257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311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322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285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333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350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177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208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257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311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285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333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350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177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223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311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322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299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333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177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208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241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257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311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322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285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333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351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177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208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241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257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311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322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285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333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177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208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257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311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322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285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177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208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223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232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241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311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285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333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177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208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257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311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285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333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257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241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285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333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177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208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223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299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322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311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30" t="s">
        <v>639</v>
      </c>
      <c r="I1" s="30"/>
      <c r="J1" s="30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activeCell="D6" sqref="D6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47" t="s">
        <v>715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ht="30.65" customHeight="1">
      <c r="A2" s="48" t="s">
        <v>716</v>
      </c>
      <c r="B2" s="48"/>
      <c r="C2" s="48"/>
      <c r="D2" s="48"/>
      <c r="E2" s="48"/>
      <c r="F2" s="48"/>
      <c r="G2" s="48"/>
      <c r="H2" s="48"/>
      <c r="I2" s="48"/>
      <c r="J2" s="48"/>
    </row>
    <row r="3" spans="1:10" ht="28">
      <c r="A3" s="37" t="s">
        <v>344</v>
      </c>
      <c r="B3" s="37" t="s">
        <v>621</v>
      </c>
      <c r="C3" s="37" t="s">
        <v>345</v>
      </c>
      <c r="D3" s="37" t="s">
        <v>171</v>
      </c>
      <c r="E3" s="37" t="s">
        <v>346</v>
      </c>
      <c r="F3" s="37" t="s">
        <v>347</v>
      </c>
      <c r="G3" s="37" t="s">
        <v>717</v>
      </c>
      <c r="H3" s="37" t="s">
        <v>718</v>
      </c>
      <c r="I3" s="37" t="s">
        <v>633</v>
      </c>
      <c r="J3" s="37" t="s">
        <v>176</v>
      </c>
    </row>
    <row r="4" spans="1:10" ht="28">
      <c r="A4" t="s">
        <v>721</v>
      </c>
      <c r="B4" s="18" t="s">
        <v>47</v>
      </c>
      <c r="C4" s="18" t="s">
        <v>51</v>
      </c>
      <c r="D4" s="18" t="s">
        <v>223</v>
      </c>
      <c r="E4" s="18" t="s">
        <v>46</v>
      </c>
      <c r="F4" s="18" t="s">
        <v>348</v>
      </c>
      <c r="G4" s="18">
        <v>2027</v>
      </c>
      <c r="H4">
        <v>25</v>
      </c>
      <c r="I4" s="18">
        <v>4</v>
      </c>
      <c r="J4" s="18" t="s">
        <v>719</v>
      </c>
    </row>
    <row r="5" spans="1:10" ht="28">
      <c r="A5" t="s">
        <v>69</v>
      </c>
      <c r="B5" s="18" t="s">
        <v>47</v>
      </c>
      <c r="C5" s="18" t="s">
        <v>51</v>
      </c>
      <c r="D5" s="18" t="s">
        <v>241</v>
      </c>
      <c r="E5" s="18" t="s">
        <v>46</v>
      </c>
      <c r="F5" s="18" t="s">
        <v>348</v>
      </c>
      <c r="G5" s="18">
        <v>2027</v>
      </c>
      <c r="H5">
        <v>25</v>
      </c>
      <c r="I5" s="18">
        <v>3</v>
      </c>
      <c r="J5" s="18" t="s">
        <v>720</v>
      </c>
    </row>
    <row r="6" spans="1:10" ht="28">
      <c r="A6" t="s">
        <v>94</v>
      </c>
      <c r="B6" s="18" t="s">
        <v>47</v>
      </c>
      <c r="C6" s="18" t="s">
        <v>51</v>
      </c>
      <c r="D6" s="18" t="s">
        <v>285</v>
      </c>
      <c r="E6" s="18" t="s">
        <v>46</v>
      </c>
      <c r="F6" s="18" t="s">
        <v>348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223</v>
      </c>
      <c r="E7" s="18" t="s">
        <v>46</v>
      </c>
      <c r="F7" s="18" t="s">
        <v>348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223</v>
      </c>
      <c r="E8" s="18" t="s">
        <v>46</v>
      </c>
      <c r="F8" s="18" t="s">
        <v>348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223</v>
      </c>
      <c r="E9" s="18" t="s">
        <v>46</v>
      </c>
      <c r="F9" s="18" t="s">
        <v>348</v>
      </c>
      <c r="G9" s="18">
        <v>2027</v>
      </c>
      <c r="H9">
        <v>12</v>
      </c>
      <c r="I9" s="18"/>
      <c r="J9" s="18"/>
    </row>
    <row r="10" spans="1:10" ht="28">
      <c r="A10" t="s">
        <v>722</v>
      </c>
      <c r="B10" s="18" t="s">
        <v>47</v>
      </c>
      <c r="C10" s="18" t="s">
        <v>51</v>
      </c>
      <c r="D10" s="18" t="s">
        <v>223</v>
      </c>
      <c r="E10" s="18" t="s">
        <v>46</v>
      </c>
      <c r="F10" s="18" t="s">
        <v>348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299</v>
      </c>
      <c r="E11" s="18" t="s">
        <v>46</v>
      </c>
      <c r="F11" s="18" t="s">
        <v>348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223</v>
      </c>
      <c r="E12" s="18" t="s">
        <v>46</v>
      </c>
      <c r="F12" s="18" t="s">
        <v>348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232</v>
      </c>
      <c r="E13" s="18" t="s">
        <v>46</v>
      </c>
      <c r="F13" s="18" t="s">
        <v>348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299</v>
      </c>
      <c r="E14" s="18" t="s">
        <v>46</v>
      </c>
      <c r="F14" s="18" t="s">
        <v>348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223</v>
      </c>
      <c r="E15" s="18" t="s">
        <v>46</v>
      </c>
      <c r="F15" s="18" t="s">
        <v>348</v>
      </c>
      <c r="G15" s="18">
        <v>2027</v>
      </c>
      <c r="H15">
        <v>12</v>
      </c>
      <c r="I15" s="18"/>
      <c r="J15" s="18"/>
    </row>
    <row r="16" spans="1:10" ht="28">
      <c r="A16" t="s">
        <v>723</v>
      </c>
      <c r="B16" s="18" t="s">
        <v>47</v>
      </c>
      <c r="C16" s="18" t="s">
        <v>51</v>
      </c>
      <c r="D16" s="18" t="s">
        <v>299</v>
      </c>
      <c r="E16" s="18" t="s">
        <v>46</v>
      </c>
      <c r="F16" s="18" t="s">
        <v>348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223</v>
      </c>
      <c r="E17" s="18" t="s">
        <v>46</v>
      </c>
      <c r="F17" s="18" t="s">
        <v>348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333</v>
      </c>
      <c r="E18" s="18" t="s">
        <v>46</v>
      </c>
      <c r="F18" s="18" t="s">
        <v>348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223</v>
      </c>
      <c r="E19" s="18" t="s">
        <v>46</v>
      </c>
      <c r="F19" s="18" t="s">
        <v>348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223</v>
      </c>
      <c r="E20" s="18" t="s">
        <v>46</v>
      </c>
      <c r="F20" s="18" t="s">
        <v>348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223</v>
      </c>
      <c r="E21" s="18" t="s">
        <v>46</v>
      </c>
      <c r="F21" s="18" t="s">
        <v>348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223</v>
      </c>
      <c r="E22" s="18" t="s">
        <v>46</v>
      </c>
      <c r="F22" s="18" t="s">
        <v>348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333</v>
      </c>
      <c r="E23" s="18" t="s">
        <v>46</v>
      </c>
      <c r="F23" s="18" t="s">
        <v>348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724</v>
      </c>
      <c r="E24" s="18" t="s">
        <v>46</v>
      </c>
      <c r="F24" s="18" t="s">
        <v>348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725</v>
      </c>
      <c r="E25" s="18" t="s">
        <v>46</v>
      </c>
      <c r="F25" s="18" t="s">
        <v>348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724</v>
      </c>
      <c r="E26" s="18" t="s">
        <v>46</v>
      </c>
      <c r="F26" s="18" t="s">
        <v>348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726</v>
      </c>
      <c r="E27" s="18" t="s">
        <v>46</v>
      </c>
      <c r="F27" s="18" t="s">
        <v>348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726</v>
      </c>
      <c r="E28" s="18" t="s">
        <v>46</v>
      </c>
      <c r="F28" s="18" t="s">
        <v>348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724</v>
      </c>
      <c r="E29" s="18" t="s">
        <v>46</v>
      </c>
      <c r="F29" s="18" t="s">
        <v>348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727</v>
      </c>
      <c r="E30" s="18" t="s">
        <v>46</v>
      </c>
      <c r="F30" s="18" t="s">
        <v>348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726</v>
      </c>
      <c r="E31" s="18" t="s">
        <v>46</v>
      </c>
      <c r="F31" s="18" t="s">
        <v>348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724</v>
      </c>
      <c r="E32" s="18" t="s">
        <v>46</v>
      </c>
      <c r="F32" s="18" t="s">
        <v>348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727</v>
      </c>
      <c r="E33" s="18" t="s">
        <v>46</v>
      </c>
      <c r="F33" s="18" t="s">
        <v>348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725</v>
      </c>
      <c r="E34" s="18" t="s">
        <v>46</v>
      </c>
      <c r="F34" s="18" t="s">
        <v>348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726</v>
      </c>
      <c r="E35" s="18" t="s">
        <v>46</v>
      </c>
      <c r="F35" s="18" t="s">
        <v>348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724</v>
      </c>
      <c r="E36" s="18" t="s">
        <v>46</v>
      </c>
      <c r="F36" s="18" t="s">
        <v>348</v>
      </c>
      <c r="G36">
        <v>2027</v>
      </c>
      <c r="H36">
        <v>18</v>
      </c>
      <c r="I36" s="18"/>
      <c r="J36" s="18"/>
    </row>
    <row r="37" spans="1:10">
      <c r="A37" s="18" t="s">
        <v>728</v>
      </c>
      <c r="B37" s="18" t="s">
        <v>47</v>
      </c>
      <c r="C37" s="18" t="s">
        <v>51</v>
      </c>
      <c r="D37" s="18" t="s">
        <v>725</v>
      </c>
      <c r="E37" s="18" t="s">
        <v>46</v>
      </c>
      <c r="F37" s="18" t="s">
        <v>348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724</v>
      </c>
      <c r="E38" s="18" t="s">
        <v>46</v>
      </c>
      <c r="F38" s="18" t="s">
        <v>348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724</v>
      </c>
      <c r="E39" s="18" t="s">
        <v>46</v>
      </c>
      <c r="F39" s="18" t="s">
        <v>348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726</v>
      </c>
      <c r="E40" s="18" t="s">
        <v>46</v>
      </c>
      <c r="F40" s="18" t="s">
        <v>348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726</v>
      </c>
      <c r="E41" s="18" t="s">
        <v>46</v>
      </c>
      <c r="F41" s="18" t="s">
        <v>348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726</v>
      </c>
      <c r="E42" s="18" t="s">
        <v>46</v>
      </c>
      <c r="F42" s="18" t="s">
        <v>348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724</v>
      </c>
      <c r="E43" s="18" t="s">
        <v>46</v>
      </c>
      <c r="F43" s="18" t="s">
        <v>348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727</v>
      </c>
      <c r="E44" s="18" t="s">
        <v>46</v>
      </c>
      <c r="F44" s="18" t="s">
        <v>348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726</v>
      </c>
      <c r="E45" s="18" t="s">
        <v>46</v>
      </c>
      <c r="F45" s="18" t="s">
        <v>348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725</v>
      </c>
      <c r="E46" s="18" t="s">
        <v>46</v>
      </c>
      <c r="F46" s="18" t="s">
        <v>348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724</v>
      </c>
      <c r="E47" s="18" t="s">
        <v>46</v>
      </c>
      <c r="F47" s="18" t="s">
        <v>348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726</v>
      </c>
      <c r="E48" s="18" t="s">
        <v>46</v>
      </c>
      <c r="F48" s="18" t="s">
        <v>348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724</v>
      </c>
      <c r="E49" s="18" t="s">
        <v>46</v>
      </c>
      <c r="F49" s="18" t="s">
        <v>348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726</v>
      </c>
      <c r="E50" s="18" t="s">
        <v>46</v>
      </c>
      <c r="F50" s="18" t="s">
        <v>348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726</v>
      </c>
      <c r="E51" s="18" t="s">
        <v>46</v>
      </c>
      <c r="F51" s="18" t="s">
        <v>348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724</v>
      </c>
      <c r="E52" s="18" t="s">
        <v>46</v>
      </c>
      <c r="F52" s="18" t="s">
        <v>348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725</v>
      </c>
      <c r="E53" s="18" t="s">
        <v>46</v>
      </c>
      <c r="F53" s="18" t="s">
        <v>348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726</v>
      </c>
      <c r="E54" s="18" t="s">
        <v>46</v>
      </c>
      <c r="F54" s="18" t="s">
        <v>348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724</v>
      </c>
      <c r="E55" s="18" t="s">
        <v>46</v>
      </c>
      <c r="F55" s="18" t="s">
        <v>348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726</v>
      </c>
      <c r="E56" s="18" t="s">
        <v>46</v>
      </c>
      <c r="F56" s="18" t="s">
        <v>348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724</v>
      </c>
      <c r="E57" s="18" t="s">
        <v>46</v>
      </c>
      <c r="F57" s="18" t="s">
        <v>348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727</v>
      </c>
      <c r="E58" s="18" t="s">
        <v>46</v>
      </c>
      <c r="F58" s="18" t="s">
        <v>348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727</v>
      </c>
      <c r="E59" s="18" t="s">
        <v>46</v>
      </c>
      <c r="F59" s="18" t="s">
        <v>348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726</v>
      </c>
      <c r="E60" s="18" t="s">
        <v>46</v>
      </c>
      <c r="F60" s="18" t="s">
        <v>348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2026-08-18T20:38:12Z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