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03569417\Downloads\"/>
    </mc:Choice>
  </mc:AlternateContent>
  <xr:revisionPtr revIDLastSave="0" documentId="13_ncr:1_{CDEB1575-73A5-4495-8B97-079A641348B5}" xr6:coauthVersionLast="47" xr6:coauthVersionMax="47" xr10:uidLastSave="{00000000-0000-0000-0000-000000000000}"/>
  <bookViews>
    <workbookView xWindow="-110" yWindow="-110" windowWidth="19420" windowHeight="10300" firstSheet="62" activeTab="63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  <sheet name="parametros_pos_ejec" sheetId="17" r:id="rId17"/>
    <sheet name="ni_bimestral_pos_ejec" sheetId="18" r:id="rId18"/>
    <sheet name="crecimiento_anual_pos_ejec" sheetId="19" r:id="rId19"/>
    <sheet name="reparto_periodos_pos_ejec" sheetId="20" r:id="rId20"/>
    <sheet name="tasas_ri_bimestre_pos_ejec" sheetId="21" r:id="rId21"/>
    <sheet name="stock_ri_agosto_2029" sheetId="22" r:id="rId22"/>
    <sheet name="LEEME_pos_ejec" sheetId="23" r:id="rId23"/>
    <sheet name="mt_agosto_real_pos_ejec" sheetId="24" r:id="rId24"/>
    <sheet name="stock_ri_periodo_pos_ejec" sheetId="25" r:id="rId25"/>
    <sheet name="mt_periodo_real_pos_ejec" sheetId="26" r:id="rId26"/>
    <sheet name="LEEME_v105_pos_ejec" sheetId="27" r:id="rId27"/>
    <sheet name="LEEME_v108_pos_ejec" sheetId="28" r:id="rId28"/>
    <sheet name="LEEME_v114_pos_ejec" sheetId="29" r:id="rId29"/>
    <sheet name="LEEME_v115_pos_ejec" sheetId="30" r:id="rId30"/>
    <sheet name="LEEME_v116_pos_ejec" sheetId="31" r:id="rId31"/>
    <sheet name="LEEME_v117_pos_ejec" sheetId="32" r:id="rId32"/>
    <sheet name="LEEME_v118_pos_ejec" sheetId="33" r:id="rId33"/>
    <sheet name="LEEME_v119_pos_ejec" sheetId="34" r:id="rId34"/>
    <sheet name="LEEME_v120_pos_ejec" sheetId="35" r:id="rId35"/>
    <sheet name="LEEME_v121_pos_ejec" sheetId="36" r:id="rId36"/>
    <sheet name="reparto_ni_anual_pos_ejec" sheetId="37" r:id="rId37"/>
    <sheet name="LEEME_v122_pos_ejec" sheetId="38" r:id="rId38"/>
    <sheet name="LEEME_v123_pos_ejec" sheetId="39" r:id="rId39"/>
    <sheet name="crecimiento_bloques_pos_ejec" sheetId="40" r:id="rId40"/>
    <sheet name="tetra_historica_pos_ejec" sheetId="41" r:id="rId41"/>
    <sheet name="LEEME_v124_pos_ejec" sheetId="42" r:id="rId42"/>
    <sheet name="LEEME_v125_pos_ejec" sheetId="43" r:id="rId43"/>
    <sheet name="pmp_mt_pos_ejec" sheetId="44" r:id="rId44"/>
    <sheet name="LEEME_v127_pos_ejec" sheetId="45" r:id="rId45"/>
    <sheet name="caso_base_fijo_3pct" sheetId="46" r:id="rId46"/>
    <sheet name="instrucciones_tasas_reales" sheetId="47" r:id="rId47"/>
    <sheet name="LEEME_v129_pos_ejec" sheetId="48" r:id="rId48"/>
    <sheet name="LEEME_v136_pos_ejec" sheetId="49" r:id="rId49"/>
    <sheet name="mt_pos_ejec" sheetId="50" r:id="rId50"/>
    <sheet name="LEEME_v137_pos_ejec" sheetId="51" r:id="rId51"/>
    <sheet name="internacional_base" sheetId="52" r:id="rId52"/>
    <sheet name="internacional_crecimiento" sheetId="53" r:id="rId53"/>
    <sheet name="LEEME_v138_pos_ejec" sheetId="54" r:id="rId54"/>
    <sheet name="internacional_bimestres" sheetId="55" r:id="rId55"/>
    <sheet name="LEEME_v139_internacional" sheetId="56" r:id="rId56"/>
    <sheet name="internacional_agosto" sheetId="57" r:id="rId57"/>
    <sheet name="caso_base_meta_2036" sheetId="58" r:id="rId58"/>
    <sheet name="espacio_connect" sheetId="59" r:id="rId59"/>
    <sheet name="LEEME_v140" sheetId="60" r:id="rId60"/>
    <sheet name="LEEME_v141" sheetId="61" r:id="rId61"/>
    <sheet name="caso_base_formato_v142" sheetId="62" r:id="rId62"/>
    <sheet name="LEEME_v142" sheetId="63" r:id="rId63"/>
    <sheet name="ri_bimestral_pos_ejec" sheetId="64" r:id="rId64"/>
    <sheet name="mt_tetra_historica_pos_ejec" sheetId="73" r:id="rId65"/>
    <sheet name="ni_iniciativas_pos_ejec" sheetId="74" r:id="rId66"/>
    <sheet name="calculo_tetra_pmp_pos_ejec" sheetId="65" r:id="rId67"/>
    <sheet name="INSTRUCCIONES_captura_PMP_RI" sheetId="66" r:id="rId68"/>
    <sheet name="LEEME_v143_captura" sheetId="67" r:id="rId69"/>
    <sheet name="LEEME_v145" sheetId="68" r:id="rId70"/>
    <sheet name="LEEME_v146" sheetId="69" r:id="rId71"/>
    <sheet name="LEEME_v147" sheetId="70" r:id="rId72"/>
    <sheet name="LEEME_v150" sheetId="71" r:id="rId73"/>
    <sheet name="LEEME_v152" sheetId="72" r:id="rId74"/>
  </sheets>
  <definedNames>
    <definedName name="_xlnm._FilterDatabase" localSheetId="64" hidden="1">mt_tetra_historica_pos_ejec!$A$1:$E$25</definedName>
    <definedName name="_xlnm._FilterDatabase" localSheetId="17" hidden="1">ni_bimestral_pos_ejec!$A$1:$F$86</definedName>
    <definedName name="_xlnm._FilterDatabase" localSheetId="63" hidden="1">ri_bimestral_pos_ejec!$A$1:$G$81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65" l="1"/>
  <c r="J81" i="65" s="1"/>
  <c r="G81" i="65"/>
  <c r="F81" i="65"/>
  <c r="H80" i="65"/>
  <c r="J80" i="65" s="1"/>
  <c r="G80" i="65"/>
  <c r="F80" i="65"/>
  <c r="H79" i="65"/>
  <c r="J79" i="65" s="1"/>
  <c r="G79" i="65"/>
  <c r="F79" i="65"/>
  <c r="H78" i="65"/>
  <c r="J78" i="65" s="1"/>
  <c r="G78" i="65"/>
  <c r="F78" i="65"/>
  <c r="H77" i="65"/>
  <c r="J77" i="65" s="1"/>
  <c r="G77" i="65"/>
  <c r="F77" i="65"/>
  <c r="H76" i="65"/>
  <c r="J76" i="65" s="1"/>
  <c r="G76" i="65"/>
  <c r="F76" i="65"/>
  <c r="H75" i="65"/>
  <c r="J75" i="65" s="1"/>
  <c r="G75" i="65"/>
  <c r="F75" i="65"/>
  <c r="H74" i="65"/>
  <c r="J74" i="65" s="1"/>
  <c r="G74" i="65"/>
  <c r="F74" i="65"/>
  <c r="H73" i="65"/>
  <c r="J73" i="65" s="1"/>
  <c r="G73" i="65"/>
  <c r="F73" i="65"/>
  <c r="H72" i="65"/>
  <c r="J72" i="65" s="1"/>
  <c r="G72" i="65"/>
  <c r="F72" i="65"/>
  <c r="H71" i="65"/>
  <c r="J71" i="65" s="1"/>
  <c r="G71" i="65"/>
  <c r="F71" i="65"/>
  <c r="H70" i="65"/>
  <c r="I70" i="65" s="1"/>
  <c r="G70" i="65"/>
  <c r="F70" i="65"/>
  <c r="H69" i="65"/>
  <c r="J69" i="65" s="1"/>
  <c r="G69" i="65"/>
  <c r="F69" i="65"/>
  <c r="H68" i="65"/>
  <c r="J68" i="65" s="1"/>
  <c r="G68" i="65"/>
  <c r="F68" i="65"/>
  <c r="H67" i="65"/>
  <c r="J67" i="65" s="1"/>
  <c r="G67" i="65"/>
  <c r="F67" i="65"/>
  <c r="H66" i="65"/>
  <c r="G66" i="65"/>
  <c r="F66" i="65"/>
  <c r="H65" i="65"/>
  <c r="G65" i="65"/>
  <c r="F65" i="65"/>
  <c r="H64" i="65"/>
  <c r="G64" i="65"/>
  <c r="F64" i="65"/>
  <c r="H63" i="65"/>
  <c r="G63" i="65"/>
  <c r="F63" i="65"/>
  <c r="H62" i="65"/>
  <c r="G62" i="65"/>
  <c r="F62" i="65"/>
  <c r="H61" i="65"/>
  <c r="J61" i="65" s="1"/>
  <c r="G61" i="65"/>
  <c r="F61" i="65"/>
  <c r="H60" i="65"/>
  <c r="J60" i="65" s="1"/>
  <c r="G60" i="65"/>
  <c r="F60" i="65"/>
  <c r="H59" i="65"/>
  <c r="J59" i="65" s="1"/>
  <c r="G59" i="65"/>
  <c r="F59" i="65"/>
  <c r="H58" i="65"/>
  <c r="I58" i="65" s="1"/>
  <c r="G58" i="65"/>
  <c r="F58" i="65"/>
  <c r="H57" i="65"/>
  <c r="J57" i="65" s="1"/>
  <c r="G57" i="65"/>
  <c r="F57" i="65"/>
  <c r="H56" i="65"/>
  <c r="J56" i="65" s="1"/>
  <c r="G56" i="65"/>
  <c r="F56" i="65"/>
  <c r="H55" i="65"/>
  <c r="J55" i="65" s="1"/>
  <c r="G55" i="65"/>
  <c r="F55" i="65"/>
  <c r="H54" i="65"/>
  <c r="J54" i="65" s="1"/>
  <c r="G54" i="65"/>
  <c r="F54" i="65"/>
  <c r="H53" i="65"/>
  <c r="J53" i="65" s="1"/>
  <c r="G53" i="65"/>
  <c r="F53" i="65"/>
  <c r="H52" i="65"/>
  <c r="J52" i="65" s="1"/>
  <c r="G52" i="65"/>
  <c r="F52" i="65"/>
  <c r="H51" i="65"/>
  <c r="J51" i="65" s="1"/>
  <c r="G51" i="65"/>
  <c r="F51" i="65"/>
  <c r="H50" i="65"/>
  <c r="J50" i="65" s="1"/>
  <c r="G50" i="65"/>
  <c r="F50" i="65"/>
  <c r="H49" i="65"/>
  <c r="J49" i="65" s="1"/>
  <c r="G49" i="65"/>
  <c r="F49" i="65"/>
  <c r="H48" i="65"/>
  <c r="J48" i="65" s="1"/>
  <c r="G48" i="65"/>
  <c r="F48" i="65"/>
  <c r="H47" i="65"/>
  <c r="J47" i="65" s="1"/>
  <c r="G47" i="65"/>
  <c r="F47" i="65"/>
  <c r="H46" i="65"/>
  <c r="J46" i="65" s="1"/>
  <c r="G46" i="65"/>
  <c r="F46" i="65"/>
  <c r="H45" i="65"/>
  <c r="G45" i="65"/>
  <c r="F45" i="65"/>
  <c r="H44" i="65"/>
  <c r="G44" i="65"/>
  <c r="F44" i="65"/>
  <c r="H43" i="65"/>
  <c r="G43" i="65"/>
  <c r="F43" i="65"/>
  <c r="H42" i="65"/>
  <c r="G42" i="65"/>
  <c r="F42" i="65"/>
  <c r="H41" i="65"/>
  <c r="J41" i="65" s="1"/>
  <c r="G41" i="65"/>
  <c r="F41" i="65"/>
  <c r="H40" i="65"/>
  <c r="J40" i="65" s="1"/>
  <c r="G40" i="65"/>
  <c r="F40" i="65"/>
  <c r="H39" i="65"/>
  <c r="J39" i="65" s="1"/>
  <c r="G39" i="65"/>
  <c r="F39" i="65"/>
  <c r="H38" i="65"/>
  <c r="J38" i="65" s="1"/>
  <c r="G38" i="65"/>
  <c r="F38" i="65"/>
  <c r="H37" i="65"/>
  <c r="J37" i="65" s="1"/>
  <c r="G37" i="65"/>
  <c r="F37" i="65"/>
  <c r="H36" i="65"/>
  <c r="J36" i="65" s="1"/>
  <c r="G36" i="65"/>
  <c r="F36" i="65"/>
  <c r="H35" i="65"/>
  <c r="J35" i="65" s="1"/>
  <c r="G35" i="65"/>
  <c r="F35" i="65"/>
  <c r="H34" i="65"/>
  <c r="I34" i="65" s="1"/>
  <c r="G34" i="65"/>
  <c r="F34" i="65"/>
  <c r="H33" i="65"/>
  <c r="J33" i="65" s="1"/>
  <c r="G33" i="65"/>
  <c r="F33" i="65"/>
  <c r="H32" i="65"/>
  <c r="J32" i="65" s="1"/>
  <c r="G32" i="65"/>
  <c r="F32" i="65"/>
  <c r="H31" i="65"/>
  <c r="J31" i="65" s="1"/>
  <c r="G31" i="65"/>
  <c r="F31" i="65"/>
  <c r="H30" i="65"/>
  <c r="J30" i="65" s="1"/>
  <c r="G30" i="65"/>
  <c r="F30" i="65"/>
  <c r="H29" i="65"/>
  <c r="J29" i="65" s="1"/>
  <c r="G29" i="65"/>
  <c r="F29" i="65"/>
  <c r="H28" i="65"/>
  <c r="J28" i="65" s="1"/>
  <c r="G28" i="65"/>
  <c r="F28" i="65"/>
  <c r="H27" i="65"/>
  <c r="J27" i="65" s="1"/>
  <c r="G27" i="65"/>
  <c r="F27" i="65"/>
  <c r="H26" i="65"/>
  <c r="J26" i="65" s="1"/>
  <c r="G26" i="65"/>
  <c r="F26" i="65"/>
  <c r="H25" i="65"/>
  <c r="G25" i="65"/>
  <c r="F25" i="65"/>
  <c r="H24" i="65"/>
  <c r="G24" i="65"/>
  <c r="F24" i="65"/>
  <c r="H23" i="65"/>
  <c r="G23" i="65"/>
  <c r="F23" i="65"/>
  <c r="H22" i="65"/>
  <c r="G22" i="65"/>
  <c r="F22" i="65"/>
  <c r="H21" i="65"/>
  <c r="J21" i="65" s="1"/>
  <c r="G21" i="65"/>
  <c r="F21" i="65"/>
  <c r="H20" i="65"/>
  <c r="J20" i="65" s="1"/>
  <c r="G20" i="65"/>
  <c r="F20" i="65"/>
  <c r="H19" i="65"/>
  <c r="J19" i="65" s="1"/>
  <c r="G19" i="65"/>
  <c r="F19" i="65"/>
  <c r="H18" i="65"/>
  <c r="J18" i="65" s="1"/>
  <c r="G18" i="65"/>
  <c r="F18" i="65"/>
  <c r="H17" i="65"/>
  <c r="J17" i="65" s="1"/>
  <c r="G17" i="65"/>
  <c r="F17" i="65"/>
  <c r="H16" i="65"/>
  <c r="J16" i="65" s="1"/>
  <c r="G16" i="65"/>
  <c r="F16" i="65"/>
  <c r="H15" i="65"/>
  <c r="G15" i="65"/>
  <c r="F15" i="65"/>
  <c r="H14" i="65"/>
  <c r="J14" i="65" s="1"/>
  <c r="G14" i="65"/>
  <c r="F14" i="65"/>
  <c r="H13" i="65"/>
  <c r="J13" i="65" s="1"/>
  <c r="G13" i="65"/>
  <c r="F13" i="65"/>
  <c r="H12" i="65"/>
  <c r="J12" i="65" s="1"/>
  <c r="G12" i="65"/>
  <c r="F12" i="65"/>
  <c r="H11" i="65"/>
  <c r="G11" i="65"/>
  <c r="F11" i="65"/>
  <c r="H10" i="65"/>
  <c r="G10" i="65"/>
  <c r="F10" i="65"/>
  <c r="H9" i="65"/>
  <c r="J9" i="65" s="1"/>
  <c r="G9" i="65"/>
  <c r="F9" i="65"/>
  <c r="H8" i="65"/>
  <c r="J8" i="65" s="1"/>
  <c r="G8" i="65"/>
  <c r="F8" i="65"/>
  <c r="H7" i="65"/>
  <c r="G7" i="65"/>
  <c r="F7" i="65"/>
  <c r="H6" i="65"/>
  <c r="J6" i="65" s="1"/>
  <c r="G6" i="65"/>
  <c r="F6" i="65"/>
  <c r="H5" i="65"/>
  <c r="G5" i="65"/>
  <c r="F5" i="65"/>
  <c r="H4" i="65"/>
  <c r="G4" i="65"/>
  <c r="F4" i="65"/>
  <c r="H3" i="65"/>
  <c r="G3" i="65"/>
  <c r="F3" i="65"/>
  <c r="H2" i="65"/>
  <c r="G2" i="65"/>
  <c r="F2" i="65"/>
  <c r="C21" i="57"/>
  <c r="C20" i="57"/>
  <c r="C19" i="57"/>
  <c r="C18" i="57"/>
  <c r="C17" i="57"/>
  <c r="C16" i="57"/>
  <c r="E15" i="57"/>
  <c r="C15" i="57"/>
  <c r="C14" i="57"/>
  <c r="D13" i="57"/>
  <c r="C13" i="57"/>
  <c r="F12" i="57"/>
  <c r="E12" i="57"/>
  <c r="E13" i="57" s="1"/>
  <c r="E14" i="57" s="1"/>
  <c r="D12" i="57"/>
  <c r="C12" i="57"/>
  <c r="E11" i="57"/>
  <c r="D11" i="57"/>
  <c r="F11" i="57" s="1"/>
  <c r="C11" i="57"/>
  <c r="F10" i="57"/>
  <c r="E10" i="57"/>
  <c r="G10" i="57" s="1"/>
  <c r="D10" i="57"/>
  <c r="C10" i="57"/>
  <c r="F9" i="57"/>
  <c r="E9" i="57"/>
  <c r="G9" i="57" s="1"/>
  <c r="H9" i="57" s="1"/>
  <c r="D9" i="57"/>
  <c r="C9" i="57"/>
  <c r="G8" i="57"/>
  <c r="E8" i="57"/>
  <c r="D8" i="57"/>
  <c r="F8" i="57" s="1"/>
  <c r="H8" i="57" s="1"/>
  <c r="C8" i="57"/>
  <c r="E7" i="57"/>
  <c r="D7" i="57"/>
  <c r="F7" i="57" s="1"/>
  <c r="C7" i="57"/>
  <c r="E6" i="57"/>
  <c r="D6" i="57"/>
  <c r="F6" i="57" s="1"/>
  <c r="C6" i="57"/>
  <c r="H5" i="57"/>
  <c r="G5" i="57"/>
  <c r="F5" i="57"/>
  <c r="E5" i="57"/>
  <c r="D5" i="57"/>
  <c r="C5" i="57"/>
  <c r="F4" i="57"/>
  <c r="E4" i="57"/>
  <c r="D4" i="57"/>
  <c r="C4" i="57"/>
  <c r="E3" i="57"/>
  <c r="D3" i="57"/>
  <c r="F3" i="57" s="1"/>
  <c r="C3" i="57"/>
  <c r="G2" i="57"/>
  <c r="F2" i="57"/>
  <c r="E2" i="57"/>
  <c r="D2" i="57"/>
  <c r="C2" i="57"/>
  <c r="C12" i="52"/>
  <c r="C11" i="52"/>
  <c r="C10" i="52"/>
  <c r="C9" i="52"/>
  <c r="C8" i="52"/>
  <c r="C7" i="52"/>
  <c r="C6" i="52"/>
  <c r="C5" i="52"/>
  <c r="C4" i="52"/>
  <c r="C3" i="52"/>
  <c r="C2" i="52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H979" i="3"/>
  <c r="I979" i="3" s="1"/>
  <c r="H978" i="3"/>
  <c r="I978" i="3" s="1"/>
  <c r="H977" i="3"/>
  <c r="I977" i="3" s="1"/>
  <c r="I976" i="3"/>
  <c r="H976" i="3"/>
  <c r="I975" i="3"/>
  <c r="H975" i="3"/>
  <c r="I974" i="3"/>
  <c r="H974" i="3"/>
  <c r="I973" i="3"/>
  <c r="H973" i="3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I965" i="3"/>
  <c r="H965" i="3"/>
  <c r="I964" i="3"/>
  <c r="H964" i="3"/>
  <c r="I963" i="3"/>
  <c r="H963" i="3"/>
  <c r="H962" i="3"/>
  <c r="I962" i="3" s="1"/>
  <c r="H961" i="3"/>
  <c r="I961" i="3" s="1"/>
  <c r="H960" i="3"/>
  <c r="I960" i="3" s="1"/>
  <c r="I959" i="3"/>
  <c r="H959" i="3"/>
  <c r="H958" i="3"/>
  <c r="I958" i="3" s="1"/>
  <c r="H957" i="3"/>
  <c r="I957" i="3" s="1"/>
  <c r="H956" i="3"/>
  <c r="I956" i="3" s="1"/>
  <c r="I955" i="3"/>
  <c r="H955" i="3"/>
  <c r="I954" i="3"/>
  <c r="H954" i="3"/>
  <c r="I953" i="3"/>
  <c r="H953" i="3"/>
  <c r="H952" i="3"/>
  <c r="I952" i="3" s="1"/>
  <c r="I951" i="3"/>
  <c r="H951" i="3"/>
  <c r="H950" i="3"/>
  <c r="I950" i="3" s="1"/>
  <c r="I949" i="3"/>
  <c r="H949" i="3"/>
  <c r="I948" i="3"/>
  <c r="H948" i="3"/>
  <c r="H947" i="3"/>
  <c r="I947" i="3" s="1"/>
  <c r="H946" i="3"/>
  <c r="I946" i="3" s="1"/>
  <c r="I945" i="3"/>
  <c r="H945" i="3"/>
  <c r="H944" i="3"/>
  <c r="I944" i="3" s="1"/>
  <c r="I943" i="3"/>
  <c r="H943" i="3"/>
  <c r="H942" i="3"/>
  <c r="I942" i="3" s="1"/>
  <c r="H941" i="3"/>
  <c r="I941" i="3" s="1"/>
  <c r="H940" i="3"/>
  <c r="I940" i="3" s="1"/>
  <c r="H939" i="3"/>
  <c r="I939" i="3" s="1"/>
  <c r="I938" i="3"/>
  <c r="H938" i="3"/>
  <c r="I937" i="3"/>
  <c r="H937" i="3"/>
  <c r="H936" i="3"/>
  <c r="I936" i="3" s="1"/>
  <c r="I935" i="3"/>
  <c r="H935" i="3"/>
  <c r="H934" i="3"/>
  <c r="I934" i="3" s="1"/>
  <c r="I933" i="3"/>
  <c r="H933" i="3"/>
  <c r="H932" i="3"/>
  <c r="I932" i="3" s="1"/>
  <c r="H931" i="3"/>
  <c r="I931" i="3" s="1"/>
  <c r="H930" i="3"/>
  <c r="I930" i="3" s="1"/>
  <c r="I929" i="3"/>
  <c r="H929" i="3"/>
  <c r="H928" i="3"/>
  <c r="I928" i="3" s="1"/>
  <c r="I927" i="3"/>
  <c r="H927" i="3"/>
  <c r="I926" i="3"/>
  <c r="H926" i="3"/>
  <c r="I925" i="3"/>
  <c r="H925" i="3"/>
  <c r="H924" i="3"/>
  <c r="I924" i="3" s="1"/>
  <c r="I923" i="3"/>
  <c r="H923" i="3"/>
  <c r="H922" i="3"/>
  <c r="I922" i="3" s="1"/>
  <c r="I921" i="3"/>
  <c r="H921" i="3"/>
  <c r="H920" i="3"/>
  <c r="I920" i="3" s="1"/>
  <c r="I919" i="3"/>
  <c r="H919" i="3"/>
  <c r="I918" i="3"/>
  <c r="H918" i="3"/>
  <c r="H917" i="3"/>
  <c r="I917" i="3" s="1"/>
  <c r="I916" i="3"/>
  <c r="H916" i="3"/>
  <c r="I915" i="3"/>
  <c r="H915" i="3"/>
  <c r="H914" i="3"/>
  <c r="I914" i="3" s="1"/>
  <c r="I913" i="3"/>
  <c r="H913" i="3"/>
  <c r="H912" i="3"/>
  <c r="I912" i="3" s="1"/>
  <c r="H911" i="3"/>
  <c r="I911" i="3" s="1"/>
  <c r="H910" i="3"/>
  <c r="I910" i="3" s="1"/>
  <c r="I909" i="3"/>
  <c r="H909" i="3"/>
  <c r="I908" i="3"/>
  <c r="H908" i="3"/>
  <c r="I907" i="3"/>
  <c r="H907" i="3"/>
  <c r="H906" i="3"/>
  <c r="I906" i="3" s="1"/>
  <c r="I905" i="3"/>
  <c r="H905" i="3"/>
  <c r="I904" i="3"/>
  <c r="H904" i="3"/>
  <c r="I903" i="3"/>
  <c r="H903" i="3"/>
  <c r="H902" i="3"/>
  <c r="I902" i="3" s="1"/>
  <c r="H901" i="3"/>
  <c r="I901" i="3" s="1"/>
  <c r="H900" i="3"/>
  <c r="I900" i="3" s="1"/>
  <c r="H899" i="3"/>
  <c r="I899" i="3" s="1"/>
  <c r="I898" i="3"/>
  <c r="H898" i="3"/>
  <c r="I897" i="3"/>
  <c r="H897" i="3"/>
  <c r="I896" i="3"/>
  <c r="H896" i="3"/>
  <c r="I895" i="3"/>
  <c r="H895" i="3"/>
  <c r="I894" i="3"/>
  <c r="H894" i="3"/>
  <c r="I893" i="3"/>
  <c r="H893" i="3"/>
  <c r="H892" i="3"/>
  <c r="I892" i="3" s="1"/>
  <c r="H891" i="3"/>
  <c r="I891" i="3" s="1"/>
  <c r="H890" i="3"/>
  <c r="I890" i="3" s="1"/>
  <c r="H889" i="3"/>
  <c r="I889" i="3" s="1"/>
  <c r="H888" i="3"/>
  <c r="I888" i="3" s="1"/>
  <c r="I887" i="3"/>
  <c r="H887" i="3"/>
  <c r="I886" i="3"/>
  <c r="H886" i="3"/>
  <c r="I885" i="3"/>
  <c r="H885" i="3"/>
  <c r="H884" i="3"/>
  <c r="I884" i="3" s="1"/>
  <c r="I883" i="3"/>
  <c r="H883" i="3"/>
  <c r="I882" i="3"/>
  <c r="H882" i="3"/>
  <c r="H881" i="3"/>
  <c r="I881" i="3" s="1"/>
  <c r="H880" i="3"/>
  <c r="I880" i="3" s="1"/>
  <c r="H879" i="3"/>
  <c r="I879" i="3" s="1"/>
  <c r="H878" i="3"/>
  <c r="I878" i="3" s="1"/>
  <c r="I877" i="3"/>
  <c r="H877" i="3"/>
  <c r="H876" i="3"/>
  <c r="I876" i="3" s="1"/>
  <c r="I875" i="3"/>
  <c r="H875" i="3"/>
  <c r="I874" i="3"/>
  <c r="H874" i="3"/>
  <c r="I873" i="3"/>
  <c r="H873" i="3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I866" i="3"/>
  <c r="H866" i="3"/>
  <c r="I865" i="3"/>
  <c r="H865" i="3"/>
  <c r="I864" i="3"/>
  <c r="H864" i="3"/>
  <c r="I863" i="3"/>
  <c r="H863" i="3"/>
  <c r="I862" i="3"/>
  <c r="H862" i="3"/>
  <c r="I861" i="3"/>
  <c r="H861" i="3"/>
  <c r="H860" i="3"/>
  <c r="I860" i="3" s="1"/>
  <c r="H859" i="3"/>
  <c r="I859" i="3" s="1"/>
  <c r="H858" i="3"/>
  <c r="I858" i="3" s="1"/>
  <c r="H857" i="3"/>
  <c r="I857" i="3" s="1"/>
  <c r="I856" i="3"/>
  <c r="H856" i="3"/>
  <c r="I855" i="3"/>
  <c r="H855" i="3"/>
  <c r="H854" i="3"/>
  <c r="I854" i="3" s="1"/>
  <c r="I853" i="3"/>
  <c r="H853" i="3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I845" i="3"/>
  <c r="H845" i="3"/>
  <c r="I844" i="3"/>
  <c r="H844" i="3"/>
  <c r="I843" i="3"/>
  <c r="H843" i="3"/>
  <c r="H842" i="3"/>
  <c r="I842" i="3" s="1"/>
  <c r="I841" i="3"/>
  <c r="H841" i="3"/>
  <c r="H840" i="3"/>
  <c r="I840" i="3" s="1"/>
  <c r="H839" i="3"/>
  <c r="I839" i="3" s="1"/>
  <c r="H838" i="3"/>
  <c r="I838" i="3" s="1"/>
  <c r="H837" i="3"/>
  <c r="I837" i="3" s="1"/>
  <c r="H836" i="3"/>
  <c r="I836" i="3" s="1"/>
  <c r="I835" i="3"/>
  <c r="H835" i="3"/>
  <c r="H834" i="3"/>
  <c r="I834" i="3" s="1"/>
  <c r="I833" i="3"/>
  <c r="H833" i="3"/>
  <c r="I832" i="3"/>
  <c r="H832" i="3"/>
  <c r="H831" i="3"/>
  <c r="I831" i="3" s="1"/>
  <c r="H830" i="3"/>
  <c r="I830" i="3" s="1"/>
  <c r="I829" i="3"/>
  <c r="H829" i="3"/>
  <c r="H828" i="3"/>
  <c r="I828" i="3" s="1"/>
  <c r="H827" i="3"/>
  <c r="I827" i="3" s="1"/>
  <c r="H826" i="3"/>
  <c r="I826" i="3" s="1"/>
  <c r="I825" i="3"/>
  <c r="H825" i="3"/>
  <c r="I824" i="3"/>
  <c r="H824" i="3"/>
  <c r="I823" i="3"/>
  <c r="H823" i="3"/>
  <c r="I822" i="3"/>
  <c r="H822" i="3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I815" i="3"/>
  <c r="H815" i="3"/>
  <c r="I814" i="3"/>
  <c r="H814" i="3"/>
  <c r="I813" i="3"/>
  <c r="H813" i="3"/>
  <c r="H812" i="3"/>
  <c r="I812" i="3" s="1"/>
  <c r="I811" i="3"/>
  <c r="H811" i="3"/>
  <c r="H810" i="3"/>
  <c r="I810" i="3" s="1"/>
  <c r="I809" i="3"/>
  <c r="H809" i="3"/>
  <c r="I808" i="3"/>
  <c r="H808" i="3"/>
  <c r="H807" i="3"/>
  <c r="I807" i="3" s="1"/>
  <c r="H806" i="3"/>
  <c r="I806" i="3" s="1"/>
  <c r="I805" i="3"/>
  <c r="H805" i="3"/>
  <c r="H804" i="3"/>
  <c r="I804" i="3" s="1"/>
  <c r="I803" i="3"/>
  <c r="H803" i="3"/>
  <c r="I802" i="3"/>
  <c r="H802" i="3"/>
  <c r="I801" i="3"/>
  <c r="H801" i="3"/>
  <c r="H800" i="3"/>
  <c r="I800" i="3" s="1"/>
  <c r="H799" i="3"/>
  <c r="I799" i="3" s="1"/>
  <c r="H798" i="3"/>
  <c r="I798" i="3" s="1"/>
  <c r="H797" i="3"/>
  <c r="I797" i="3" s="1"/>
  <c r="H796" i="3"/>
  <c r="I796" i="3" s="1"/>
  <c r="I795" i="3"/>
  <c r="H795" i="3"/>
  <c r="I794" i="3"/>
  <c r="H794" i="3"/>
  <c r="I793" i="3"/>
  <c r="H793" i="3"/>
  <c r="H792" i="3"/>
  <c r="I792" i="3" s="1"/>
  <c r="H791" i="3"/>
  <c r="I791" i="3" s="1"/>
  <c r="H790" i="3"/>
  <c r="I790" i="3" s="1"/>
  <c r="H789" i="3"/>
  <c r="I789" i="3" s="1"/>
  <c r="I788" i="3"/>
  <c r="H788" i="3"/>
  <c r="I787" i="3"/>
  <c r="H787" i="3"/>
  <c r="H786" i="3"/>
  <c r="I786" i="3" s="1"/>
  <c r="I785" i="3"/>
  <c r="H785" i="3"/>
  <c r="H784" i="3"/>
  <c r="I784" i="3" s="1"/>
  <c r="I783" i="3"/>
  <c r="H783" i="3"/>
  <c r="I782" i="3"/>
  <c r="H782" i="3"/>
  <c r="I781" i="3"/>
  <c r="H781" i="3"/>
  <c r="H780" i="3"/>
  <c r="I780" i="3" s="1"/>
  <c r="I779" i="3"/>
  <c r="H779" i="3"/>
  <c r="H778" i="3"/>
  <c r="I778" i="3" s="1"/>
  <c r="H777" i="3"/>
  <c r="I777" i="3" s="1"/>
  <c r="H776" i="3"/>
  <c r="I776" i="3" s="1"/>
  <c r="I775" i="3"/>
  <c r="H775" i="3"/>
  <c r="H774" i="3"/>
  <c r="I774" i="3" s="1"/>
  <c r="I773" i="3"/>
  <c r="H773" i="3"/>
  <c r="I772" i="3"/>
  <c r="H772" i="3"/>
  <c r="H771" i="3"/>
  <c r="I771" i="3" s="1"/>
  <c r="H770" i="3"/>
  <c r="I770" i="3" s="1"/>
  <c r="I769" i="3"/>
  <c r="H769" i="3"/>
  <c r="H768" i="3"/>
  <c r="I768" i="3" s="1"/>
  <c r="I767" i="3"/>
  <c r="H767" i="3"/>
  <c r="I766" i="3"/>
  <c r="H766" i="3"/>
  <c r="I765" i="3"/>
  <c r="H765" i="3"/>
  <c r="H764" i="3"/>
  <c r="I764" i="3" s="1"/>
  <c r="I763" i="3"/>
  <c r="H763" i="3"/>
  <c r="H762" i="3"/>
  <c r="I762" i="3" s="1"/>
  <c r="I761" i="3"/>
  <c r="H761" i="3"/>
  <c r="H760" i="3"/>
  <c r="I760" i="3" s="1"/>
  <c r="H759" i="3"/>
  <c r="I759" i="3" s="1"/>
  <c r="I758" i="3"/>
  <c r="H758" i="3"/>
  <c r="H757" i="3"/>
  <c r="I757" i="3" s="1"/>
  <c r="H756" i="3"/>
  <c r="I756" i="3" s="1"/>
  <c r="I755" i="3"/>
  <c r="H755" i="3"/>
  <c r="H754" i="3"/>
  <c r="I754" i="3" s="1"/>
  <c r="I753" i="3"/>
  <c r="H753" i="3"/>
  <c r="H752" i="3"/>
  <c r="I752" i="3" s="1"/>
  <c r="I751" i="3"/>
  <c r="H751" i="3"/>
  <c r="H750" i="3"/>
  <c r="I750" i="3" s="1"/>
  <c r="I749" i="3"/>
  <c r="H749" i="3"/>
  <c r="I748" i="3"/>
  <c r="H748" i="3"/>
  <c r="H747" i="3"/>
  <c r="I747" i="3" s="1"/>
  <c r="I746" i="3"/>
  <c r="H746" i="3"/>
  <c r="I745" i="3"/>
  <c r="H745" i="3"/>
  <c r="H744" i="3"/>
  <c r="I744" i="3" s="1"/>
  <c r="I743" i="3"/>
  <c r="H743" i="3"/>
  <c r="H742" i="3"/>
  <c r="I742" i="3" s="1"/>
  <c r="I741" i="3"/>
  <c r="H741" i="3"/>
  <c r="H740" i="3"/>
  <c r="I740" i="3" s="1"/>
  <c r="H739" i="3"/>
  <c r="I739" i="3" s="1"/>
  <c r="H738" i="3"/>
  <c r="I738" i="3" s="1"/>
  <c r="I737" i="3"/>
  <c r="H737" i="3"/>
  <c r="H736" i="3"/>
  <c r="I736" i="3" s="1"/>
  <c r="I735" i="3"/>
  <c r="H735" i="3"/>
  <c r="H734" i="3"/>
  <c r="I734" i="3" s="1"/>
  <c r="I733" i="3"/>
  <c r="H733" i="3"/>
  <c r="H732" i="3"/>
  <c r="I732" i="3" s="1"/>
  <c r="I731" i="3"/>
  <c r="H731" i="3"/>
  <c r="H730" i="3"/>
  <c r="I730" i="3" s="1"/>
  <c r="I729" i="3"/>
  <c r="H729" i="3"/>
  <c r="I728" i="3"/>
  <c r="H728" i="3"/>
  <c r="I727" i="3"/>
  <c r="H727" i="3"/>
  <c r="H726" i="3"/>
  <c r="I726" i="3" s="1"/>
  <c r="I725" i="3"/>
  <c r="H725" i="3"/>
  <c r="I724" i="3"/>
  <c r="H724" i="3"/>
  <c r="I723" i="3"/>
  <c r="H723" i="3"/>
  <c r="H722" i="3"/>
  <c r="I722" i="3" s="1"/>
  <c r="H721" i="3"/>
  <c r="I721" i="3" s="1"/>
  <c r="H720" i="3"/>
  <c r="I720" i="3" s="1"/>
  <c r="I719" i="3"/>
  <c r="H719" i="3"/>
  <c r="H718" i="3"/>
  <c r="I718" i="3" s="1"/>
  <c r="H717" i="3"/>
  <c r="I717" i="3" s="1"/>
  <c r="I716" i="3"/>
  <c r="H716" i="3"/>
  <c r="I715" i="3"/>
  <c r="H715" i="3"/>
  <c r="H714" i="3"/>
  <c r="I714" i="3" s="1"/>
  <c r="I713" i="3"/>
  <c r="H713" i="3"/>
  <c r="H712" i="3"/>
  <c r="I712" i="3" s="1"/>
  <c r="H711" i="3"/>
  <c r="I711" i="3" s="1"/>
  <c r="H710" i="3"/>
  <c r="I710" i="3" s="1"/>
  <c r="H709" i="3"/>
  <c r="I709" i="3" s="1"/>
  <c r="I708" i="3"/>
  <c r="H708" i="3"/>
  <c r="I707" i="3"/>
  <c r="H707" i="3"/>
  <c r="I706" i="3"/>
  <c r="H706" i="3"/>
  <c r="I705" i="3"/>
  <c r="H705" i="3"/>
  <c r="I704" i="3"/>
  <c r="H704" i="3"/>
  <c r="I703" i="3"/>
  <c r="H703" i="3"/>
  <c r="H702" i="3"/>
  <c r="I702" i="3" s="1"/>
  <c r="H701" i="3"/>
  <c r="I701" i="3" s="1"/>
  <c r="H700" i="3"/>
  <c r="I700" i="3" s="1"/>
  <c r="I699" i="3"/>
  <c r="H699" i="3"/>
  <c r="I698" i="3"/>
  <c r="H698" i="3"/>
  <c r="H697" i="3"/>
  <c r="I697" i="3" s="1"/>
  <c r="H696" i="3"/>
  <c r="I696" i="3" s="1"/>
  <c r="I695" i="3"/>
  <c r="H695" i="3"/>
  <c r="H694" i="3"/>
  <c r="I694" i="3" s="1"/>
  <c r="I693" i="3"/>
  <c r="H693" i="3"/>
  <c r="H692" i="3"/>
  <c r="I692" i="3" s="1"/>
  <c r="H691" i="3"/>
  <c r="I691" i="3" s="1"/>
  <c r="H690" i="3"/>
  <c r="I690" i="3" s="1"/>
  <c r="I689" i="3"/>
  <c r="H689" i="3"/>
  <c r="H688" i="3"/>
  <c r="I688" i="3" s="1"/>
  <c r="I687" i="3"/>
  <c r="H687" i="3"/>
  <c r="I686" i="3"/>
  <c r="H686" i="3"/>
  <c r="I685" i="3"/>
  <c r="H685" i="3"/>
  <c r="H684" i="3"/>
  <c r="I684" i="3" s="1"/>
  <c r="I683" i="3"/>
  <c r="H683" i="3"/>
  <c r="I682" i="3"/>
  <c r="H682" i="3"/>
  <c r="H681" i="3"/>
  <c r="I681" i="3" s="1"/>
  <c r="H680" i="3"/>
  <c r="I680" i="3" s="1"/>
  <c r="H679" i="3"/>
  <c r="I679" i="3" s="1"/>
  <c r="H678" i="3"/>
  <c r="I678" i="3" s="1"/>
  <c r="I677" i="3"/>
  <c r="H677" i="3"/>
  <c r="H676" i="3"/>
  <c r="I676" i="3" s="1"/>
  <c r="I675" i="3"/>
  <c r="H675" i="3"/>
  <c r="I674" i="3"/>
  <c r="H674" i="3"/>
  <c r="I673" i="3"/>
  <c r="H673" i="3"/>
  <c r="H672" i="3"/>
  <c r="I672" i="3" s="1"/>
  <c r="H671" i="3"/>
  <c r="I671" i="3" s="1"/>
  <c r="H670" i="3"/>
  <c r="I670" i="3" s="1"/>
  <c r="H669" i="3"/>
  <c r="I669" i="3" s="1"/>
  <c r="H668" i="3"/>
  <c r="I668" i="3" s="1"/>
  <c r="I667" i="3"/>
  <c r="H667" i="3"/>
  <c r="I666" i="3"/>
  <c r="H666" i="3"/>
  <c r="I665" i="3"/>
  <c r="H665" i="3"/>
  <c r="I664" i="3"/>
  <c r="H664" i="3"/>
  <c r="I663" i="3"/>
  <c r="H663" i="3"/>
  <c r="I662" i="3"/>
  <c r="H662" i="3"/>
  <c r="I661" i="3"/>
  <c r="H661" i="3"/>
  <c r="H660" i="3"/>
  <c r="I660" i="3" s="1"/>
  <c r="H659" i="3"/>
  <c r="I659" i="3" s="1"/>
  <c r="H658" i="3"/>
  <c r="I658" i="3" s="1"/>
  <c r="H657" i="3"/>
  <c r="I657" i="3" s="1"/>
  <c r="I656" i="3"/>
  <c r="H656" i="3"/>
  <c r="I655" i="3"/>
  <c r="H655" i="3"/>
  <c r="H654" i="3"/>
  <c r="I654" i="3" s="1"/>
  <c r="I653" i="3"/>
  <c r="H653" i="3"/>
  <c r="H652" i="3"/>
  <c r="I652" i="3" s="1"/>
  <c r="H651" i="3"/>
  <c r="I651" i="3" s="1"/>
  <c r="H650" i="3"/>
  <c r="I650" i="3" s="1"/>
  <c r="H649" i="3"/>
  <c r="I649" i="3" s="1"/>
  <c r="H648" i="3"/>
  <c r="I648" i="3" s="1"/>
  <c r="I647" i="3"/>
  <c r="H647" i="3"/>
  <c r="H646" i="3"/>
  <c r="I646" i="3" s="1"/>
  <c r="I645" i="3"/>
  <c r="H645" i="3"/>
  <c r="I644" i="3"/>
  <c r="H644" i="3"/>
  <c r="I643" i="3"/>
  <c r="H643" i="3"/>
  <c r="H642" i="3"/>
  <c r="I642" i="3" s="1"/>
  <c r="I641" i="3"/>
  <c r="H641" i="3"/>
  <c r="H640" i="3"/>
  <c r="I640" i="3" s="1"/>
  <c r="H639" i="3"/>
  <c r="I639" i="3" s="1"/>
  <c r="H638" i="3"/>
  <c r="I638" i="3" s="1"/>
  <c r="H637" i="3"/>
  <c r="I637" i="3" s="1"/>
  <c r="H636" i="3"/>
  <c r="I636" i="3" s="1"/>
  <c r="I635" i="3"/>
  <c r="H635" i="3"/>
  <c r="H634" i="3"/>
  <c r="I634" i="3" s="1"/>
  <c r="I633" i="3"/>
  <c r="H633" i="3"/>
  <c r="I632" i="3"/>
  <c r="H632" i="3"/>
  <c r="H631" i="3"/>
  <c r="I631" i="3" s="1"/>
  <c r="H630" i="3"/>
  <c r="I630" i="3" s="1"/>
  <c r="I629" i="3"/>
  <c r="H629" i="3"/>
  <c r="H628" i="3"/>
  <c r="I628" i="3" s="1"/>
  <c r="H627" i="3"/>
  <c r="I627" i="3" s="1"/>
  <c r="H626" i="3"/>
  <c r="I626" i="3" s="1"/>
  <c r="I625" i="3"/>
  <c r="H625" i="3"/>
  <c r="I624" i="3"/>
  <c r="H624" i="3"/>
  <c r="I623" i="3"/>
  <c r="H623" i="3"/>
  <c r="I622" i="3"/>
  <c r="H622" i="3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I615" i="3"/>
  <c r="H615" i="3"/>
  <c r="I614" i="3"/>
  <c r="H614" i="3"/>
  <c r="I613" i="3"/>
  <c r="H613" i="3"/>
  <c r="H612" i="3"/>
  <c r="I612" i="3" s="1"/>
  <c r="I611" i="3"/>
  <c r="H611" i="3"/>
  <c r="H610" i="3"/>
  <c r="I610" i="3" s="1"/>
  <c r="I609" i="3"/>
  <c r="H609" i="3"/>
  <c r="I608" i="3"/>
  <c r="H608" i="3"/>
  <c r="H607" i="3"/>
  <c r="I607" i="3" s="1"/>
  <c r="H606" i="3"/>
  <c r="I606" i="3" s="1"/>
  <c r="I605" i="3"/>
  <c r="H605" i="3"/>
  <c r="H604" i="3"/>
  <c r="I604" i="3" s="1"/>
  <c r="I603" i="3"/>
  <c r="H603" i="3"/>
  <c r="I602" i="3"/>
  <c r="H602" i="3"/>
  <c r="I601" i="3"/>
  <c r="H601" i="3"/>
  <c r="H600" i="3"/>
  <c r="I600" i="3" s="1"/>
  <c r="H599" i="3"/>
  <c r="I599" i="3" s="1"/>
  <c r="H598" i="3"/>
  <c r="I598" i="3" s="1"/>
  <c r="H597" i="3"/>
  <c r="I597" i="3" s="1"/>
  <c r="H596" i="3"/>
  <c r="I596" i="3" s="1"/>
  <c r="I595" i="3"/>
  <c r="H595" i="3"/>
  <c r="H594" i="3"/>
  <c r="I594" i="3" s="1"/>
  <c r="I593" i="3"/>
  <c r="H593" i="3"/>
  <c r="H592" i="3"/>
  <c r="I592" i="3" s="1"/>
  <c r="H591" i="3"/>
  <c r="I591" i="3" s="1"/>
  <c r="H590" i="3"/>
  <c r="I590" i="3" s="1"/>
  <c r="H589" i="3"/>
  <c r="I589" i="3" s="1"/>
  <c r="I588" i="3"/>
  <c r="H588" i="3"/>
  <c r="I587" i="3"/>
  <c r="H587" i="3"/>
  <c r="H586" i="3"/>
  <c r="I586" i="3" s="1"/>
  <c r="I585" i="3"/>
  <c r="H585" i="3"/>
  <c r="H584" i="3"/>
  <c r="I584" i="3" s="1"/>
  <c r="I583" i="3"/>
  <c r="H583" i="3"/>
  <c r="I582" i="3"/>
  <c r="H582" i="3"/>
  <c r="I581" i="3"/>
  <c r="H581" i="3"/>
  <c r="H580" i="3"/>
  <c r="I580" i="3" s="1"/>
  <c r="I579" i="3"/>
  <c r="H579" i="3"/>
  <c r="H578" i="3"/>
  <c r="I578" i="3" s="1"/>
  <c r="H577" i="3"/>
  <c r="I577" i="3" s="1"/>
  <c r="H576" i="3"/>
  <c r="I576" i="3" s="1"/>
  <c r="I575" i="3"/>
  <c r="H575" i="3"/>
  <c r="H574" i="3"/>
  <c r="I574" i="3" s="1"/>
  <c r="I573" i="3"/>
  <c r="H573" i="3"/>
  <c r="I572" i="3"/>
  <c r="H572" i="3"/>
  <c r="H571" i="3"/>
  <c r="I571" i="3" s="1"/>
  <c r="H570" i="3"/>
  <c r="I570" i="3" s="1"/>
  <c r="I569" i="3"/>
  <c r="H569" i="3"/>
  <c r="H568" i="3"/>
  <c r="I568" i="3" s="1"/>
  <c r="I567" i="3"/>
  <c r="H567" i="3"/>
  <c r="I566" i="3"/>
  <c r="H566" i="3"/>
  <c r="I565" i="3"/>
  <c r="H565" i="3"/>
  <c r="H564" i="3"/>
  <c r="I564" i="3" s="1"/>
  <c r="I563" i="3"/>
  <c r="H563" i="3"/>
  <c r="I562" i="3"/>
  <c r="H562" i="3"/>
  <c r="I561" i="3"/>
  <c r="H561" i="3"/>
  <c r="H560" i="3"/>
  <c r="I560" i="3" s="1"/>
  <c r="H559" i="3"/>
  <c r="I559" i="3" s="1"/>
  <c r="I558" i="3"/>
  <c r="H558" i="3"/>
  <c r="H557" i="3"/>
  <c r="I557" i="3" s="1"/>
  <c r="H556" i="3"/>
  <c r="I556" i="3" s="1"/>
  <c r="I555" i="3"/>
  <c r="H555" i="3"/>
  <c r="H554" i="3"/>
  <c r="I554" i="3" s="1"/>
  <c r="I553" i="3"/>
  <c r="H553" i="3"/>
  <c r="H552" i="3"/>
  <c r="I552" i="3" s="1"/>
  <c r="I551" i="3"/>
  <c r="H551" i="3"/>
  <c r="H550" i="3"/>
  <c r="I550" i="3" s="1"/>
  <c r="I549" i="3"/>
  <c r="H549" i="3"/>
  <c r="I548" i="3"/>
  <c r="H548" i="3"/>
  <c r="H547" i="3"/>
  <c r="I547" i="3" s="1"/>
  <c r="I546" i="3"/>
  <c r="H546" i="3"/>
  <c r="I545" i="3"/>
  <c r="H545" i="3"/>
  <c r="H544" i="3"/>
  <c r="I544" i="3" s="1"/>
  <c r="I543" i="3"/>
  <c r="H543" i="3"/>
  <c r="H542" i="3"/>
  <c r="I542" i="3" s="1"/>
  <c r="H541" i="3"/>
  <c r="I541" i="3" s="1"/>
  <c r="H540" i="3"/>
  <c r="I540" i="3" s="1"/>
  <c r="H539" i="3"/>
  <c r="I539" i="3" s="1"/>
  <c r="H538" i="3"/>
  <c r="I538" i="3" s="1"/>
  <c r="I537" i="3"/>
  <c r="H537" i="3"/>
  <c r="H536" i="3"/>
  <c r="I536" i="3" s="1"/>
  <c r="I535" i="3"/>
  <c r="H535" i="3"/>
  <c r="H534" i="3"/>
  <c r="I534" i="3" s="1"/>
  <c r="I533" i="3"/>
  <c r="H533" i="3"/>
  <c r="H532" i="3"/>
  <c r="I532" i="3" s="1"/>
  <c r="H531" i="3"/>
  <c r="I531" i="3" s="1"/>
  <c r="H530" i="3"/>
  <c r="I530" i="3" s="1"/>
  <c r="I529" i="3"/>
  <c r="H529" i="3"/>
  <c r="I528" i="3"/>
  <c r="H528" i="3"/>
  <c r="I527" i="3"/>
  <c r="H527" i="3"/>
  <c r="H526" i="3"/>
  <c r="I526" i="3" s="1"/>
  <c r="I525" i="3"/>
  <c r="H525" i="3"/>
  <c r="I524" i="3"/>
  <c r="H524" i="3"/>
  <c r="I523" i="3"/>
  <c r="H523" i="3"/>
  <c r="H522" i="3"/>
  <c r="I522" i="3" s="1"/>
  <c r="H521" i="3"/>
  <c r="I521" i="3" s="1"/>
  <c r="H520" i="3"/>
  <c r="I520" i="3" s="1"/>
  <c r="I519" i="3"/>
  <c r="H519" i="3"/>
  <c r="H518" i="3"/>
  <c r="I518" i="3" s="1"/>
  <c r="H517" i="3"/>
  <c r="I517" i="3" s="1"/>
  <c r="I516" i="3"/>
  <c r="H516" i="3"/>
  <c r="I515" i="3"/>
  <c r="H515" i="3"/>
  <c r="H514" i="3"/>
  <c r="I514" i="3" s="1"/>
  <c r="I513" i="3"/>
  <c r="H513" i="3"/>
  <c r="H512" i="3"/>
  <c r="I512" i="3" s="1"/>
  <c r="H511" i="3"/>
  <c r="I511" i="3" s="1"/>
  <c r="H510" i="3"/>
  <c r="I510" i="3" s="1"/>
  <c r="H509" i="3"/>
  <c r="I509" i="3" s="1"/>
  <c r="I508" i="3"/>
  <c r="H508" i="3"/>
  <c r="I507" i="3"/>
  <c r="H507" i="3"/>
  <c r="I506" i="3"/>
  <c r="H506" i="3"/>
  <c r="I505" i="3"/>
  <c r="H505" i="3"/>
  <c r="I504" i="3"/>
  <c r="H504" i="3"/>
  <c r="I503" i="3"/>
  <c r="H503" i="3"/>
  <c r="H502" i="3"/>
  <c r="I502" i="3" s="1"/>
  <c r="H501" i="3"/>
  <c r="I501" i="3" s="1"/>
  <c r="H500" i="3"/>
  <c r="I500" i="3" s="1"/>
  <c r="H499" i="3"/>
  <c r="I499" i="3" s="1"/>
  <c r="I498" i="3"/>
  <c r="H498" i="3"/>
  <c r="H497" i="3"/>
  <c r="I497" i="3" s="1"/>
  <c r="H496" i="3"/>
  <c r="I496" i="3" s="1"/>
  <c r="I495" i="3"/>
  <c r="H495" i="3"/>
  <c r="H494" i="3"/>
  <c r="I494" i="3" s="1"/>
  <c r="I493" i="3"/>
  <c r="H493" i="3"/>
  <c r="H492" i="3"/>
  <c r="I492" i="3" s="1"/>
  <c r="H491" i="3"/>
  <c r="I491" i="3" s="1"/>
  <c r="H490" i="3"/>
  <c r="I490" i="3" s="1"/>
  <c r="H489" i="3"/>
  <c r="I489" i="3" s="1"/>
  <c r="H488" i="3"/>
  <c r="I488" i="3" s="1"/>
  <c r="I487" i="3"/>
  <c r="H487" i="3"/>
  <c r="I486" i="3"/>
  <c r="H486" i="3"/>
  <c r="I485" i="3"/>
  <c r="H485" i="3"/>
  <c r="H484" i="3"/>
  <c r="I484" i="3" s="1"/>
  <c r="I483" i="3"/>
  <c r="H483" i="3"/>
  <c r="I482" i="3"/>
  <c r="H482" i="3"/>
  <c r="H481" i="3"/>
  <c r="I481" i="3" s="1"/>
  <c r="H480" i="3"/>
  <c r="I480" i="3" s="1"/>
  <c r="H479" i="3"/>
  <c r="I479" i="3" s="1"/>
  <c r="H478" i="3"/>
  <c r="I478" i="3" s="1"/>
  <c r="I477" i="3"/>
  <c r="H477" i="3"/>
  <c r="H476" i="3"/>
  <c r="I476" i="3" s="1"/>
  <c r="I475" i="3"/>
  <c r="H475" i="3"/>
  <c r="I474" i="3"/>
  <c r="H474" i="3"/>
  <c r="I473" i="3"/>
  <c r="H473" i="3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I466" i="3"/>
  <c r="H466" i="3"/>
  <c r="I465" i="3"/>
  <c r="H465" i="3"/>
  <c r="I464" i="3"/>
  <c r="H464" i="3"/>
  <c r="I463" i="3"/>
  <c r="H463" i="3"/>
  <c r="I462" i="3"/>
  <c r="H462" i="3"/>
  <c r="I461" i="3"/>
  <c r="H461" i="3"/>
  <c r="H460" i="3"/>
  <c r="I460" i="3" s="1"/>
  <c r="H459" i="3"/>
  <c r="I459" i="3" s="1"/>
  <c r="H458" i="3"/>
  <c r="I458" i="3" s="1"/>
  <c r="H457" i="3"/>
  <c r="I457" i="3" s="1"/>
  <c r="I456" i="3"/>
  <c r="H456" i="3"/>
  <c r="I455" i="3"/>
  <c r="H455" i="3"/>
  <c r="H454" i="3"/>
  <c r="I454" i="3" s="1"/>
  <c r="I453" i="3"/>
  <c r="H453" i="3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I446" i="3"/>
  <c r="H446" i="3"/>
  <c r="I445" i="3"/>
  <c r="H445" i="3"/>
  <c r="I444" i="3"/>
  <c r="H444" i="3"/>
  <c r="I443" i="3"/>
  <c r="H443" i="3"/>
  <c r="H442" i="3"/>
  <c r="I442" i="3" s="1"/>
  <c r="I441" i="3"/>
  <c r="H441" i="3"/>
  <c r="H440" i="3"/>
  <c r="I440" i="3" s="1"/>
  <c r="H439" i="3"/>
  <c r="I439" i="3" s="1"/>
  <c r="H438" i="3"/>
  <c r="I438" i="3" s="1"/>
  <c r="H437" i="3"/>
  <c r="I437" i="3" s="1"/>
  <c r="H436" i="3"/>
  <c r="I436" i="3" s="1"/>
  <c r="I435" i="3"/>
  <c r="H435" i="3"/>
  <c r="H434" i="3"/>
  <c r="I434" i="3" s="1"/>
  <c r="I433" i="3"/>
  <c r="H433" i="3"/>
  <c r="I432" i="3"/>
  <c r="H432" i="3"/>
  <c r="H431" i="3"/>
  <c r="I431" i="3" s="1"/>
  <c r="H430" i="3"/>
  <c r="I430" i="3" s="1"/>
  <c r="I429" i="3"/>
  <c r="H429" i="3"/>
  <c r="H428" i="3"/>
  <c r="I428" i="3" s="1"/>
  <c r="H427" i="3"/>
  <c r="I427" i="3" s="1"/>
  <c r="H426" i="3"/>
  <c r="I426" i="3" s="1"/>
  <c r="I425" i="3"/>
  <c r="H425" i="3"/>
  <c r="I424" i="3"/>
  <c r="H424" i="3"/>
  <c r="I423" i="3"/>
  <c r="H423" i="3"/>
  <c r="I422" i="3"/>
  <c r="H422" i="3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I415" i="3"/>
  <c r="H415" i="3"/>
  <c r="I414" i="3"/>
  <c r="H414" i="3"/>
  <c r="I413" i="3"/>
  <c r="H413" i="3"/>
  <c r="H412" i="3"/>
  <c r="I412" i="3" s="1"/>
  <c r="I411" i="3"/>
  <c r="H411" i="3"/>
  <c r="H410" i="3"/>
  <c r="I410" i="3" s="1"/>
  <c r="I409" i="3"/>
  <c r="H409" i="3"/>
  <c r="I408" i="3"/>
  <c r="H408" i="3"/>
  <c r="H407" i="3"/>
  <c r="I407" i="3" s="1"/>
  <c r="H406" i="3"/>
  <c r="I406" i="3" s="1"/>
  <c r="I405" i="3"/>
  <c r="H405" i="3"/>
  <c r="H404" i="3"/>
  <c r="I404" i="3" s="1"/>
  <c r="I403" i="3"/>
  <c r="H403" i="3"/>
  <c r="I402" i="3"/>
  <c r="H402" i="3"/>
  <c r="I401" i="3"/>
  <c r="H401" i="3"/>
  <c r="H400" i="3"/>
  <c r="I400" i="3" s="1"/>
  <c r="H399" i="3"/>
  <c r="I399" i="3" s="1"/>
  <c r="H398" i="3"/>
  <c r="I398" i="3" s="1"/>
  <c r="H397" i="3"/>
  <c r="I397" i="3" s="1"/>
  <c r="H396" i="3"/>
  <c r="I396" i="3" s="1"/>
  <c r="I395" i="3"/>
  <c r="H395" i="3"/>
  <c r="I394" i="3"/>
  <c r="H394" i="3"/>
  <c r="I393" i="3"/>
  <c r="H393" i="3"/>
  <c r="H392" i="3"/>
  <c r="I392" i="3" s="1"/>
  <c r="H391" i="3"/>
  <c r="I391" i="3" s="1"/>
  <c r="H390" i="3"/>
  <c r="I390" i="3" s="1"/>
  <c r="H389" i="3"/>
  <c r="I389" i="3" s="1"/>
  <c r="I388" i="3"/>
  <c r="H388" i="3"/>
  <c r="I387" i="3"/>
  <c r="H387" i="3"/>
  <c r="H386" i="3"/>
  <c r="I386" i="3" s="1"/>
  <c r="I385" i="3"/>
  <c r="H385" i="3"/>
  <c r="H384" i="3"/>
  <c r="I384" i="3" s="1"/>
  <c r="I383" i="3"/>
  <c r="H383" i="3"/>
  <c r="I382" i="3"/>
  <c r="H382" i="3"/>
  <c r="I381" i="3"/>
  <c r="H381" i="3"/>
  <c r="H380" i="3"/>
  <c r="I380" i="3" s="1"/>
  <c r="I379" i="3"/>
  <c r="H379" i="3"/>
  <c r="H378" i="3"/>
  <c r="I378" i="3" s="1"/>
  <c r="H377" i="3"/>
  <c r="I377" i="3" s="1"/>
  <c r="H376" i="3"/>
  <c r="I376" i="3" s="1"/>
  <c r="I375" i="3"/>
  <c r="H375" i="3"/>
  <c r="H374" i="3"/>
  <c r="I374" i="3" s="1"/>
  <c r="I373" i="3"/>
  <c r="H373" i="3"/>
  <c r="I372" i="3"/>
  <c r="H372" i="3"/>
  <c r="H371" i="3"/>
  <c r="I371" i="3" s="1"/>
  <c r="H370" i="3"/>
  <c r="I370" i="3" s="1"/>
  <c r="I369" i="3"/>
  <c r="H369" i="3"/>
  <c r="H368" i="3"/>
  <c r="I368" i="3" s="1"/>
  <c r="H367" i="3"/>
  <c r="I367" i="3" s="1"/>
  <c r="H366" i="3"/>
  <c r="I366" i="3" s="1"/>
  <c r="I365" i="3"/>
  <c r="H365" i="3"/>
  <c r="H364" i="3"/>
  <c r="I364" i="3" s="1"/>
  <c r="I363" i="3"/>
  <c r="H363" i="3"/>
  <c r="I362" i="3"/>
  <c r="H362" i="3"/>
  <c r="H361" i="3"/>
  <c r="I361" i="3" s="1"/>
  <c r="H360" i="3"/>
  <c r="I360" i="3" s="1"/>
  <c r="I359" i="3"/>
  <c r="H359" i="3"/>
  <c r="H358" i="3"/>
  <c r="I358" i="3" s="1"/>
  <c r="H357" i="3"/>
  <c r="I357" i="3" s="1"/>
  <c r="H356" i="3"/>
  <c r="I356" i="3" s="1"/>
  <c r="I355" i="3"/>
  <c r="H355" i="3"/>
  <c r="H354" i="3"/>
  <c r="I354" i="3" s="1"/>
  <c r="I353" i="3"/>
  <c r="H353" i="3"/>
  <c r="I352" i="3"/>
  <c r="H352" i="3"/>
  <c r="H351" i="3"/>
  <c r="I351" i="3" s="1"/>
  <c r="H350" i="3"/>
  <c r="I350" i="3" s="1"/>
  <c r="I349" i="3"/>
  <c r="H349" i="3"/>
  <c r="H348" i="3"/>
  <c r="I348" i="3" s="1"/>
  <c r="H347" i="3"/>
  <c r="I347" i="3" s="1"/>
  <c r="H346" i="3"/>
  <c r="I346" i="3" s="1"/>
  <c r="I345" i="3"/>
  <c r="H345" i="3"/>
  <c r="H344" i="3"/>
  <c r="I344" i="3" s="1"/>
  <c r="I343" i="3"/>
  <c r="H343" i="3"/>
  <c r="I342" i="3"/>
  <c r="H342" i="3"/>
  <c r="H341" i="3"/>
  <c r="I341" i="3" s="1"/>
  <c r="H340" i="3"/>
  <c r="I340" i="3" s="1"/>
  <c r="I339" i="3"/>
  <c r="H339" i="3"/>
  <c r="H338" i="3"/>
  <c r="I338" i="3" s="1"/>
  <c r="H337" i="3"/>
  <c r="I337" i="3" s="1"/>
  <c r="H336" i="3"/>
  <c r="I336" i="3" s="1"/>
  <c r="I335" i="3"/>
  <c r="H335" i="3"/>
  <c r="H334" i="3"/>
  <c r="I334" i="3" s="1"/>
  <c r="I333" i="3"/>
  <c r="H333" i="3"/>
  <c r="I332" i="3"/>
  <c r="H332" i="3"/>
  <c r="H331" i="3"/>
  <c r="I331" i="3" s="1"/>
  <c r="H330" i="3"/>
  <c r="I330" i="3" s="1"/>
  <c r="I329" i="3"/>
  <c r="H329" i="3"/>
  <c r="H328" i="3"/>
  <c r="I328" i="3" s="1"/>
  <c r="H327" i="3"/>
  <c r="I327" i="3" s="1"/>
  <c r="H326" i="3"/>
  <c r="I326" i="3" s="1"/>
  <c r="I325" i="3"/>
  <c r="H325" i="3"/>
  <c r="H324" i="3"/>
  <c r="I324" i="3" s="1"/>
  <c r="I323" i="3"/>
  <c r="H323" i="3"/>
  <c r="I322" i="3"/>
  <c r="H322" i="3"/>
  <c r="H321" i="3"/>
  <c r="I321" i="3" s="1"/>
  <c r="H320" i="3"/>
  <c r="I320" i="3" s="1"/>
  <c r="I319" i="3"/>
  <c r="H319" i="3"/>
  <c r="H318" i="3"/>
  <c r="I318" i="3" s="1"/>
  <c r="H317" i="3"/>
  <c r="I317" i="3" s="1"/>
  <c r="H316" i="3"/>
  <c r="I316" i="3" s="1"/>
  <c r="I315" i="3"/>
  <c r="H315" i="3"/>
  <c r="H314" i="3"/>
  <c r="I314" i="3" s="1"/>
  <c r="I313" i="3"/>
  <c r="H313" i="3"/>
  <c r="I312" i="3"/>
  <c r="H312" i="3"/>
  <c r="H311" i="3"/>
  <c r="I311" i="3" s="1"/>
  <c r="H310" i="3"/>
  <c r="I310" i="3" s="1"/>
  <c r="I309" i="3"/>
  <c r="H309" i="3"/>
  <c r="H308" i="3"/>
  <c r="I308" i="3" s="1"/>
  <c r="H307" i="3"/>
  <c r="I307" i="3" s="1"/>
  <c r="H306" i="3"/>
  <c r="I306" i="3" s="1"/>
  <c r="I305" i="3"/>
  <c r="H305" i="3"/>
  <c r="H304" i="3"/>
  <c r="I304" i="3" s="1"/>
  <c r="I303" i="3"/>
  <c r="H303" i="3"/>
  <c r="I302" i="3"/>
  <c r="H302" i="3"/>
  <c r="H301" i="3"/>
  <c r="I301" i="3" s="1"/>
  <c r="H300" i="3"/>
  <c r="I300" i="3" s="1"/>
  <c r="I299" i="3"/>
  <c r="H299" i="3"/>
  <c r="H298" i="3"/>
  <c r="I298" i="3" s="1"/>
  <c r="H297" i="3"/>
  <c r="I297" i="3" s="1"/>
  <c r="H296" i="3"/>
  <c r="I296" i="3" s="1"/>
  <c r="I295" i="3"/>
  <c r="H295" i="3"/>
  <c r="H294" i="3"/>
  <c r="I294" i="3" s="1"/>
  <c r="I293" i="3"/>
  <c r="H293" i="3"/>
  <c r="I292" i="3"/>
  <c r="H292" i="3"/>
  <c r="H291" i="3"/>
  <c r="I291" i="3" s="1"/>
  <c r="H290" i="3"/>
  <c r="I290" i="3" s="1"/>
  <c r="I289" i="3"/>
  <c r="H289" i="3"/>
  <c r="H288" i="3"/>
  <c r="I288" i="3" s="1"/>
  <c r="H287" i="3"/>
  <c r="I287" i="3" s="1"/>
  <c r="H286" i="3"/>
  <c r="I286" i="3" s="1"/>
  <c r="I285" i="3"/>
  <c r="H285" i="3"/>
  <c r="H284" i="3"/>
  <c r="I284" i="3" s="1"/>
  <c r="I283" i="3"/>
  <c r="H283" i="3"/>
  <c r="I282" i="3"/>
  <c r="H282" i="3"/>
  <c r="H281" i="3"/>
  <c r="I281" i="3" s="1"/>
  <c r="H280" i="3"/>
  <c r="I280" i="3" s="1"/>
  <c r="I279" i="3"/>
  <c r="H279" i="3"/>
  <c r="H278" i="3"/>
  <c r="I278" i="3" s="1"/>
  <c r="H277" i="3"/>
  <c r="I277" i="3" s="1"/>
  <c r="H276" i="3"/>
  <c r="I276" i="3" s="1"/>
  <c r="I275" i="3"/>
  <c r="H275" i="3"/>
  <c r="H274" i="3"/>
  <c r="I274" i="3" s="1"/>
  <c r="I273" i="3"/>
  <c r="H273" i="3"/>
  <c r="I272" i="3"/>
  <c r="H272" i="3"/>
  <c r="H271" i="3"/>
  <c r="I271" i="3" s="1"/>
  <c r="H270" i="3"/>
  <c r="I270" i="3" s="1"/>
  <c r="I269" i="3"/>
  <c r="H269" i="3"/>
  <c r="H268" i="3"/>
  <c r="I268" i="3" s="1"/>
  <c r="H267" i="3"/>
  <c r="I267" i="3" s="1"/>
  <c r="H266" i="3"/>
  <c r="I266" i="3" s="1"/>
  <c r="I265" i="3"/>
  <c r="H265" i="3"/>
  <c r="H264" i="3"/>
  <c r="I264" i="3" s="1"/>
  <c r="I263" i="3"/>
  <c r="H263" i="3"/>
  <c r="I262" i="3"/>
  <c r="H262" i="3"/>
  <c r="H261" i="3"/>
  <c r="I261" i="3" s="1"/>
  <c r="H260" i="3"/>
  <c r="I260" i="3" s="1"/>
  <c r="I259" i="3"/>
  <c r="H259" i="3"/>
  <c r="H258" i="3"/>
  <c r="I258" i="3" s="1"/>
  <c r="H257" i="3"/>
  <c r="I257" i="3" s="1"/>
  <c r="H256" i="3"/>
  <c r="I256" i="3" s="1"/>
  <c r="I255" i="3"/>
  <c r="H255" i="3"/>
  <c r="H254" i="3"/>
  <c r="I254" i="3" s="1"/>
  <c r="I253" i="3"/>
  <c r="H253" i="3"/>
  <c r="I252" i="3"/>
  <c r="H252" i="3"/>
  <c r="H251" i="3"/>
  <c r="I251" i="3" s="1"/>
  <c r="H250" i="3"/>
  <c r="I250" i="3" s="1"/>
  <c r="I249" i="3"/>
  <c r="H249" i="3"/>
  <c r="H248" i="3"/>
  <c r="I248" i="3" s="1"/>
  <c r="H247" i="3"/>
  <c r="I247" i="3" s="1"/>
  <c r="H246" i="3"/>
  <c r="I246" i="3" s="1"/>
  <c r="I245" i="3"/>
  <c r="H245" i="3"/>
  <c r="H244" i="3"/>
  <c r="I244" i="3" s="1"/>
  <c r="H243" i="3"/>
  <c r="I243" i="3" s="1"/>
  <c r="I242" i="3"/>
  <c r="H242" i="3"/>
  <c r="H241" i="3"/>
  <c r="I241" i="3" s="1"/>
  <c r="H240" i="3"/>
  <c r="I240" i="3" s="1"/>
  <c r="I239" i="3"/>
  <c r="H239" i="3"/>
  <c r="H238" i="3"/>
  <c r="I238" i="3" s="1"/>
  <c r="H237" i="3"/>
  <c r="I237" i="3" s="1"/>
  <c r="H236" i="3"/>
  <c r="I236" i="3" s="1"/>
  <c r="I235" i="3"/>
  <c r="H235" i="3"/>
  <c r="H234" i="3"/>
  <c r="I234" i="3" s="1"/>
  <c r="H233" i="3"/>
  <c r="I233" i="3" s="1"/>
  <c r="I232" i="3"/>
  <c r="H232" i="3"/>
  <c r="H231" i="3"/>
  <c r="I231" i="3" s="1"/>
  <c r="H230" i="3"/>
  <c r="I230" i="3" s="1"/>
  <c r="I229" i="3"/>
  <c r="H229" i="3"/>
  <c r="H228" i="3"/>
  <c r="I228" i="3" s="1"/>
  <c r="H227" i="3"/>
  <c r="I227" i="3" s="1"/>
  <c r="H226" i="3"/>
  <c r="I226" i="3" s="1"/>
  <c r="I225" i="3"/>
  <c r="H225" i="3"/>
  <c r="H224" i="3"/>
  <c r="I224" i="3" s="1"/>
  <c r="H223" i="3"/>
  <c r="I223" i="3" s="1"/>
  <c r="I222" i="3"/>
  <c r="H222" i="3"/>
  <c r="H221" i="3"/>
  <c r="I221" i="3" s="1"/>
  <c r="H220" i="3"/>
  <c r="I220" i="3" s="1"/>
  <c r="I219" i="3"/>
  <c r="H219" i="3"/>
  <c r="H218" i="3"/>
  <c r="I218" i="3" s="1"/>
  <c r="H217" i="3"/>
  <c r="I217" i="3" s="1"/>
  <c r="H216" i="3"/>
  <c r="I216" i="3" s="1"/>
  <c r="I215" i="3"/>
  <c r="H215" i="3"/>
  <c r="H214" i="3"/>
  <c r="I214" i="3" s="1"/>
  <c r="H213" i="3"/>
  <c r="I213" i="3" s="1"/>
  <c r="I212" i="3"/>
  <c r="H212" i="3"/>
  <c r="H211" i="3"/>
  <c r="I211" i="3" s="1"/>
  <c r="H210" i="3"/>
  <c r="I210" i="3" s="1"/>
  <c r="I209" i="3"/>
  <c r="H209" i="3"/>
  <c r="H208" i="3"/>
  <c r="I208" i="3" s="1"/>
  <c r="H207" i="3"/>
  <c r="I207" i="3" s="1"/>
  <c r="H206" i="3"/>
  <c r="I206" i="3" s="1"/>
  <c r="I205" i="3"/>
  <c r="H205" i="3"/>
  <c r="H204" i="3"/>
  <c r="I204" i="3" s="1"/>
  <c r="H203" i="3"/>
  <c r="I203" i="3" s="1"/>
  <c r="I202" i="3"/>
  <c r="H202" i="3"/>
  <c r="H201" i="3"/>
  <c r="I201" i="3" s="1"/>
  <c r="H200" i="3"/>
  <c r="I200" i="3" s="1"/>
  <c r="I199" i="3"/>
  <c r="H199" i="3"/>
  <c r="H198" i="3"/>
  <c r="I198" i="3" s="1"/>
  <c r="H197" i="3"/>
  <c r="I197" i="3" s="1"/>
  <c r="H196" i="3"/>
  <c r="I196" i="3" s="1"/>
  <c r="I195" i="3"/>
  <c r="H195" i="3"/>
  <c r="H194" i="3"/>
  <c r="I194" i="3" s="1"/>
  <c r="I193" i="3"/>
  <c r="H193" i="3"/>
  <c r="I192" i="3"/>
  <c r="H192" i="3"/>
  <c r="H191" i="3"/>
  <c r="I191" i="3" s="1"/>
  <c r="H190" i="3"/>
  <c r="I190" i="3" s="1"/>
  <c r="I189" i="3"/>
  <c r="H189" i="3"/>
  <c r="H188" i="3"/>
  <c r="I188" i="3" s="1"/>
  <c r="H187" i="3"/>
  <c r="I187" i="3" s="1"/>
  <c r="H186" i="3"/>
  <c r="I186" i="3" s="1"/>
  <c r="I185" i="3"/>
  <c r="H185" i="3"/>
  <c r="H184" i="3"/>
  <c r="I184" i="3" s="1"/>
  <c r="I183" i="3"/>
  <c r="H183" i="3"/>
  <c r="I182" i="3"/>
  <c r="H182" i="3"/>
  <c r="H181" i="3"/>
  <c r="I181" i="3" s="1"/>
  <c r="H180" i="3"/>
  <c r="I180" i="3" s="1"/>
  <c r="I179" i="3"/>
  <c r="H179" i="3"/>
  <c r="H178" i="3"/>
  <c r="I178" i="3" s="1"/>
  <c r="H177" i="3"/>
  <c r="I177" i="3" s="1"/>
  <c r="H176" i="3"/>
  <c r="I176" i="3" s="1"/>
  <c r="I175" i="3"/>
  <c r="H175" i="3"/>
  <c r="H174" i="3"/>
  <c r="I174" i="3" s="1"/>
  <c r="H173" i="3"/>
  <c r="I173" i="3" s="1"/>
  <c r="I172" i="3"/>
  <c r="H172" i="3"/>
  <c r="H171" i="3"/>
  <c r="I171" i="3" s="1"/>
  <c r="H170" i="3"/>
  <c r="I170" i="3" s="1"/>
  <c r="I169" i="3"/>
  <c r="H169" i="3"/>
  <c r="H168" i="3"/>
  <c r="I168" i="3" s="1"/>
  <c r="H167" i="3"/>
  <c r="I167" i="3" s="1"/>
  <c r="H166" i="3"/>
  <c r="I166" i="3" s="1"/>
  <c r="I165" i="3"/>
  <c r="H165" i="3"/>
  <c r="H164" i="3"/>
  <c r="I164" i="3" s="1"/>
  <c r="H163" i="3"/>
  <c r="I163" i="3" s="1"/>
  <c r="I162" i="3"/>
  <c r="H162" i="3"/>
  <c r="H161" i="3"/>
  <c r="I161" i="3" s="1"/>
  <c r="H160" i="3"/>
  <c r="I160" i="3" s="1"/>
  <c r="I159" i="3"/>
  <c r="H159" i="3"/>
  <c r="H158" i="3"/>
  <c r="I158" i="3" s="1"/>
  <c r="H157" i="3"/>
  <c r="I157" i="3" s="1"/>
  <c r="H156" i="3"/>
  <c r="I156" i="3" s="1"/>
  <c r="I155" i="3"/>
  <c r="H155" i="3"/>
  <c r="H154" i="3"/>
  <c r="I154" i="3" s="1"/>
  <c r="I153" i="3"/>
  <c r="H153" i="3"/>
  <c r="I152" i="3"/>
  <c r="H152" i="3"/>
  <c r="H151" i="3"/>
  <c r="I151" i="3" s="1"/>
  <c r="H150" i="3"/>
  <c r="I150" i="3" s="1"/>
  <c r="I149" i="3"/>
  <c r="H149" i="3"/>
  <c r="H148" i="3"/>
  <c r="I148" i="3" s="1"/>
  <c r="H147" i="3"/>
  <c r="I147" i="3" s="1"/>
  <c r="H146" i="3"/>
  <c r="I146" i="3" s="1"/>
  <c r="I145" i="3"/>
  <c r="H145" i="3"/>
  <c r="H144" i="3"/>
  <c r="I144" i="3" s="1"/>
  <c r="H143" i="3"/>
  <c r="I143" i="3" s="1"/>
  <c r="I142" i="3"/>
  <c r="H142" i="3"/>
  <c r="H141" i="3"/>
  <c r="I141" i="3" s="1"/>
  <c r="H140" i="3"/>
  <c r="I140" i="3" s="1"/>
  <c r="I139" i="3"/>
  <c r="H139" i="3"/>
  <c r="H138" i="3"/>
  <c r="I138" i="3" s="1"/>
  <c r="H137" i="3"/>
  <c r="I137" i="3" s="1"/>
  <c r="H136" i="3"/>
  <c r="I136" i="3" s="1"/>
  <c r="I135" i="3"/>
  <c r="H135" i="3"/>
  <c r="H134" i="3"/>
  <c r="I134" i="3" s="1"/>
  <c r="H133" i="3"/>
  <c r="I133" i="3" s="1"/>
  <c r="I132" i="3"/>
  <c r="H132" i="3"/>
  <c r="H131" i="3"/>
  <c r="I131" i="3" s="1"/>
  <c r="H130" i="3"/>
  <c r="I130" i="3" s="1"/>
  <c r="I129" i="3"/>
  <c r="H129" i="3"/>
  <c r="H128" i="3"/>
  <c r="I128" i="3" s="1"/>
  <c r="H127" i="3"/>
  <c r="I127" i="3" s="1"/>
  <c r="H126" i="3"/>
  <c r="I126" i="3" s="1"/>
  <c r="I125" i="3"/>
  <c r="H125" i="3"/>
  <c r="H124" i="3"/>
  <c r="I124" i="3" s="1"/>
  <c r="H123" i="3"/>
  <c r="I123" i="3" s="1"/>
  <c r="I122" i="3"/>
  <c r="H122" i="3"/>
  <c r="H121" i="3"/>
  <c r="I121" i="3" s="1"/>
  <c r="H120" i="3"/>
  <c r="I120" i="3" s="1"/>
  <c r="I119" i="3"/>
  <c r="H119" i="3"/>
  <c r="H118" i="3"/>
  <c r="I118" i="3" s="1"/>
  <c r="H117" i="3"/>
  <c r="I117" i="3" s="1"/>
  <c r="H116" i="3"/>
  <c r="I116" i="3" s="1"/>
  <c r="I115" i="3"/>
  <c r="H115" i="3"/>
  <c r="H114" i="3"/>
  <c r="I114" i="3" s="1"/>
  <c r="H113" i="3"/>
  <c r="I113" i="3" s="1"/>
  <c r="I112" i="3"/>
  <c r="H112" i="3"/>
  <c r="H111" i="3"/>
  <c r="I111" i="3" s="1"/>
  <c r="H110" i="3"/>
  <c r="I110" i="3" s="1"/>
  <c r="I109" i="3"/>
  <c r="H109" i="3"/>
  <c r="H108" i="3"/>
  <c r="I108" i="3" s="1"/>
  <c r="H107" i="3"/>
  <c r="I107" i="3" s="1"/>
  <c r="H106" i="3"/>
  <c r="I106" i="3" s="1"/>
  <c r="I105" i="3"/>
  <c r="H105" i="3"/>
  <c r="H104" i="3"/>
  <c r="I104" i="3" s="1"/>
  <c r="H103" i="3"/>
  <c r="I103" i="3" s="1"/>
  <c r="I102" i="3"/>
  <c r="H102" i="3"/>
  <c r="H101" i="3"/>
  <c r="I101" i="3" s="1"/>
  <c r="H100" i="3"/>
  <c r="I100" i="3" s="1"/>
  <c r="I99" i="3"/>
  <c r="H99" i="3"/>
  <c r="H98" i="3"/>
  <c r="I98" i="3" s="1"/>
  <c r="H97" i="3"/>
  <c r="I97" i="3" s="1"/>
  <c r="H96" i="3"/>
  <c r="I96" i="3" s="1"/>
  <c r="I95" i="3"/>
  <c r="H95" i="3"/>
  <c r="H94" i="3"/>
  <c r="I94" i="3" s="1"/>
  <c r="I93" i="3"/>
  <c r="H93" i="3"/>
  <c r="I92" i="3"/>
  <c r="H92" i="3"/>
  <c r="H91" i="3"/>
  <c r="I91" i="3" s="1"/>
  <c r="H90" i="3"/>
  <c r="I90" i="3" s="1"/>
  <c r="I89" i="3"/>
  <c r="H89" i="3"/>
  <c r="H88" i="3"/>
  <c r="I88" i="3" s="1"/>
  <c r="H87" i="3"/>
  <c r="I87" i="3" s="1"/>
  <c r="H86" i="3"/>
  <c r="I86" i="3" s="1"/>
  <c r="I85" i="3"/>
  <c r="H85" i="3"/>
  <c r="H84" i="3"/>
  <c r="I84" i="3" s="1"/>
  <c r="I83" i="3"/>
  <c r="H83" i="3"/>
  <c r="I82" i="3"/>
  <c r="H82" i="3"/>
  <c r="H81" i="3"/>
  <c r="I81" i="3" s="1"/>
  <c r="H80" i="3"/>
  <c r="I80" i="3" s="1"/>
  <c r="I79" i="3"/>
  <c r="H79" i="3"/>
  <c r="H78" i="3"/>
  <c r="I78" i="3" s="1"/>
  <c r="H77" i="3"/>
  <c r="I77" i="3" s="1"/>
  <c r="H76" i="3"/>
  <c r="I76" i="3" s="1"/>
  <c r="I75" i="3"/>
  <c r="H75" i="3"/>
  <c r="H74" i="3"/>
  <c r="I74" i="3" s="1"/>
  <c r="H73" i="3"/>
  <c r="I73" i="3" s="1"/>
  <c r="I72" i="3"/>
  <c r="H72" i="3"/>
  <c r="H71" i="3"/>
  <c r="I71" i="3" s="1"/>
  <c r="H70" i="3"/>
  <c r="I70" i="3" s="1"/>
  <c r="I69" i="3"/>
  <c r="H69" i="3"/>
  <c r="H68" i="3"/>
  <c r="I68" i="3" s="1"/>
  <c r="H67" i="3"/>
  <c r="I67" i="3" s="1"/>
  <c r="H66" i="3"/>
  <c r="I66" i="3" s="1"/>
  <c r="I65" i="3"/>
  <c r="H65" i="3"/>
  <c r="H64" i="3"/>
  <c r="I64" i="3" s="1"/>
  <c r="H63" i="3"/>
  <c r="I63" i="3" s="1"/>
  <c r="I62" i="3"/>
  <c r="H62" i="3"/>
  <c r="H61" i="3"/>
  <c r="I61" i="3" s="1"/>
  <c r="H60" i="3"/>
  <c r="I60" i="3" s="1"/>
  <c r="I59" i="3"/>
  <c r="H59" i="3"/>
  <c r="H58" i="3"/>
  <c r="I58" i="3" s="1"/>
  <c r="H57" i="3"/>
  <c r="I57" i="3" s="1"/>
  <c r="H56" i="3"/>
  <c r="I56" i="3" s="1"/>
  <c r="I55" i="3"/>
  <c r="H55" i="3"/>
  <c r="H54" i="3"/>
  <c r="I54" i="3" s="1"/>
  <c r="I53" i="3"/>
  <c r="H53" i="3"/>
  <c r="I52" i="3"/>
  <c r="H52" i="3"/>
  <c r="H51" i="3"/>
  <c r="I51" i="3" s="1"/>
  <c r="H50" i="3"/>
  <c r="I50" i="3" s="1"/>
  <c r="I49" i="3"/>
  <c r="H49" i="3"/>
  <c r="H48" i="3"/>
  <c r="I48" i="3" s="1"/>
  <c r="H47" i="3"/>
  <c r="I47" i="3" s="1"/>
  <c r="H46" i="3"/>
  <c r="I46" i="3" s="1"/>
  <c r="I45" i="3"/>
  <c r="H45" i="3"/>
  <c r="H44" i="3"/>
  <c r="I44" i="3" s="1"/>
  <c r="H43" i="3"/>
  <c r="I43" i="3" s="1"/>
  <c r="I42" i="3"/>
  <c r="H42" i="3"/>
  <c r="H41" i="3"/>
  <c r="I41" i="3" s="1"/>
  <c r="H40" i="3"/>
  <c r="I40" i="3" s="1"/>
  <c r="I39" i="3"/>
  <c r="H39" i="3"/>
  <c r="H38" i="3"/>
  <c r="I38" i="3" s="1"/>
  <c r="H37" i="3"/>
  <c r="I37" i="3" s="1"/>
  <c r="H36" i="3"/>
  <c r="I36" i="3" s="1"/>
  <c r="I35" i="3"/>
  <c r="H35" i="3"/>
  <c r="H34" i="3"/>
  <c r="I34" i="3" s="1"/>
  <c r="H33" i="3"/>
  <c r="I33" i="3" s="1"/>
  <c r="I32" i="3"/>
  <c r="H32" i="3"/>
  <c r="H31" i="3"/>
  <c r="I31" i="3" s="1"/>
  <c r="H30" i="3"/>
  <c r="I30" i="3" s="1"/>
  <c r="I29" i="3"/>
  <c r="H29" i="3"/>
  <c r="H28" i="3"/>
  <c r="I28" i="3" s="1"/>
  <c r="H27" i="3"/>
  <c r="I27" i="3" s="1"/>
  <c r="H26" i="3"/>
  <c r="I26" i="3" s="1"/>
  <c r="I25" i="3"/>
  <c r="H25" i="3"/>
  <c r="H24" i="3"/>
  <c r="I24" i="3" s="1"/>
  <c r="H23" i="3"/>
  <c r="I23" i="3" s="1"/>
  <c r="I22" i="3"/>
  <c r="H22" i="3"/>
  <c r="H21" i="3"/>
  <c r="I21" i="3" s="1"/>
  <c r="H20" i="3"/>
  <c r="I20" i="3" s="1"/>
  <c r="I19" i="3"/>
  <c r="H19" i="3"/>
  <c r="H18" i="3"/>
  <c r="I18" i="3" s="1"/>
  <c r="H17" i="3"/>
  <c r="I17" i="3" s="1"/>
  <c r="H16" i="3"/>
  <c r="I16" i="3" s="1"/>
  <c r="I15" i="3"/>
  <c r="H15" i="3"/>
  <c r="H14" i="3"/>
  <c r="I14" i="3" s="1"/>
  <c r="H13" i="3"/>
  <c r="I13" i="3" s="1"/>
  <c r="I12" i="3"/>
  <c r="H12" i="3"/>
  <c r="H11" i="3"/>
  <c r="I11" i="3" s="1"/>
  <c r="H10" i="3"/>
  <c r="I10" i="3" s="1"/>
  <c r="I9" i="3"/>
  <c r="H9" i="3"/>
  <c r="H8" i="3"/>
  <c r="I8" i="3" s="1"/>
  <c r="H7" i="3"/>
  <c r="I7" i="3" s="1"/>
  <c r="H6" i="3"/>
  <c r="I6" i="3" s="1"/>
  <c r="I5" i="3"/>
  <c r="H5" i="3"/>
  <c r="I76" i="65" l="1"/>
  <c r="J70" i="65"/>
  <c r="I60" i="65"/>
  <c r="I18" i="65"/>
  <c r="J58" i="65"/>
  <c r="I46" i="65"/>
  <c r="I14" i="65"/>
  <c r="I72" i="65"/>
  <c r="I2" i="65"/>
  <c r="J2" i="65" s="1"/>
  <c r="I52" i="65"/>
  <c r="I6" i="65"/>
  <c r="I54" i="65"/>
  <c r="I48" i="65"/>
  <c r="I56" i="65"/>
  <c r="I68" i="65"/>
  <c r="I26" i="65"/>
  <c r="I44" i="65"/>
  <c r="J44" i="65" s="1"/>
  <c r="H2" i="57"/>
  <c r="H4" i="57"/>
  <c r="J66" i="65"/>
  <c r="I66" i="65"/>
  <c r="H3" i="57"/>
  <c r="J10" i="65"/>
  <c r="I10" i="65"/>
  <c r="I38" i="65"/>
  <c r="H6" i="57"/>
  <c r="J15" i="65"/>
  <c r="I15" i="65"/>
  <c r="H7" i="57"/>
  <c r="H12" i="57"/>
  <c r="I3" i="65"/>
  <c r="J3" i="65" s="1"/>
  <c r="G3" i="57"/>
  <c r="G7" i="57"/>
  <c r="J11" i="65"/>
  <c r="I11" i="65"/>
  <c r="J34" i="65"/>
  <c r="I78" i="65"/>
  <c r="I62" i="65"/>
  <c r="J62" i="65" s="1"/>
  <c r="G6" i="57"/>
  <c r="I22" i="65"/>
  <c r="J22" i="65" s="1"/>
  <c r="E16" i="57"/>
  <c r="I50" i="65"/>
  <c r="G11" i="57"/>
  <c r="H11" i="57" s="1"/>
  <c r="H10" i="57"/>
  <c r="G4" i="57"/>
  <c r="G12" i="57"/>
  <c r="J7" i="65"/>
  <c r="I7" i="65"/>
  <c r="I30" i="65"/>
  <c r="I74" i="65"/>
  <c r="I64" i="65"/>
  <c r="J64" i="65" s="1"/>
  <c r="I42" i="65"/>
  <c r="J42" i="65" s="1"/>
  <c r="D14" i="57"/>
  <c r="F13" i="57"/>
  <c r="I19" i="65"/>
  <c r="I23" i="65"/>
  <c r="J23" i="65" s="1"/>
  <c r="I27" i="65"/>
  <c r="I31" i="65"/>
  <c r="I35" i="65"/>
  <c r="I39" i="65"/>
  <c r="I43" i="65"/>
  <c r="J43" i="65" s="1"/>
  <c r="I47" i="65"/>
  <c r="I51" i="65"/>
  <c r="I55" i="65"/>
  <c r="I59" i="65"/>
  <c r="I63" i="65"/>
  <c r="J63" i="65" s="1"/>
  <c r="I67" i="65"/>
  <c r="I71" i="65"/>
  <c r="I75" i="65"/>
  <c r="I79" i="65"/>
  <c r="I4" i="65"/>
  <c r="J4" i="65" s="1"/>
  <c r="I8" i="65"/>
  <c r="I12" i="65"/>
  <c r="I16" i="65"/>
  <c r="I20" i="65"/>
  <c r="I24" i="65"/>
  <c r="J24" i="65" s="1"/>
  <c r="I28" i="65"/>
  <c r="I32" i="65"/>
  <c r="I36" i="65"/>
  <c r="I40" i="65"/>
  <c r="I80" i="65"/>
  <c r="I5" i="65"/>
  <c r="J5" i="65" s="1"/>
  <c r="I9" i="65"/>
  <c r="I13" i="65"/>
  <c r="I17" i="65"/>
  <c r="I21" i="65"/>
  <c r="I25" i="65"/>
  <c r="J25" i="65" s="1"/>
  <c r="I29" i="65"/>
  <c r="I33" i="65"/>
  <c r="I37" i="65"/>
  <c r="I41" i="65"/>
  <c r="I45" i="65"/>
  <c r="J45" i="65" s="1"/>
  <c r="I49" i="65"/>
  <c r="I53" i="65"/>
  <c r="I57" i="65"/>
  <c r="I61" i="65"/>
  <c r="I65" i="65"/>
  <c r="J65" i="65" s="1"/>
  <c r="I69" i="65"/>
  <c r="I73" i="65"/>
  <c r="I77" i="65"/>
  <c r="I81" i="65"/>
  <c r="E17" i="57" l="1"/>
  <c r="D15" i="57"/>
  <c r="F14" i="57"/>
  <c r="G13" i="57"/>
  <c r="H13" i="57" s="1"/>
  <c r="F15" i="57" l="1"/>
  <c r="D16" i="57"/>
  <c r="G14" i="57"/>
  <c r="H14" i="57" s="1"/>
  <c r="E18" i="57"/>
  <c r="D17" i="57" l="1"/>
  <c r="F16" i="57"/>
  <c r="H15" i="57"/>
  <c r="G15" i="57"/>
  <c r="E19" i="57"/>
  <c r="F17" i="57" l="1"/>
  <c r="D18" i="57"/>
  <c r="H16" i="57"/>
  <c r="G16" i="57"/>
  <c r="E20" i="57"/>
  <c r="E21" i="57" l="1"/>
  <c r="F18" i="57"/>
  <c r="D19" i="57"/>
  <c r="G17" i="57"/>
  <c r="H17" i="57" s="1"/>
  <c r="D20" i="57" l="1"/>
  <c r="F19" i="57"/>
  <c r="G18" i="57"/>
  <c r="H18" i="57" s="1"/>
  <c r="G19" i="57" l="1"/>
  <c r="H19" i="57" s="1"/>
  <c r="D21" i="57"/>
  <c r="F21" i="57" s="1"/>
  <c r="F20" i="57"/>
  <c r="G20" i="57" l="1"/>
  <c r="H20" i="57" s="1"/>
  <c r="G21" i="57"/>
  <c r="H21" i="57" s="1"/>
</calcChain>
</file>

<file path=xl/sharedStrings.xml><?xml version="1.0" encoding="utf-8"?>
<sst xmlns="http://schemas.openxmlformats.org/spreadsheetml/2006/main" count="13850" uniqueCount="1452">
  <si>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</si>
  <si>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</si>
  <si>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</si>
  <si>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</si>
  <si>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</si>
  <si>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</si>
  <si>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</si>
  <si>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</si>
  <si>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</si>
  <si>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</si>
  <si>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</si>
  <si>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</si>
  <si>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</si>
  <si>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</si>
  <si>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</si>
  <si>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</si>
  <si>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</si>
  <si>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</si>
  <si>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</si>
  <si>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</si>
  <si>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</si>
  <si>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</si>
  <si>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</si>
  <si>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</si>
  <si>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</si>
  <si>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</si>
  <si>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</si>
  <si>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</si>
  <si>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</si>
  <si>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</si>
  <si>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</si>
  <si>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</si>
  <si>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</si>
  <si>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</si>
  <si>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</si>
  <si>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</si>
  <si>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</si>
  <si>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</si>
  <si>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</si>
  <si>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</si>
  <si>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</si>
  <si>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</si>
  <si>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</si>
  <si>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</si>
  <si>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</si>
  <si>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</si>
  <si>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</si>
  <si>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</si>
  <si>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</si>
  <si>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</si>
  <si>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</si>
  <si>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</si>
  <si>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</si>
  <si>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</si>
  <si>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</si>
  <si>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</si>
  <si>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</si>
  <si>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</si>
  <si>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</si>
  <si>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</si>
  <si>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</si>
  <si>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</si>
  <si>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</si>
  <si>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</si>
  <si>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</si>
  <si>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</si>
  <si>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</si>
  <si>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</si>
  <si>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</si>
  <si>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</si>
  <si>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</si>
  <si>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</si>
  <si>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</si>
  <si>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</si>
  <si>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</si>
  <si>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</si>
  <si>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</si>
  <si>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</si>
  <si>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</si>
  <si>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</si>
  <si>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</si>
  <si>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</si>
  <si>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</si>
  <si>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</si>
  <si>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</si>
  <si>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</si>
  <si>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</si>
  <si>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</si>
  <si>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</si>
  <si>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</si>
  <si>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</si>
  <si>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</si>
  <si>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</si>
  <si>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</si>
  <si>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</si>
  <si>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</si>
  <si>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</si>
  <si>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</si>
  <si>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</si>
  <si>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</si>
  <si>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</si>
  <si>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</si>
  <si>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</si>
  <si>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</si>
  <si>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</si>
  <si>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</si>
  <si>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</si>
  <si>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</si>
  <si>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</si>
  <si>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</si>
  <si>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</si>
  <si>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</si>
  <si>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</si>
  <si>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</si>
  <si>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</si>
  <si>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</si>
  <si>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</si>
  <si>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</si>
  <si>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</si>
  <si>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</si>
  <si>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</si>
  <si>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</si>
  <si>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</si>
  <si>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</si>
  <si>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</si>
  <si>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</si>
  <si>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</si>
  <si>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</si>
  <si>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</si>
  <si>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</si>
  <si>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</si>
  <si>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</si>
  <si>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</si>
  <si>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</si>
  <si>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</si>
  <si>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</si>
  <si>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</si>
  <si>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</si>
  <si>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</si>
  <si>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</si>
  <si>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</si>
  <si>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</si>
  <si>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</si>
  <si>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</si>
  <si>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</si>
  <si>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</si>
  <si>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</si>
  <si>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</si>
  <si>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</si>
  <si>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</si>
  <si>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</si>
  <si>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</si>
  <si>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</si>
  <si>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</si>
  <si>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</si>
  <si>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</si>
  <si>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</si>
  <si>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</si>
  <si>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</si>
  <si>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</si>
  <si>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</si>
  <si>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</si>
  <si>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</si>
  <si>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</si>
  <si>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</si>
  <si>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</si>
  <si>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</si>
  <si>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</si>
  <si>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</si>
  <si>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</si>
  <si>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</si>
  <si>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</si>
  <si>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</si>
  <si>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</si>
  <si>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</si>
  <si>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</si>
  <si>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</si>
  <si>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</si>
  <si>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</si>
  <si>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</si>
  <si>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</si>
  <si>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</si>
  <si>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</si>
  <si>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</si>
  <si>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</si>
  <si>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</si>
  <si>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</si>
  <si>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</si>
  <si>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</si>
  <si>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</si>
  <si>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</si>
  <si>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</si>
  <si>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</si>
  <si>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</si>
  <si>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</si>
  <si>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</si>
  <si>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</si>
  <si>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</si>
  <si>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</si>
  <si>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</si>
  <si>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</si>
  <si>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</si>
  <si>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</si>
  <si>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</si>
  <si>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</si>
  <si>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</si>
  <si>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</si>
  <si>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</si>
  <si>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</si>
  <si>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</si>
  <si>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</si>
  <si>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</si>
  <si>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</si>
  <si>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</si>
  <si>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</si>
  <si>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</si>
  <si>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</si>
  <si>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</si>
  <si>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</si>
  <si>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</si>
  <si>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</si>
  <si>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</si>
  <si>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</si>
  <si>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</si>
  <si>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</si>
  <si>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</si>
  <si>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</si>
  <si>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</si>
  <si>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</si>
  <si>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</si>
  <si>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</si>
  <si>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</si>
  <si>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</si>
  <si>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</si>
  <si>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</si>
  <si>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</si>
  <si>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</si>
  <si>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</si>
  <si>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</si>
  <si>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</si>
  <si>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</si>
  <si>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</si>
  <si>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</si>
  <si>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</si>
  <si>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</si>
  <si>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</si>
  <si>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</si>
  <si>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</si>
  <si>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</si>
  <si>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</si>
  <si>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</si>
  <si>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</si>
  <si>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</si>
  <si>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</si>
  <si>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</si>
  <si>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</si>
  <si>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</si>
  <si>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</si>
  <si>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</si>
  <si>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</si>
  <si>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</si>
  <si>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</si>
  <si>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</si>
  <si>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</si>
  <si>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</si>
  <si>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</si>
  <si>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</si>
  <si>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</si>
  <si>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</si>
  <si>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</si>
  <si>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</si>
  <si>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</si>
  <si>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</si>
  <si>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</si>
  <si>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</si>
  <si>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</si>
  <si>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</si>
  <si>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</si>
  <si>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</si>
  <si>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</si>
  <si>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</si>
  <si>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</si>
  <si>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</si>
  <si>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</si>
  <si>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</si>
  <si>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</si>
  <si>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</si>
  <si>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</si>
  <si>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</si>
  <si>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</si>
  <si>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</si>
  <si>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</si>
  <si>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</si>
  <si>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</si>
  <si>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</si>
  <si>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</si>
  <si>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</si>
  <si>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</si>
  <si>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</si>
  <si>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</si>
  <si>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</si>
  <si>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</si>
  <si>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</si>
  <si>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</si>
  <si>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</si>
  <si>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</si>
  <si>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</si>
  <si>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</si>
  <si>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</si>
  <si>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</si>
  <si>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</si>
  <si>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</si>
  <si>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</si>
  <si>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</si>
  <si>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</si>
  <si>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</si>
  <si>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</si>
  <si>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</si>
  <si>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</si>
  <si>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</si>
  <si>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</si>
  <si>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</si>
  <si>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</si>
  <si>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</si>
  <si>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</si>
  <si>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</si>
  <si>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</si>
  <si>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</si>
  <si>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</si>
  <si>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</si>
  <si>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</si>
  <si>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</si>
  <si>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</si>
  <si>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</si>
  <si>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</si>
  <si>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</si>
  <si>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</si>
  <si>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</si>
  <si>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</si>
  <si>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</si>
  <si>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</si>
  <si>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</si>
  <si>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</si>
  <si>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</si>
  <si>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</si>
  <si>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</si>
  <si>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</si>
  <si>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</si>
  <si>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</si>
  <si>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</si>
  <si>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</si>
  <si>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</si>
  <si>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</si>
  <si>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</si>
  <si>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</si>
  <si>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</si>
  <si>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</si>
  <si>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</si>
  <si>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</si>
  <si>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</si>
  <si>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</si>
  <si>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</si>
  <si>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</si>
  <si>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</si>
  <si>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</si>
  <si>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</si>
  <si>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</si>
  <si>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</si>
  <si>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</si>
  <si>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</si>
  <si>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</si>
  <si>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</si>
  <si>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</si>
  <si>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</si>
  <si>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</si>
  <si>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</si>
  <si>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</si>
  <si>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</si>
  <si>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</si>
  <si>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</si>
  <si>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</si>
  <si>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</si>
  <si>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</si>
  <si>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</si>
  <si>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</si>
  <si>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</si>
  <si>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</si>
  <si>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</si>
  <si>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</si>
  <si>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</si>
  <si>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</si>
  <si>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</si>
  <si>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</si>
  <si>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</si>
  <si>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</si>
  <si>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</si>
  <si>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</si>
  <si>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</si>
  <si>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</si>
  <si>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</si>
  <si>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</si>
  <si>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</si>
  <si>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</si>
  <si>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</si>
  <si>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</si>
  <si>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</si>
  <si>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</si>
  <si>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</si>
  <si>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</si>
  <si>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</si>
  <si>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</si>
  <si>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</si>
  <si>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</si>
  <si>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</si>
  <si>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</si>
  <si>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</si>
  <si>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</si>
  <si>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</si>
  <si>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</si>
  <si>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</si>
  <si>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</si>
  <si>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</si>
  <si>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</si>
  <si>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</si>
  <si>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</si>
  <si>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</si>
  <si>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</si>
  <si>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</si>
  <si>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</si>
  <si>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</si>
  <si>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</si>
  <si>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</si>
  <si>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</si>
  <si>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</si>
  <si>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</si>
  <si>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</si>
  <si>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</si>
  <si>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</si>
  <si>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</si>
  <si>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</si>
  <si>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</si>
  <si>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</si>
  <si>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</si>
  <si>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</si>
  <si>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</si>
  <si>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</si>
  <si>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</si>
  <si>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</si>
  <si>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</si>
  <si>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</si>
  <si>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</si>
  <si>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</si>
  <si>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</si>
  <si>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</si>
  <si>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</si>
  <si>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</si>
  <si>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</si>
  <si>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</si>
  <si>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</si>
  <si>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</si>
  <si>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</si>
  <si>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</si>
  <si>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</si>
  <si>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</si>
  <si>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</si>
  <si>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</si>
  <si>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</si>
  <si>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</si>
  <si>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</si>
  <si>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</si>
  <si>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</si>
  <si>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</si>
  <si>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</si>
  <si>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</si>
  <si>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</si>
  <si>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</si>
  <si>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</si>
  <si>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</si>
  <si>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</si>
  <si>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</si>
  <si>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</si>
  <si>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</si>
  <si>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</si>
  <si>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</si>
  <si>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</si>
  <si>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</si>
  <si>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</si>
  <si>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</si>
  <si>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</si>
  <si>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</si>
  <si>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</si>
  <si>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</si>
  <si>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</si>
  <si>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</si>
  <si>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</si>
  <si>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</si>
  <si>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</si>
  <si>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</si>
  <si>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</si>
  <si>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</si>
  <si>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</si>
  <si>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</si>
  <si>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</si>
  <si>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</si>
  <si>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</si>
  <si>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</si>
  <si>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</si>
  <si>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</si>
  <si>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</si>
  <si>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</si>
  <si>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</si>
  <si>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</si>
  <si>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</si>
  <si>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</si>
  <si>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</si>
  <si>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</si>
  <si>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</si>
  <si>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</si>
  <si>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</si>
  <si>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</si>
  <si>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</si>
  <si>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</si>
  <si>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</si>
  <si>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</si>
  <si>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</si>
  <si>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</si>
  <si>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</si>
  <si>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</si>
  <si>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</si>
  <si>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</si>
  <si>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</si>
  <si>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</si>
  <si>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</si>
  <si>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</si>
  <si>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</si>
  <si>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</si>
  <si>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</si>
  <si>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</si>
  <si>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</si>
  <si>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</si>
  <si>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</si>
  <si>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</si>
  <si>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</si>
  <si>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</si>
  <si>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</si>
  <si>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</si>
  <si>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</si>
  <si>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</si>
  <si>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</si>
  <si>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</si>
  <si>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</si>
  <si>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</si>
  <si>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</si>
  <si>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</si>
  <si>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</si>
  <si>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</si>
  <si>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</si>
  <si>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</si>
  <si>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</si>
  <si>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</si>
  <si>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</si>
  <si>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</si>
  <si>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</si>
  <si>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</si>
  <si>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</si>
  <si>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</si>
  <si>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</si>
  <si>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</si>
  <si>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</si>
  <si>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</si>
  <si>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</si>
  <si>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</si>
  <si>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</si>
  <si>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</si>
  <si>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</si>
  <si>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</si>
  <si>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</si>
  <si>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</si>
  <si>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</si>
  <si>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</si>
  <si>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</si>
  <si>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</si>
  <si>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</si>
  <si>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</si>
  <si>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</si>
  <si>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</si>
  <si>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</si>
  <si>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</si>
  <si>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</si>
  <si>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</si>
  <si>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</si>
  <si>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</si>
  <si>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</si>
  <si>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</si>
  <si>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</si>
  <si>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</si>
  <si>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</si>
  <si>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</si>
  <si>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</si>
  <si>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</si>
  <si>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</si>
  <si>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</si>
  <si>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</si>
  <si>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</si>
  <si>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</si>
  <si>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</si>
  <si>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</si>
  <si>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</si>
  <si>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</si>
  <si>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</si>
  <si>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</si>
  <si>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</si>
  <si>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</si>
  <si>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</si>
  <si>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</si>
  <si>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</si>
  <si>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</si>
  <si>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</si>
  <si>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</si>
  <si>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</si>
  <si>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</si>
  <si>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</si>
  <si>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</si>
  <si>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</si>
  <si>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</si>
  <si>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</si>
  <si>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</si>
  <si>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</si>
  <si>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</si>
  <si>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</si>
  <si>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</si>
  <si>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</si>
  <si>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</si>
  <si>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</si>
  <si>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</si>
  <si>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</si>
  <si>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</si>
  <si>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</si>
  <si>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</si>
  <si>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</si>
  <si>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</si>
  <si>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</si>
  <si>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</si>
  <si>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</si>
  <si>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</si>
  <si>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</si>
  <si>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</si>
  <si>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</si>
  <si>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</si>
  <si>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</si>
  <si>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</si>
  <si>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</si>
  <si>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</si>
  <si>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</si>
  <si>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</si>
  <si>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</si>
  <si>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</si>
  <si>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</si>
  <si>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</si>
  <si>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</si>
  <si>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</si>
  <si>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</si>
  <si>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</si>
  <si>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</si>
  <si>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</si>
  <si>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</si>
  <si>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</si>
  <si>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</si>
  <si>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</si>
  <si>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</si>
  <si>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</si>
  <si>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</si>
  <si>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</si>
  <si>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</si>
  <si>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</si>
  <si>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</si>
  <si>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</si>
  <si>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</si>
  <si>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</si>
  <si>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</si>
  <si>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</si>
  <si>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</si>
  <si>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</si>
  <si>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</si>
  <si>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</si>
  <si>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</si>
  <si>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</si>
  <si>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</si>
  <si>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</si>
  <si>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</si>
  <si>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</si>
  <si>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</si>
  <si>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</si>
  <si>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</si>
  <si>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</si>
  <si>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</si>
  <si>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</si>
  <si>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</si>
  <si>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</si>
  <si>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</si>
  <si>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</si>
  <si>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</si>
  <si>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</si>
  <si>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</si>
  <si>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</si>
  <si>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</si>
  <si>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</si>
  <si>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</si>
  <si>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</si>
  <si>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</si>
  <si>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</si>
  <si>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</si>
  <si>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</si>
  <si>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</si>
  <si>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</si>
  <si>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</si>
  <si>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</si>
  <si>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</si>
  <si>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</si>
  <si>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</si>
  <si>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</si>
  <si>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</si>
  <si>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</si>
  <si>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</si>
  <si>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</si>
  <si>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</si>
  <si>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</si>
  <si>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</si>
  <si>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</si>
  <si>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</si>
  <si>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</si>
  <si>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</si>
  <si>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</si>
  <si>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</si>
  <si>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</si>
  <si>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</si>
  <si>
    <t>opciones_validas</t>
  </si>
  <si>
    <t>como_lo_usara_el_simulador</t>
  </si>
  <si>
    <t>notas</t>
  </si>
  <si>
    <t>meta_mt_total_2036</t>
  </si>
  <si>
    <t>Número</t>
  </si>
  <si>
    <t>Meta total de MT Posgrado + Ejecutivo en agosto 2036.</t>
  </si>
  <si>
    <t>Ejemplo: 43000.</t>
  </si>
  <si>
    <t>anio_meta</t>
  </si>
  <si>
    <t>2036</t>
  </si>
  <si>
    <t>Año de referencia para resolver la meta.</t>
  </si>
  <si>
    <t>Mantener 2036.</t>
  </si>
  <si>
    <t>anio_final_simulacion</t>
  </si>
  <si>
    <t>2045</t>
  </si>
  <si>
    <t>La simulación continúa hasta este año.</t>
  </si>
  <si>
    <t>Aunque la meta principal sea 2036.</t>
  </si>
  <si>
    <t>anio_base_ni_anual</t>
  </si>
  <si>
    <t>2029</t>
  </si>
  <si>
    <t>Año académico base para tomar el NI anual y crecer hacia adelante.</t>
  </si>
  <si>
    <t>Debe coincidir con el último año base confiable.</t>
  </si>
  <si>
    <t>anio_inicio_asincrono</t>
  </si>
  <si>
    <t>2026-2045</t>
  </si>
  <si>
    <t>Antes de este año, NI Asíncrono = 0.</t>
  </si>
  <si>
    <t>Si empieza en 2028, captura 2028.</t>
  </si>
  <si>
    <t>anio_deja_captar_sincrono</t>
  </si>
  <si>
    <t>Nunca, 2030-2045</t>
  </si>
  <si>
    <t>Desde ese año, NI Síncrono = 0; el RI Síncrono sigue avanzando por matriz.</t>
  </si>
  <si>
    <t>Default v104: 2029. Puedes cambiarlo en el simulador a Nunca si Síncrono seguirá captando.</t>
  </si>
  <si>
    <t>reparto_meta_2036_interno</t>
  </si>
  <si>
    <t>58% Posgrado / 42% Ejecutivo</t>
  </si>
  <si>
    <t>Informativo</t>
  </si>
  <si>
    <t>La v104 lo usa internamente; ya no se captura como control.</t>
  </si>
  <si>
    <t>Se elimina del UI para evitar confusión.</t>
  </si>
  <si>
    <t>modo_asincrono_interno</t>
  </si>
  <si>
    <t>Resolver meta</t>
  </si>
  <si>
    <t>La v104 siempre resuelve cuánto debe aportar Asíncrono para llegar a la meta 2036.</t>
  </si>
  <si>
    <t>Se elimina del UI.</t>
  </si>
  <si>
    <t>crecimiento_anual_ni_sincrono_posgrado</t>
  </si>
  <si>
    <t>Porcentaje</t>
  </si>
  <si>
    <t>Crecimiento anual del NI Síncrono de Posgrado si sigue captando.</t>
  </si>
  <si>
    <t>Si deja de captar, prevalece anio_deja_captar_sincrono.</t>
  </si>
  <si>
    <t>crecimiento_anual_ni_sincrono_ejecutivo</t>
  </si>
  <si>
    <t>Crecimiento anual del NI Síncrono de Ejecutivo si sigue captando.</t>
  </si>
  <si>
    <t>crecimiento_anual_ni_asincrono_posgrado_manual</t>
  </si>
  <si>
    <t>Solo se usa si modo_asincrono_2036 = Crecimiento manual.</t>
  </si>
  <si>
    <t>Si modo es Resolver meta, puedes dejarlo vacío.</t>
  </si>
  <si>
    <t>crecimiento_anual_ni_asincrono_ejecutivo_manual</t>
  </si>
  <si>
    <t>usar_stock_ri_agosto_2029</t>
  </si>
  <si>
    <t>Sí, No</t>
  </si>
  <si>
    <t>Sí: usa stock_ri_agosto_2029 para arrancar la matriz. No: usa MT/RI agregado y estima distribución.</t>
  </si>
  <si>
    <t>Ideal: Sí si tienes stock por bimestre académico.</t>
  </si>
  <si>
    <t>tipo</t>
  </si>
  <si>
    <t>anio_inicio_reparto_ni_sinc_asinc</t>
  </si>
  <si>
    <t>Control</t>
  </si>
  <si>
    <t>Año académico desde el que el NI total se reparte entre Síncrono y Asíncrono.</t>
  </si>
  <si>
    <t>Default 2029.</t>
  </si>
  <si>
    <t>pct_ni_sincrono_posgrado</t>
  </si>
  <si>
    <t>0%</t>
  </si>
  <si>
    <t>Porcentaje del NI anual total de Posgrado que seguirá entrando como Síncrono.</t>
  </si>
  <si>
    <t>0% = deja de captar Síncrono; Asíncrono recibe 100%.</t>
  </si>
  <si>
    <t>pct_ni_sincrono_ejecutivo</t>
  </si>
  <si>
    <t>Porcentaje del NI anual total de Ejecutivo que seguirá entrando como Síncrono.</t>
  </si>
  <si>
    <t>crecimiento_anual_ni_total_posgrado</t>
  </si>
  <si>
    <t>3%</t>
  </si>
  <si>
    <t>Crecimiento anual del NI total de Posgrado antes de repartir entre modalidades.</t>
  </si>
  <si>
    <t>Default v114: 3% anual desde la base de cada periodo 2029.</t>
  </si>
  <si>
    <t>crecimiento_anual_ni_total_ejecutivo</t>
  </si>
  <si>
    <t>Crecimiento anual del NI total de Ejecutivo antes de repartir entre modalidades.</t>
  </si>
  <si>
    <t>ri_tetra_inicial_posgrado</t>
  </si>
  <si>
    <t>RI histórico de programas tetra Posgrado que todavía cuenta como Síncrono.</t>
  </si>
  <si>
    <t>Se agota con egresos_anuales_tetra_posgrado.</t>
  </si>
  <si>
    <t>egreso_anual_tetra_posgrado</t>
  </si>
  <si>
    <t>Salida anual del RI tetra histórico de Posgrado.</t>
  </si>
  <si>
    <t>Default 5,000.</t>
  </si>
  <si>
    <t>ri_tetra_inicial_ejecutivo</t>
  </si>
  <si>
    <t>RI histórico de programas tetra Ejecutivo que todavía cuenta como Síncrono.</t>
  </si>
  <si>
    <t>Se agota con egresos_anuales_tetra_ejecutivo.</t>
  </si>
  <si>
    <t>egreso_anual_tetra_ejecutivo</t>
  </si>
  <si>
    <t>Salida anual del RI tetra histórico de Ejecutivo.</t>
  </si>
  <si>
    <t>Default 1,200.</t>
  </si>
  <si>
    <t>anio_meta_pos_ejec</t>
  </si>
  <si>
    <t>Año en que se quiere llegar a la meta MT.</t>
  </si>
  <si>
    <t>Editable en el simulador.</t>
  </si>
  <si>
    <t>meta_mt_total</t>
  </si>
  <si>
    <t>Meta MT total Posgrado + Ejecutivo.</t>
  </si>
  <si>
    <t>Default 43,000.</t>
  </si>
  <si>
    <t>modo_crecimiento_pos_ejec</t>
  </si>
  <si>
    <t>Resolver meta, Manual por bloques</t>
  </si>
  <si>
    <t>Define si el simulador calcula el crecimiento requerido o usa bloques manuales por nivel.</t>
  </si>
  <si>
    <t>Default v125: Resolver meta.</t>
  </si>
  <si>
    <t>anio_pasar_mt_sincrono_a_asincrono</t>
  </si>
  <si>
    <t>Nunca</t>
  </si>
  <si>
    <t>Nunca, 2027-2045</t>
  </si>
  <si>
    <t>Año en que se reclasifica la MT Síncrona viva como Asíncrona.</t>
  </si>
  <si>
    <t>No cambia la MT total; cambia la modalidad.</t>
  </si>
  <si>
    <t>pmp_mt_pos_ejec</t>
  </si>
  <si>
    <t>Hoja editable</t>
  </si>
  <si>
    <t>Insumo</t>
  </si>
  <si>
    <t>Captura MT PMP oficial hasta 2029.</t>
  </si>
  <si>
    <t>El simulador usa esa MT hasta 2029; desde Enero 2030 proyecta con crecimientos.</t>
  </si>
  <si>
    <t>inicio_crecimiento_proyectado</t>
  </si>
  <si>
    <t>Enero 2030</t>
  </si>
  <si>
    <t>Regla</t>
  </si>
  <si>
    <t>Inicio de crecimiento manual o resuelto.</t>
  </si>
  <si>
    <t>Las capturas PMP cubren hasta 2029.</t>
  </si>
  <si>
    <t>anio_academico</t>
  </si>
  <si>
    <t>anio_calendario</t>
  </si>
  <si>
    <t>NI</t>
  </si>
  <si>
    <t>Agosto</t>
  </si>
  <si>
    <t>Síncrono</t>
  </si>
  <si>
    <t>Octubre</t>
  </si>
  <si>
    <t>Enero</t>
  </si>
  <si>
    <t>Marzo</t>
  </si>
  <si>
    <t>Junio</t>
  </si>
  <si>
    <t>Asíncrono</t>
  </si>
  <si>
    <t>crecimiento_ni_anual</t>
  </si>
  <si>
    <t>captacion_activa</t>
  </si>
  <si>
    <t>modo_uso</t>
  </si>
  <si>
    <t>Se usa si Síncrono sigue captando. Si anio_deja_captar_sincrono aplica, NI Síncrono será 0 desde ese año.</t>
  </si>
  <si>
    <t>Asíncrono manual</t>
  </si>
  <si>
    <t>Solo se usa si modo_asincrono_2036 = Crecimiento manual. Si es Resolver meta, puede quedar vacío.</t>
  </si>
  <si>
    <t>pct_reparto</t>
  </si>
  <si>
    <t>Captura porcentaje del NI anual. La suma de los 5 periodos por Nivel + Modalidad debe ser 100%.</t>
  </si>
  <si>
    <t>bimestre_origen</t>
  </si>
  <si>
    <t>bimestre_destino</t>
  </si>
  <si>
    <t>B1</t>
  </si>
  <si>
    <t>B2</t>
  </si>
  <si>
    <t>Posgrado: duración normal aprox. 10 bimestres; se dejan 15 tasas para rezago/extensión.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</si>
  <si>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</si>
  <si>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</si>
  <si>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</si>
  <si>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</si>
  <si>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</si>
  <si>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</si>
  <si>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</si>
  <si>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</si>
  <si>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</si>
  <si>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</si>
  <si>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</si>
  <si>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</si>
  <si>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</si>
  <si>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Ejecutivo: duración normal aprox. 15 bimestres; se dejan 20 tasas para rezago/extensión.</t>
  </si>
  <si>
    <t>B16</t>
  </si>
  <si>
    <t>B17</t>
  </si>
  <si>
    <t>B18</t>
  </si>
  <si>
    <t>B19</t>
  </si>
  <si>
    <t>B20</t>
  </si>
  <si>
    <t>anio_corte</t>
  </si>
  <si>
    <t>periodo_corte</t>
  </si>
  <si>
    <t>bimestre_academico</t>
  </si>
  <si>
    <t>alumnos_RI</t>
  </si>
  <si>
    <t>Stock RI vivo en agosto 2029 por edad académica. Si no tienes este desglose, llena mt_agosto_real_pos_ejec.</t>
  </si>
  <si>
    <t>Plantillas Posgrado / Ejecutivo · v2</t>
  </si>
  <si>
    <t>Objetivo</t>
  </si>
  <si>
    <t>Simular Posgrado + Ejecutivo separando Síncrono y Asíncrono, con meta total 2036 y proyección hasta 2045.</t>
  </si>
  <si>
    <t>Lógica corregida</t>
  </si>
  <si>
    <t>Primero se calcula la vida natural de Síncrono con NI, RI y egresos por matriz de cohortes. Después Asíncrono cubre la brecha necesaria para llegar a la meta total 2036.</t>
  </si>
  <si>
    <t>Qué llenar</t>
  </si>
  <si>
    <t>Obligatorio</t>
  </si>
  <si>
    <t>parametros_pos_ejec</t>
  </si>
  <si>
    <t>Meta total 2036, año inicio Asíncrono, regla para dejar o no dejar de captar Síncrono, modo de Asíncrono y crecimientos principales.</t>
  </si>
  <si>
    <t>No captures meta directa de Asíncrono; el simulador la calcula como meta total menos MT Síncrona.</t>
  </si>
  <si>
    <t>ni_bimestral_pos_ejec</t>
  </si>
  <si>
    <t>NI real/base por año académico, periodo, nivel y modalidad para 2026–2029.</t>
  </si>
  <si>
    <t>Año académico 2026 = Ago 2026 + Oct 2026 + Ene 2027 + Mar 2027 + Jun 2027.</t>
  </si>
  <si>
    <t>mt_agosto_real_pos_ejec</t>
  </si>
  <si>
    <t>MT real de agosto por nivel/modalidad para validar o arrancar el motor.</t>
  </si>
  <si>
    <t>Recomendado</t>
  </si>
  <si>
    <t>Útil si tienes MT y RI agregados pero no todo el stock RI por bimestre académico.</t>
  </si>
  <si>
    <t>stock_ri_agosto_2029</t>
  </si>
  <si>
    <t>Stock RI vivo en agosto 2029 por bimestre académico.</t>
  </si>
  <si>
    <t>Ideal</t>
  </si>
  <si>
    <t>Es la forma más precisa de arrancar la matriz desde 2029. Si no lo tienes, deja vacío y se usará el agregado.</t>
  </si>
  <si>
    <t>reparto_periodos_pos_ejec</t>
  </si>
  <si>
    <t>% de reparto del NI anual entre Agosto, Octubre, Enero, Marzo y Junio.</t>
  </si>
  <si>
    <t>Debe sumar 100% por Nivel + Modalidad.</t>
  </si>
  <si>
    <t>tasas_ri_bimestre_pos_ejec</t>
  </si>
  <si>
    <t>Tasas por avance de cohorte: B1→B2, B2→B3, etc.</t>
  </si>
  <si>
    <t>Posgrado: 15 tasas por modalidad. Ejecutivo: 20 tasas por modalidad.</t>
  </si>
  <si>
    <t>crecimiento_anual_pos_ejec</t>
  </si>
  <si>
    <t>Crecimiento anual del NI desde 2030 hasta 2045 por nivel/modalidad.</t>
  </si>
  <si>
    <t>Sí/según modo</t>
  </si>
  <si>
    <t>Para Síncrono aplica si sigue captando. Para Asíncrono aplica si modo_asincrono = Crecimiento manual; si es Resolver meta, puede quedar vacío.</t>
  </si>
  <si>
    <t>Regla de brecha 2036</t>
  </si>
  <si>
    <t>MT Asíncrono requerida 2036 = Meta total 2036 - MT Síncrona calculada 2036.</t>
  </si>
  <si>
    <t>Importante</t>
  </si>
  <si>
    <t>Si Síncrono deja de captar, su NI se vuelve 0 desde ese año, pero su RI sigue vivo hasta que la matriz lo agote.</t>
  </si>
  <si>
    <t>NI_agosto_real</t>
  </si>
  <si>
    <t>RI_agosto_real</t>
  </si>
  <si>
    <t>MT_agosto_real</t>
  </si>
  <si>
    <t>Captura el dato real de agosto si lo tienes. MT = NI agosto + RI agosto.</t>
  </si>
  <si>
    <t>tipo_programa</t>
  </si>
  <si>
    <t>Bimestral</t>
  </si>
  <si>
    <t>Ejemplo: reparte aquí los ~6100 RI tetra por bimestre académico.</t>
  </si>
  <si>
    <t>Ejemplo: reparte aquí los ~2100 RI bimestrales por bimestre académico.</t>
  </si>
  <si>
    <t>Ejemplo: reparte aquí los ~5000 RI tetra de posgrado por bimestre académico.</t>
  </si>
  <si>
    <t>Usa año académico 2028; Enero pertenece al calendario 2029.</t>
  </si>
  <si>
    <t>NI_real</t>
  </si>
  <si>
    <t>RI_real</t>
  </si>
  <si>
    <t>MT_real</t>
  </si>
  <si>
    <t>Aquí sí puedes poner enero, marzo y junio; no solo agosto.</t>
  </si>
  <si>
    <t>Año académico 2028, calendario 2029.</t>
  </si>
  <si>
    <t>Si MT_real queda vacío, el simulador usa NI_real + RI_real.</t>
  </si>
  <si>
    <t>Si deja de captar desde agosto 2029, NI_real puede quedar 0 y RI_real sigue vivo.</t>
  </si>
  <si>
    <t>Cambio</t>
  </si>
  <si>
    <t>Descripción</t>
  </si>
  <si>
    <t>stock_ri_periodo_pos_ejec</t>
  </si>
  <si>
    <t>Aquí se pone el RI vivo por periodo y bimestre académico. Esto alimenta la matriz, por eso sirve para simular desde 2026 y no solo desde agosto 2029.</t>
  </si>
  <si>
    <t>mt_periodo_real_pos_ejec</t>
  </si>
  <si>
    <t>Aquí se pueden poner NI/RI/MT reales por cualquier periodo: Agosto, Octubre, Enero, Marzo o Junio.</t>
  </si>
  <si>
    <t>Año académico</t>
  </si>
  <si>
    <t>Ejemplo: año académico 2028 = Agosto 2028 + Octubre 2028 + Enero 2029 + Marzo 2029 + Junio 2029.</t>
  </si>
  <si>
    <t>Dejar de captar Síncrono</t>
  </si>
  <si>
    <t>El año seleccionado aplica desde Agosto de ese año académico. Por ejemplo, 2029 significa desde Agosto 2029, no desde Enero 2029.</t>
  </si>
  <si>
    <t>RI Síncrono</t>
  </si>
  <si>
    <t>Aunque NI Síncrono sea 0, el RI sigue avanzando con las tasas de tasas_ri_bimestre_pos_ejec hasta agotarse.</t>
  </si>
  <si>
    <t>Tema</t>
  </si>
  <si>
    <t>Reparto NI Síncrono/Asíncrono</t>
  </si>
  <si>
    <t>Desde el año de estrategia, el simulador toma el NI anual total del nivel y lo reparte con % NI Síncrono. Asíncrono recibe el complemento.</t>
  </si>
  <si>
    <t>Se modela con % NI Síncrono = 0%. Así el NI nuevo pasa a Asíncrono, pero el RI Síncrono vivo sigue contando.</t>
  </si>
  <si>
    <t>RI tetra histórico</t>
  </si>
  <si>
    <t>Además de la matriz bimestral, el simulador suma un RI tetra histórico como run-off. Defaults: Posgrado 9,800 con salida 5,000/año; Ejecutivo 6,100 con salida 1,200/año.</t>
  </si>
  <si>
    <t>Matriz bimestral</t>
  </si>
  <si>
    <t>Los NI 2027/2028 y el stock RI por bimestre siguen avanzando con las tasas de tasas_ri_bimestre_pos_ejec.</t>
  </si>
  <si>
    <t>Meta 2036</t>
  </si>
  <si>
    <t>La meta no se asigna completa a Asíncrono. Primero cuenta la MT Síncrona calculada, incluyendo RI tetra histórico y cohortes vivas.</t>
  </si>
  <si>
    <t>Corrección NI 2029+</t>
  </si>
  <si>
    <t>Desde 2029, cada periodo usa el total original del periodo y lo reparte entre Síncrono/Asíncrono.</t>
  </si>
  <si>
    <t>Crecimiento por periodo</t>
  </si>
  <si>
    <t>Agosto 2030 se calcula desde Agosto 2029 × 1.03. No se recalcula con el porcentaje anual de distribución.</t>
  </si>
  <si>
    <t>Octubre 2029</t>
  </si>
  <si>
    <t>Si Octubre quedó menor por faltante de asíncrono/base, toma al menos el total de Agosto del mismo nivel.</t>
  </si>
  <si>
    <t>Default crecimiento</t>
  </si>
  <si>
    <t>Los controles de crecimiento anual NI total Posgrado y Ejecutivo quedan en 3%.</t>
  </si>
  <si>
    <t>MT síncrona</t>
  </si>
  <si>
    <t>0% de NI Síncrono no borra los RI vivos ni la MT tetra histórica.</t>
  </si>
  <si>
    <t>RI Síncrono no debe caer a cero</t>
  </si>
  <si>
    <t>0% o 50% de NI Síncrono solo afecta los nuevos ingresos futuros; los RI vivos siguen avanzando.</t>
  </si>
  <si>
    <t>Por qué puede verse igual</t>
  </si>
  <si>
    <t>Si el reparto es 50/50 y las tasas Síncrono/Asíncrono son iguales, el RI generado desde 2029 puede ser muy parecido en ambas modalidades.</t>
  </si>
  <si>
    <t>Qué debe ser mayor</t>
  </si>
  <si>
    <t>El RI Síncrono total debería incluir además el arrastre de cohortes pre-reparto, especialmente Ejecutivo desde 2025 y Posgrado desde 2026.</t>
  </si>
  <si>
    <t>Nuevas columnas</t>
  </si>
  <si>
    <t>Las tablas separan RI arrastre pre-reparto y RI generación reparto+ para validar la dinámica.</t>
  </si>
  <si>
    <t>MT tetra histórica</t>
  </si>
  <si>
    <t>Sigue separada de RI bimestral y aporta a MT Síncrona.</t>
  </si>
  <si>
    <t>Tablas separadas</t>
  </si>
  <si>
    <t>Se agregan tablas separadas para Síncrono y Asíncrono periodo por periodo.</t>
  </si>
  <si>
    <t>Dinámica Síncrono</t>
  </si>
  <si>
    <t>Síncrono usa stock_ri_periodo_pos_ejec, NI históricos, NI futuro repartido y tasas propias.</t>
  </si>
  <si>
    <t>Dinámica Asíncrono</t>
  </si>
  <si>
    <t>Asíncrono usa NI asíncronos históricos, NI futuro repartido y tasas propias.</t>
  </si>
  <si>
    <t>Estado B1..B20</t>
  </si>
  <si>
    <t>Se agrega vista por bimestre para revisar cómo avanza cada cohorte. B1 = NI del periodo; B2+ = RI.</t>
  </si>
  <si>
    <t>Sin arrastre visible</t>
  </si>
  <si>
    <t>Se eliminan columnas de arrastre de la vista principal; la diferencia se ve directamente por modalidad y bimestre.</t>
  </si>
  <si>
    <t>Reales</t>
  </si>
  <si>
    <t>mt_periodo_real_pos_ejec queda como validación; no sobrescribe la dinámica de cohortes.</t>
  </si>
  <si>
    <t>Meta 2029</t>
  </si>
  <si>
    <t>Se agregó meta de MT Agosto 2029 = 30,000. Si la base queda abajo, se agrega ajuste de arranque en Asíncrono Agosto 2029.</t>
  </si>
  <si>
    <t>El modo default resuelve el crecimiento anual requerido del NI total para llegar a MT Agosto 2036 = 43,000.</t>
  </si>
  <si>
    <t>Un solo crecimiento</t>
  </si>
  <si>
    <t>El crecimiento calculado aplica al NI total de ambos niveles y modalidades; luego se reparte según el % Síncrono/Asíncrono.</t>
  </si>
  <si>
    <t>50/50</t>
  </si>
  <si>
    <t>Si se captura 50% Síncrono, cada periodo proyectado se parte 50/50 entre modalidades.</t>
  </si>
  <si>
    <t>Sigue teniendo NI si el porcentaje Síncrono es mayor que 0, y sus RI avanzan con sus tasas propias.</t>
  </si>
  <si>
    <t>Recibe el complemento del reparto y genera sus propios RI con sus tasas.</t>
  </si>
  <si>
    <t>La sección Lectura 2036 muestra crecimiento requerido, ajuste 2029 y gaps.</t>
  </si>
  <si>
    <t>Corrección de pestaña</t>
  </si>
  <si>
    <t>La v118 se reconstruyó desde la v116 estable para evitar que Posgrado / Ejecutivo quede en blanco.</t>
  </si>
  <si>
    <t>Mantiene meta Agosto 2029 = 30,000 y muestra ajuste en Asíncrono si la base queda debajo.</t>
  </si>
  <si>
    <t>Puede resolver el crecimiento anual requerido para llegar a 43,000 en Agosto 2036.</t>
  </si>
  <si>
    <t>Se conservan tablas Síncrono y Asíncrono periodo por periodo, más estado B1..B20.</t>
  </si>
  <si>
    <t>Seguridad de render</t>
  </si>
  <si>
    <t>Si hubiera un error, la pestaña mostrará el mensaje técnico en vez de quedar vacía.</t>
  </si>
  <si>
    <t>Velocidad</t>
  </si>
  <si>
    <t>Se quitó la tabla de agosto año a año y B1..B20 queda desactivado por default.</t>
  </si>
  <si>
    <t>Caché</t>
  </si>
  <si>
    <t>Se corrigió el caché para que los campos calculados no obliguen a recalcular todo varias veces.</t>
  </si>
  <si>
    <t>Solver</t>
  </si>
  <si>
    <t>Se redujeron iteraciones del crecimiento requerido para acelerar el render.</t>
  </si>
  <si>
    <t>Comparativo</t>
  </si>
  <si>
    <t>Se agregó una tabla con referencia: 100% Síncrono, crecimiento anual 3%, sin ajuste/meta.</t>
  </si>
  <si>
    <t>Si Síncrono y Asíncrono tienen el mismo NI repartido y las mismas tasas, sus RI nuevos pueden converger.</t>
  </si>
  <si>
    <t>Diferencia esperada</t>
  </si>
  <si>
    <t>Síncrono debe diferir por el stock vivo previo y por la MT tetra histórica mientras sigan existiendo.</t>
  </si>
  <si>
    <t>B1..B20</t>
  </si>
  <si>
    <t>Activa la vista solo cuando quieras validar el avance de cohortes por bimestre.</t>
  </si>
  <si>
    <t>Vista ligera</t>
  </si>
  <si>
    <t>Se quitaron las tablas inferiores de detalle anual, detalle periodo, B1..B20 y validación de insumos.</t>
  </si>
  <si>
    <t>Tablas conservadas</t>
  </si>
  <si>
    <t>Se conservan Lectura 2036, Escenario 100% Síncrono, Comparativo, Síncrono periodo por periodo, Asíncrono periodo por periodo y Tasas.</t>
  </si>
  <si>
    <t>Escenario sin repartir</t>
  </si>
  <si>
    <t>Calcula 100% Síncrono con crecimiento configurable y resta su MT 2036 contra 43,000.</t>
  </si>
  <si>
    <t>Aporte Asíncrono requerido</t>
  </si>
  <si>
    <t>Es 43,000 menos la MT 2036 del escenario 100% Síncrono.</t>
  </si>
  <si>
    <t>Si Síncrono y Asíncrono reciben el mismo NI y usan las mismas tasas, pueden converger a montos parecidos.</t>
  </si>
  <si>
    <t>Diferencia contra 100% Síncrono</t>
  </si>
  <si>
    <t>El comparativo muestra 2029 y 2036 del escenario actual vs el escenario sin repartir.</t>
  </si>
  <si>
    <t>Parámetro nuevo</t>
  </si>
  <si>
    <t>crecimiento_escenario_100_sincrono, default 3%.</t>
  </si>
  <si>
    <t>Desglose 100% Síncrono</t>
  </si>
  <si>
    <t>Se agregó tabla Agosto año a año para el escenario sin repartir NI.</t>
  </si>
  <si>
    <t>Periodo por periodo 100% Síncrono</t>
  </si>
  <si>
    <t>Se agregó tabla completa por periodo para ver NI, RI y MT de Posgrado y Ejecutivo.</t>
  </si>
  <si>
    <t>Cómo llegar a 31,700</t>
  </si>
  <si>
    <t>La tabla de Agosto muestra la trayectoria hasta Agosto 2036 y el total resultante.</t>
  </si>
  <si>
    <t>En Agosto 2036 se muestra 43,000 menos la MT del escenario 100% Síncrono.</t>
  </si>
  <si>
    <t>Escenario con reparto</t>
  </si>
  <si>
    <t>Se conservan las tablas separadas Síncrono y Asíncrono del escenario con reparto.</t>
  </si>
  <si>
    <t>Exportación CSV</t>
  </si>
  <si>
    <t>El CSV incluye el escenario 100% Síncrono y el escenario con reparto.</t>
  </si>
  <si>
    <t>Reparto anual</t>
  </si>
  <si>
    <t>Se agregó control año por año de % NI Síncrono para Posgrado y Ejecutivo desde 2029 hasta 2045.</t>
  </si>
  <si>
    <t>Complemento Asíncrono</t>
  </si>
  <si>
    <t>Asíncrono se calcula como 100% menos el % Síncrono de cada año.</t>
  </si>
  <si>
    <t>Aplicación</t>
  </si>
  <si>
    <t>El porcentaje de cada año académico afecta todos sus periodos desde Agosto.</t>
  </si>
  <si>
    <t>MT Síncrona viva</t>
  </si>
  <si>
    <t>Si en 2036 pones 0% Síncrono, no entran nuevos NI Síncronos, pero siguen RI vivos de cohortes anteriores y MT tetra histórica.</t>
  </si>
  <si>
    <t>Escenario 100% Síncrono</t>
  </si>
  <si>
    <t>Se mantiene el desglose de escenario sin repartir para comparar contra el escenario con reparto anual.</t>
  </si>
  <si>
    <t>Exportación</t>
  </si>
  <si>
    <t>El CSV incluye una sección reparto_anual_ni con los porcentajes usados por año.</t>
  </si>
  <si>
    <t>Sin meta 2029</t>
  </si>
  <si>
    <t>Se quitó la meta 30,000 de 2029 y el ajuste automático asociado.</t>
  </si>
  <si>
    <t>Sin escenario 100% Síncrono</t>
  </si>
  <si>
    <t>Se quitó el escenario alterno 100% Síncrono y sus tablas.</t>
  </si>
  <si>
    <t>Distribución 2027-2035</t>
  </si>
  <si>
    <t>La distribución NI por modalidad solo se captura de 2027 a 2035; default 100% Síncrono.</t>
  </si>
  <si>
    <t>Crecimiento por nivel</t>
  </si>
  <si>
    <t>Los crecimientos manuales están en bloques Posgrado y Ejecutivo.</t>
  </si>
  <si>
    <t>El modo Resolver meta calcula el crecimiento anual requerido para llegar a la meta en el año elegido.</t>
  </si>
  <si>
    <t>Año meta</t>
  </si>
  <si>
    <t>Se agregó control para elegir el año de la meta MT.</t>
  </si>
  <si>
    <t>Transferencia S→A</t>
  </si>
  <si>
    <t>Se agregó control para reclasificar MT Síncrona viva como Asíncrona desde un año; la MT total no cambia.</t>
  </si>
  <si>
    <t>Tablas por nivel</t>
  </si>
  <si>
    <t>Las tablas inferiores ahora son Posgrado y Ejecutivo, con columnas Síncrono/Asíncrono NI, RI y MT.</t>
  </si>
  <si>
    <t>Tasas</t>
  </si>
  <si>
    <t>Las tasas se muestran en dos tablas lado a lado: Posgrado y Ejecutivo.</t>
  </si>
  <si>
    <t>anio_inicio</t>
  </si>
  <si>
    <t>anio_fin</t>
  </si>
  <si>
    <t>bloque</t>
  </si>
  <si>
    <t>crecimiento_anual</t>
  </si>
  <si>
    <t>2030–2034</t>
  </si>
  <si>
    <t>2035–2040</t>
  </si>
  <si>
    <t>2041–2043</t>
  </si>
  <si>
    <t>2044–2045</t>
  </si>
  <si>
    <t>mt_tetra_inicial</t>
  </si>
  <si>
    <t>egresos_anuales_tetra</t>
  </si>
  <si>
    <t>periodos_salida</t>
  </si>
  <si>
    <t>Agosto, Enero, Junio</t>
  </si>
  <si>
    <t>Suma a MT Síncrona mientras exista; no es RI bimestral.</t>
  </si>
  <si>
    <t>Parámetros limpios</t>
  </si>
  <si>
    <t>Se quitó meta Agosto 2029, % NI Síncrono default y escenario 100% Síncrono de la UI.</t>
  </si>
  <si>
    <t>Meta</t>
  </si>
  <si>
    <t>Ahora se captura MT objetivo y año objetivo.</t>
  </si>
  <si>
    <t>Se puede elegir el año en que la MT Síncrona viva pasa a Asíncrona. La MT total no cambia.</t>
  </si>
  <si>
    <t>Crecimiento por bloques</t>
  </si>
  <si>
    <t>Se agregó bloque por nivel: 2030–2034, 2035–2040, 2041–2043, 2044–2045.</t>
  </si>
  <si>
    <t>Distribución NI</t>
  </si>
  <si>
    <t>Solo 2027–2035. Default 100% Síncrono y 0% Asíncrono.</t>
  </si>
  <si>
    <t>Tetra histórica</t>
  </si>
  <si>
    <t>Sale de parámetros/crecimiento y queda en sección propia. Suma a MT mientras exista.</t>
  </si>
  <si>
    <t>Posgrado y Ejecutivo muestran una fila de Síncrono y otra de Asíncrono por periodo.</t>
  </si>
  <si>
    <t>Columnas de tabla</t>
  </si>
  <si>
    <t>Año calendario, año académico, periodo, modalidad, NI, RI, MT tetra, MT transferida y MT.</t>
  </si>
  <si>
    <t>Se muestran en dos bloques lado a lado: Posgrado y Ejecutivo.</t>
  </si>
  <si>
    <t>El CSV incluye configuración, crecimientos por bloque, distribución anual y desglose por nivel/periodo/modalidad.</t>
  </si>
  <si>
    <t>Cambio pequeño</t>
  </si>
  <si>
    <t>Se quitó de Parámetros y crecimiento el control Meta MT Agosto 2029 / 30,000.</t>
  </si>
  <si>
    <t>Parámetros vigentes</t>
  </si>
  <si>
    <t>Solo quedan MT objetivo, año objetivo, transferencia S→A y crecimiento por bloques.</t>
  </si>
  <si>
    <t>mt_pmp</t>
  </si>
  <si>
    <t>Total</t>
  </si>
  <si>
    <t>Captura la MT PMP de Agosto 2026 para Posgrado.</t>
  </si>
  <si>
    <t>Captura la MT PMP de Agosto 2026 para Ejecutivo.</t>
  </si>
  <si>
    <t>Captura la MT PMP de Agosto 2027 para Posgrado.</t>
  </si>
  <si>
    <t>Captura la MT PMP de Agosto 2027 para Ejecutivo.</t>
  </si>
  <si>
    <t>Nota</t>
  </si>
  <si>
    <t>El caso base lee la tabla principal A:F. Este bloque es solo referencia visual.</t>
  </si>
  <si>
    <t>Captura la MT PMP de Agosto 2028 para Posgrado.</t>
  </si>
  <si>
    <t>Captura la MT PMP de Agosto 2028 para Ejecutivo.</t>
  </si>
  <si>
    <t>Captura la MT PMP de Agosto 2029 para Posgrado.</t>
  </si>
  <si>
    <t>Captura la MT PMP de Agosto 2029 para Ejecutivo.</t>
  </si>
  <si>
    <t>Fallback: si no capturas Posgrado/Ejecutivo, el caso base usa 30,000 total en Agosto 2029.</t>
  </si>
  <si>
    <t>Captura aquí la MT PMP oficial. Se usa hasta 2029. Modalidad puede ser Total, Síncrono o Asíncrono.</t>
  </si>
  <si>
    <t>PMP/base Agosto 2027. Captura MT total o por nivel si la tienes.</t>
  </si>
  <si>
    <t>PMP/base Agosto 2028. Captura MT total o por nivel si la tienes.</t>
  </si>
  <si>
    <t>PMP/base Agosto 2029 usado por el caso base fijo.</t>
  </si>
  <si>
    <t>MT bimestral</t>
  </si>
  <si>
    <t>La tabla Comparación vs 2026 ahora muestra MT bimestral = MT total - MT tetra histórica.</t>
  </si>
  <si>
    <t>PMP MT</t>
  </si>
  <si>
    <t>Captura la MT oficial en la hoja pmp_mt_pos_ejec.</t>
  </si>
  <si>
    <t>Columnas PMP</t>
  </si>
  <si>
    <t>anio_calendario, periodo, nivel, modalidad, mt_pmp.</t>
  </si>
  <si>
    <t>Uso PMP</t>
  </si>
  <si>
    <t>Si hay valores, el simulador los usa como MT visible hasta 2029.</t>
  </si>
  <si>
    <t>Crecimiento</t>
  </si>
  <si>
    <t>El crecimiento manual o calculado empieza desde Enero 2030 por año calendario.</t>
  </si>
  <si>
    <t>Modo manual</t>
  </si>
  <si>
    <t>Debajo de Comparación vs 2026 se muestra si la meta se alcanza y en qué periodo/año.</t>
  </si>
  <si>
    <t>PMP en tablas</t>
  </si>
  <si>
    <t>Las tablas por nivel muestran columna PMP = Sí cuando esa fila usa MT capturada.</t>
  </si>
  <si>
    <t>Campo</t>
  </si>
  <si>
    <t>Valor</t>
  </si>
  <si>
    <t>Caso</t>
  </si>
  <si>
    <t>Síncrono 100% + 3% anual</t>
  </si>
  <si>
    <t>Referencia fija del simulador.</t>
  </si>
  <si>
    <t>2029 a 2045</t>
  </si>
  <si>
    <t>La tabla calculada se descarga desde el HTML.</t>
  </si>
  <si>
    <t>Crecimiento Posgrado</t>
  </si>
  <si>
    <t>Fijo para el caso base.</t>
  </si>
  <si>
    <t>Crecimiento Ejecutivo</t>
  </si>
  <si>
    <t>Distribución modalidad</t>
  </si>
  <si>
    <t>100% Síncrono / 0% Asíncrono</t>
  </si>
  <si>
    <t>No usa los controles del escenario editable.</t>
  </si>
  <si>
    <t>No reclasifica matrícula.</t>
  </si>
  <si>
    <t>Meta referencia</t>
  </si>
  <si>
    <t>43,000</t>
  </si>
  <si>
    <t>Diferencia contra esta meta.</t>
  </si>
  <si>
    <t>Tasas reales</t>
  </si>
  <si>
    <t>Edita las tasas aquí y vuelve a cargar el Excel en el HTML.</t>
  </si>
  <si>
    <t>Dónde capturar</t>
  </si>
  <si>
    <t>Qué cambiar</t>
  </si>
  <si>
    <t>Columna de tasa</t>
  </si>
  <si>
    <t>Una fila por nivel, modalidad y avance B origen → B destino.</t>
  </si>
  <si>
    <t>Posgrado o Ejecutivo</t>
  </si>
  <si>
    <t>Conserva el texto del nivel.</t>
  </si>
  <si>
    <t>Síncrono o Asíncrono</t>
  </si>
  <si>
    <t>Puedes tener tasas distintas por modalidad.</t>
  </si>
  <si>
    <t>Bimestre origen</t>
  </si>
  <si>
    <t>B1, B2, B3...</t>
  </si>
  <si>
    <t>Representa de qué bimestre avanza la cohorte.</t>
  </si>
  <si>
    <t>Tasa</t>
  </si>
  <si>
    <t>Ej. 85% o 0.85</t>
  </si>
  <si>
    <t>El simulador acepta porcentajes o decimales.</t>
  </si>
  <si>
    <t>Después de editar</t>
  </si>
  <si>
    <t>HTML</t>
  </si>
  <si>
    <t>Vuelve a cargar el Excel</t>
  </si>
  <si>
    <t>El simulador recalcula con las tasas nuevas.</t>
  </si>
  <si>
    <t>Caso base fijo</t>
  </si>
  <si>
    <t>Se agregó referencia fija: 100% Síncrono, crecimiento 3% anual, 2029-2045.</t>
  </si>
  <si>
    <t>Diferencia 43,000</t>
  </si>
  <si>
    <t>El caso base calcula diferencia anual contra 43,000.</t>
  </si>
  <si>
    <t>Exportación Excel</t>
  </si>
  <si>
    <t>El HTML tiene botón para descargar un Excel con caso base y escenario actual.</t>
  </si>
  <si>
    <t>Se capturan en tasas_ri_bimestre_pos_ejec.</t>
  </si>
  <si>
    <t>Escenario editable</t>
  </si>
  <si>
    <t>Los parámetros editables siguen funcionando aparte del caso base fijo.</t>
  </si>
  <si>
    <t>PMP hasta 2029</t>
  </si>
  <si>
    <t>La hoja pmp_mt_pos_ejec sigue siendo el lugar para capturar MT PMP oficial hasta 2029.</t>
  </si>
  <si>
    <t>Recalcular</t>
  </si>
  <si>
    <t>Después de modificar el Excel, cárgalo de nuevo en el HTML.</t>
  </si>
  <si>
    <t>Corrección error</t>
  </si>
  <si>
    <t>Se reemplazó la referencia inválida BASE_CASE_END_YEAR_V129 por lógica propia v136.</t>
  </si>
  <si>
    <t>Caso base visible</t>
  </si>
  <si>
    <t>La tabla Caso base fijo muestra 2027 a 2045.</t>
  </si>
  <si>
    <t>El caso base toma PMP/base hasta 2029; Agosto 2029 queda en 30,000 si no hay otro valor.</t>
  </si>
  <si>
    <t>Proyección</t>
  </si>
  <si>
    <t>Desde Enero 2030 usa tasas_ri_bimestre_pos_ejec y crecimiento fijo 3%.</t>
  </si>
  <si>
    <t>Excel descargable</t>
  </si>
  <si>
    <t>El botón descarga un .xlsx con Caso_base_3pct y Caso_base_Ene2030.</t>
  </si>
  <si>
    <t>Dónde editar PMP</t>
  </si>
  <si>
    <t>Hoja pmp_mt_pos_ejec, columnas A:F, campo mt_pmp.</t>
  </si>
  <si>
    <t>Dónde editar tasas</t>
  </si>
  <si>
    <t>Hoja tasas_ri_bimestre_pos_ejec, columna tasa.</t>
  </si>
  <si>
    <t>Captura aquí la MT PMP/base de agosto 2026.</t>
  </si>
  <si>
    <t>Captura aquí la MT PMP/base de agosto 2027.</t>
  </si>
  <si>
    <t>Captura aquí la MT PMP/base de agosto 2028.</t>
  </si>
  <si>
    <t>Ajuste solicitado</t>
  </si>
  <si>
    <t>El caso base lee 2026-2029 desde la hoja mt_pos_ejec.</t>
  </si>
  <si>
    <t>Agosto 2029</t>
  </si>
  <si>
    <t>Si mt_pos_ejec no trae otro valor, se usa 30,000 MT.</t>
  </si>
  <si>
    <t>Desde Enero 2030 sigue con tasas_ri_bimestre_pos_ejec y crecimiento 3%.</t>
  </si>
  <si>
    <t>Botón Excel</t>
  </si>
  <si>
    <t>Se conserva la exportación de Excel del caso base y escenario editable.</t>
  </si>
  <si>
    <t>Dónde editar MT base</t>
  </si>
  <si>
    <t>Hoja mt_pos_ejec, columna MT.</t>
  </si>
  <si>
    <t>Captura NI, RI y MT Internacional para 2026. Hasta 2036 se lee como base.</t>
  </si>
  <si>
    <t>Captura NI, RI y MT Internacional para 2027. Hasta 2036 se lee como base.</t>
  </si>
  <si>
    <t>Captura NI, RI y MT Internacional para 2028. Hasta 2036 se lee como base.</t>
  </si>
  <si>
    <t>Captura NI, RI y MT Internacional para 2029. Hasta 2036 se lee como base.</t>
  </si>
  <si>
    <t>Captura NI, RI y MT Internacional para 2030. Hasta 2036 se lee como base.</t>
  </si>
  <si>
    <t>Captura NI, RI y MT Internacional para 2031. Hasta 2036 se lee como base.</t>
  </si>
  <si>
    <t>Captura NI, RI y MT Internacional para 2032. Hasta 2036 se lee como base.</t>
  </si>
  <si>
    <t>Captura NI, RI y MT Internacional para 2033. Hasta 2036 se lee como base.</t>
  </si>
  <si>
    <t>Captura NI, RI y MT Internacional para 2034. Hasta 2036 se lee como base.</t>
  </si>
  <si>
    <t>Captura NI, RI y MT Internacional para 2035. Hasta 2036 se lee como base.</t>
  </si>
  <si>
    <t>Captura NI, RI y MT Internacional para 2036. Hasta 2036 se lee como base.</t>
  </si>
  <si>
    <t>crecimiento_NI</t>
  </si>
  <si>
    <t>crecimiento_RI</t>
  </si>
  <si>
    <t>crecimiento_MT</t>
  </si>
  <si>
    <t>Default 3%. Puedes modificarlo en Excel o en el simulador.</t>
  </si>
  <si>
    <t>Base usada</t>
  </si>
  <si>
    <t>Versión v137.</t>
  </si>
  <si>
    <t>Caso base</t>
  </si>
  <si>
    <t>La tabla lee PMP 2026-2029 desde pmp_mt_pos_ejec y proyecta desde Enero 2030 con tasas + 3%.</t>
  </si>
  <si>
    <t>Caso base visual</t>
  </si>
  <si>
    <t>Se quitó Fuente, se quitó MT base leída y se quitó el detalle desde Enero 2030.</t>
  </si>
  <si>
    <t>Dif vs 43,000</t>
  </si>
  <si>
    <t>Queda en blanco desde 2036 en adelante.</t>
  </si>
  <si>
    <t>PMP por nivel</t>
  </si>
  <si>
    <t>Captura en pmp_mt_pos_ejec la MT PMP de Agosto 2026-2029 por Posgrado y Ejecutivo.</t>
  </si>
  <si>
    <t>Desglose por nivel</t>
  </si>
  <si>
    <t>Las tablas Posgrado/Ejecutivo periodo por periodo usan pmp_mt_pos_ejec para igualar PMP hasta 2029 cuando esté capturado.</t>
  </si>
  <si>
    <t>Internacional base</t>
  </si>
  <si>
    <t>Captura NI, RI y MT hasta 2036 en internacional_base.</t>
  </si>
  <si>
    <t>Internacional crecimiento</t>
  </si>
  <si>
    <t>2037-2045 usa internacional_crecimiento con default 3% editable.</t>
  </si>
  <si>
    <t>Suma Internacional</t>
  </si>
  <si>
    <t>Checkbox en Posgrado/Ejecutivo e Internacional para incluir o excluir Internacional en MT total institución 2045.</t>
  </si>
  <si>
    <t>Descarga Excel</t>
  </si>
  <si>
    <t>El botón Descarga Excel Posgrado/Ejecutivo incluye caso base, escenario editable e Internacional.</t>
  </si>
  <si>
    <t>Tasas RI</t>
  </si>
  <si>
    <t>Se conservan en tasas_ri_bimestre_pos_ejec.</t>
  </si>
  <si>
    <t>Manual por bloques</t>
  </si>
  <si>
    <t>pct_ni_asincrono_posgrado</t>
  </si>
  <si>
    <t>pct_ni_asincrono_ejecutivo</t>
  </si>
  <si>
    <t>100%</t>
  </si>
  <si>
    <t>Base/PMP: se conserva Síncrono salvo capturas directas en NI.</t>
  </si>
  <si>
    <t>Default v150: nuevos NI proyectados hacia Asíncrono.</t>
  </si>
  <si>
    <t>RI_Agosto_necesario</t>
  </si>
  <si>
    <t>Hoja sustituida</t>
  </si>
  <si>
    <t>Usar internacional_agosto</t>
  </si>
  <si>
    <t>Motivo</t>
  </si>
  <si>
    <t>Ya no se repiten los 5 bimestres; solo se conserva Agosto.</t>
  </si>
  <si>
    <t>NI_Agosto = NI_anual / 5; RI_Agosto_necesario = MT_objetivo - NI_Agosto.</t>
  </si>
  <si>
    <t>v138 + Excel cargado por el usuario modelo_simulador(9).xlsx.</t>
  </si>
  <si>
    <t>Internacional anual</t>
  </si>
  <si>
    <t>Se toman NI y MT de internacional_base.</t>
  </si>
  <si>
    <t>RI necesario anual</t>
  </si>
  <si>
    <t>En internacional_base se calcula RI_necesario = MT - NI.</t>
  </si>
  <si>
    <t>Bimestres</t>
  </si>
  <si>
    <t>Nueva hoja internacional_bimestres: NI anual se divide entre 5 bimestres.</t>
  </si>
  <si>
    <t>RI bimestral</t>
  </si>
  <si>
    <t>RI_necesario_bimestre = MT objetivo anual - NI_bimestre.</t>
  </si>
  <si>
    <t>Descarga</t>
  </si>
  <si>
    <t>El botón del simulador exporta Internacional_anual e Internacional_bimestres.</t>
  </si>
  <si>
    <t>NI_anual</t>
  </si>
  <si>
    <t>MT_objetivo</t>
  </si>
  <si>
    <t>NI_Agosto</t>
  </si>
  <si>
    <t>MT_Agosto</t>
  </si>
  <si>
    <t>concepto</t>
  </si>
  <si>
    <t>nota</t>
  </si>
  <si>
    <t>color</t>
  </si>
  <si>
    <t>Ver tabla Caso base del simulador</t>
  </si>
  <si>
    <t>Se marca en amarillo en pantalla.</t>
  </si>
  <si>
    <t>Amarillo</t>
  </si>
  <si>
    <t>MT Total Ago</t>
  </si>
  <si>
    <t>Se calcula en el simulador / Excel descargado</t>
  </si>
  <si>
    <t>Usar para estimar gap contra 43,000.</t>
  </si>
  <si>
    <t>Asíncrono requerido para 43,000</t>
  </si>
  <si>
    <t>43,000 - MT Total Ago</t>
  </si>
  <si>
    <t>En el Excel descargado queda como columna.</t>
  </si>
  <si>
    <t>Gap vs 43,000</t>
  </si>
  <si>
    <t>En blanco</t>
  </si>
  <si>
    <t>Desde 2037 ya no se muestra ese cálculo.</t>
  </si>
  <si>
    <t>campo</t>
  </si>
  <si>
    <t>valor_default</t>
  </si>
  <si>
    <t>donde_se_edita</t>
  </si>
  <si>
    <t>tipo_proyecto</t>
  </si>
  <si>
    <t>Espacio Connect</t>
  </si>
  <si>
    <t>Nuevo tipo de proyecto de Inversión.</t>
  </si>
  <si>
    <t>Pestaña Inversión</t>
  </si>
  <si>
    <t>Aplica a Campus en línea.</t>
  </si>
  <si>
    <t>Campus en línea</t>
  </si>
  <si>
    <t>Campus impactado por defecto.</t>
  </si>
  <si>
    <t>Se usa para identificar el proyecto.</t>
  </si>
  <si>
    <t>Posgrado + Ejecutivo</t>
  </si>
  <si>
    <t>Puede ser Posgrado, Ejecutivo o Posgrado + Ejecutivo.</t>
  </si>
  <si>
    <t>Si es Posgrado + Ejecutivo, se reparte 50/50.</t>
  </si>
  <si>
    <t>Editable por año</t>
  </si>
  <si>
    <t>NI aportado por el proyecto.</t>
  </si>
  <si>
    <t>Tabla NI proyecto</t>
  </si>
  <si>
    <t>Se suma a la pestaña Posgrado/Ejecutivo.</t>
  </si>
  <si>
    <t>Internacional</t>
  </si>
  <si>
    <t>Se eliminó la repetición por 5 bimestres; solo queda Agosto.</t>
  </si>
  <si>
    <t>NI Internacional</t>
  </si>
  <si>
    <t>NI_Agosto = NI anual / 5.</t>
  </si>
  <si>
    <t>RI Internacional</t>
  </si>
  <si>
    <t>RI_Agosto_necesario = MT objetivo - NI_Agosto.</t>
  </si>
  <si>
    <t>Gap vs 43,000 se conserva hasta 2036; desde 2037 queda en blanco.</t>
  </si>
  <si>
    <t>Año 2036</t>
  </si>
  <si>
    <t>La fila 2036 queda resaltada en amarillo en la tabla del simulador y documentada en caso_base_meta_2036.</t>
  </si>
  <si>
    <t>Nuevo tipo de proyecto en Inversión, aplicado a Campus en línea.</t>
  </si>
  <si>
    <t>Posgrado/Ejecutivo</t>
  </si>
  <si>
    <t>NI de Espacio Connect se suma a la simulación de Posgrado/Ejecutivo.</t>
  </si>
  <si>
    <t>Incluye Caso_base_3pct, Internacional_Agosto y Espacio_Connect.</t>
  </si>
  <si>
    <t>No se detectaron errores de fórmula en el workbook.</t>
  </si>
  <si>
    <t>Base</t>
  </si>
  <si>
    <t>v140 con corrección menor de workbook.</t>
  </si>
  <si>
    <t>Corrección</t>
  </si>
  <si>
    <t>Se quitó una fórmula textual que Excel interpretaba como fórmula en caso_base_meta_2036.</t>
  </si>
  <si>
    <t>Se volvió a escanear el workbook sin errores de fórmula.</t>
  </si>
  <si>
    <t>Simulador</t>
  </si>
  <si>
    <t>Se conserva la lógica de Internacional Agosto y Espacio Connect.</t>
  </si>
  <si>
    <t>RI_bimestral_Agosto</t>
  </si>
  <si>
    <t>MT_tetra_historica</t>
  </si>
  <si>
    <t>gap_vs_43000</t>
  </si>
  <si>
    <t>asincrono_requerido_para_43000</t>
  </si>
  <si>
    <t>marca_2036</t>
  </si>
  <si>
    <t>Año meta 2036</t>
  </si>
  <si>
    <t>43,000 - MT Total</t>
  </si>
  <si>
    <t>Gap positivo</t>
  </si>
  <si>
    <t>Gap en blanco desde 2037</t>
  </si>
  <si>
    <t>La tabla del simulador ahora muestra Posgrado, Ejecutivo y Total como filas.</t>
  </si>
  <si>
    <t>Columnas de caso base</t>
  </si>
  <si>
    <t>Incluye NI Agosto, RI bimestral Agosto, MT tetra histórica y MT Agosto por nivel.</t>
  </si>
  <si>
    <t>Se conserva resaltado en amarillo y con gap/asíncrono requerido en la fila Total.</t>
  </si>
  <si>
    <t>2037 en adelante</t>
  </si>
  <si>
    <t>Gap vs 43,000 queda en blanco.</t>
  </si>
  <si>
    <t>Posgrado y Ejecutivo ahora muestran solo Agosto, hasta Agosto 2045.</t>
  </si>
  <si>
    <t>Cálculo interno</t>
  </si>
  <si>
    <t>Los bimestres intermedios se siguen calculando internamente.</t>
  </si>
  <si>
    <t>Exporta Caso_base_por_nivel, Posgrado_Agosto y Ejecutivo_Agosto.</t>
  </si>
  <si>
    <t>RI_bimestral</t>
  </si>
  <si>
    <t>Captura aquí el RI bimestral total. No es stock por B2/B3; es RI total del periodo.</t>
  </si>
  <si>
    <t>MT_PMP</t>
  </si>
  <si>
    <t>MT_tetra_calculada</t>
  </si>
  <si>
    <t>validacion</t>
  </si>
  <si>
    <t>Qué capturar</t>
  </si>
  <si>
    <t>Dónde capturarlo</t>
  </si>
  <si>
    <t>NI bimestral 2026-2029</t>
  </si>
  <si>
    <t>Hoja ni_bimestral_pos_ejec, columna NI.</t>
  </si>
  <si>
    <t>RI bimestral 2026-2029</t>
  </si>
  <si>
    <t>Hoja ri_bimestral_pos_ejec, columna RI_bimestral.</t>
  </si>
  <si>
    <t>MT PMP 2026-2029</t>
  </si>
  <si>
    <t>Hoja pmp_mt_pos_ejec, columna mt_pmp.</t>
  </si>
  <si>
    <t>Tetra faltante</t>
  </si>
  <si>
    <t>No la captures manualmente si no la tienes; se calcula en calculo_tetra_pmp_pos_ejec.</t>
  </si>
  <si>
    <t>Fórmula</t>
  </si>
  <si>
    <t>MT_tetra_calculada = MT_PMP - NI - RI_bimestral.</t>
  </si>
  <si>
    <t>En calculo_tetra_pmp_pos_ejec, la columna validacion debe decir OK cuando haya PMP.</t>
  </si>
  <si>
    <t>Para que cruce bien, usa el mismo anio_calendario, periodo, nivel y modalidad en las tres hojas.</t>
  </si>
  <si>
    <t>Puedes usar Síncrono / Asíncrono. Si solo tienes total por nivel, pon modalidad Total en pmp_mt_pos_ejec y dime para ajustar el simulador después.</t>
  </si>
  <si>
    <t>Modelo v142.</t>
  </si>
  <si>
    <t>Nueva hoja</t>
  </si>
  <si>
    <t>ri_bimestral_pos_ejec para capturar RI bimestral total 2026-2029.</t>
  </si>
  <si>
    <t>calculo_tetra_pmp_pos_ejec para calcular tetra faltante contra PMP.</t>
  </si>
  <si>
    <t>Cálculo</t>
  </si>
  <si>
    <t>Instrucciones</t>
  </si>
  <si>
    <t>Ver hoja INSTRUCCIONES_captura_PMP_RI.</t>
  </si>
  <si>
    <t>Uso</t>
  </si>
  <si>
    <t>Este es el Excel recomendado para que captures NI, RI bimestral y PMP.</t>
  </si>
  <si>
    <t>Corrección NI</t>
  </si>
  <si>
    <t>El simulador v145 lee NI desde ni_bimestral_pos_ejec.</t>
  </si>
  <si>
    <t>Llave de lectura</t>
  </si>
  <si>
    <t>anio_calendario + periodo + nivel + modalidad.</t>
  </si>
  <si>
    <t>Ya no se usa como llave principal para los NI del caso base 2026-2029.</t>
  </si>
  <si>
    <t>La tabla del caso base usa esos NI para 2026-2029.</t>
  </si>
  <si>
    <t>Proyección 2030+</t>
  </si>
  <si>
    <t>Desde Enero 2030 se conserva tasas + crecimiento 3%.</t>
  </si>
  <si>
    <t>Se agrega hoja NI_bimestral_fuente en la exportación del simulador.</t>
  </si>
  <si>
    <t>Cálculos</t>
  </si>
  <si>
    <t>No se cambiaron tasas, Internacional ni Espacio Connect.</t>
  </si>
  <si>
    <t>Se unificó la fórmula de MT total institucional 2045.</t>
  </si>
  <si>
    <t>La tarjeta de Campus usa la misma suma que Posgrado/Ejecutivo.</t>
  </si>
  <si>
    <t>La tarjeta MT Total institución 2045 usa la misma suma que Campus.</t>
  </si>
  <si>
    <t>Preparatoria + Profesional + Posgrado/Ejecutivo del escenario + Internacional solo si el checkbox está activo.</t>
  </si>
  <si>
    <t>Se agregó hoja Resumen_institucional en la descarga de Excel del simulador.</t>
  </si>
  <si>
    <t>Sin cambios</t>
  </si>
  <si>
    <t>No se cambiaron tasas, NI, RI, PMP, Internacional ni Espacio Connect.</t>
  </si>
  <si>
    <t>Default Posgrado/Ejecutivo</t>
  </si>
  <si>
    <t>Se cambió a Manual por bloques para no forzar 43,000.</t>
  </si>
  <si>
    <t>El default queda con el caso base/manual actual hacia 2045.</t>
  </si>
  <si>
    <t>Sigue disponible; si el usuario lo elige manualmente, entonces sí fuerza la meta.</t>
  </si>
  <si>
    <t>Posgrado y Ejecutivo muestran solo Agosto, completas hasta Agosto 2045.</t>
  </si>
  <si>
    <t>Bimestres intermedios</t>
  </si>
  <si>
    <t>Se siguen calculando internamente; solo se ocultan en la vista.</t>
  </si>
  <si>
    <t>El Excel descargado exporta Posgrado_Agosto_2045 y Ejecutivo_Agosto_2045.</t>
  </si>
  <si>
    <t>No se cambiaron NI, RI, PMP, tasas, Internacional ni Espacio Connect.</t>
  </si>
  <si>
    <t>Corrección principal</t>
  </si>
  <si>
    <t>El escenario editable ya no manda ceros a NI Asíncrono desde 2036.</t>
  </si>
  <si>
    <t>NI Asíncrono</t>
  </si>
  <si>
    <t>Desde 2030 crece desde los NI Asíncronos capturados en ni_bimestral_pos_ejec.</t>
  </si>
  <si>
    <t>NI Síncrono</t>
  </si>
  <si>
    <t>Si el reparto es 100% Asíncrono, Síncrono deja de recibir NI y sus RI bajan con tasas.</t>
  </si>
  <si>
    <t>RI por modalidad</t>
  </si>
  <si>
    <t>RI Síncrono y RI Asíncrono se calculan por cohortes separadas y tasas de cada modalidad.</t>
  </si>
  <si>
    <t>RI capturado</t>
  </si>
  <si>
    <t>Si ri_bimestral_pos_ejec tiene valores 2026-2029, se usan para ajustar el stock interno.</t>
  </si>
  <si>
    <t>Reparto default</t>
  </si>
  <si>
    <t>reparto_ni_anual_pos_ejec queda 100% Asíncrono de 2030 a 2045.</t>
  </si>
  <si>
    <t>PMP</t>
  </si>
  <si>
    <t>pmp_mt_pos_ejec se usa para cuadrar 2026-2029 con MT tetra histórica.</t>
  </si>
  <si>
    <t>Vista</t>
  </si>
  <si>
    <t>Tablas Posgrado/Ejecutivo muestran Agosto 2026-2045 con NI/RI Síncrono y Asíncrono.</t>
  </si>
  <si>
    <t>Se conserva Internacional, Espacio Connect y el botón de Excel.</t>
  </si>
  <si>
    <t>Se tomó como base la v150, no la v151.</t>
  </si>
  <si>
    <t>NI Asíncrono 2030+</t>
  </si>
  <si>
    <t>Crece desde su propia base asíncrona por periodo, por ejemplo de ~245 a ~267 si la tasa así lo da.</t>
  </si>
  <si>
    <t>No cambio a total</t>
  </si>
  <si>
    <t>No se pasa el NI total síncrono completo a Asíncrono.</t>
  </si>
  <si>
    <t>5 periodos internos</t>
  </si>
  <si>
    <t>Agosto, Octubre, Enero, Marzo y Junio alimentan los RI aunque la vista muestre solo Agosto.</t>
  </si>
  <si>
    <t>RI</t>
  </si>
  <si>
    <t>El RI se calcula por cohortes internas y tasas por modalidad.</t>
  </si>
  <si>
    <t>Histórico previo</t>
  </si>
  <si>
    <t>Los NIs anteriores a 2026 se procesan como historia interna cuando existen para alimentar RI futuro.</t>
  </si>
  <si>
    <t>Las tablas de nivel agregan NI anual de 5 periodos para validar que sí entran los periodos internos.</t>
  </si>
  <si>
    <t>La descarga del simulador agrega Detalle_periodos_interno con todos los periodos calculados.</t>
  </si>
  <si>
    <t>No se cambiaron PMP, tasas, Internacional, Espacio Connect ni el botón de Excel.</t>
  </si>
  <si>
    <t>...</t>
  </si>
  <si>
    <t>Mayo</t>
  </si>
  <si>
    <t>Septiembre</t>
  </si>
  <si>
    <t>Sincrono</t>
  </si>
  <si>
    <t>Orgánico</t>
  </si>
  <si>
    <t>iniciativa</t>
  </si>
  <si>
    <t>incluir_default</t>
  </si>
  <si>
    <t>Portafolio Incremental Ejecutivo</t>
  </si>
  <si>
    <t>Portafolio Asíncrono Ejecutivo</t>
  </si>
  <si>
    <t>Nuevos Campus Connect (Reforzar)</t>
  </si>
  <si>
    <t>Nuevos Campus Connect (Estándar)</t>
  </si>
  <si>
    <t>Portafolio Incremental Posgrado</t>
  </si>
  <si>
    <t>Portafolio Asíncrono Posgrado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</si>
</sst>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57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3" fillId="23" borderId="0" xfId="0" applyFont="1" applyFill="1" applyAlignment="1">
      <alignment horizontal="center" vertical="top" wrapText="1"/>
    </xf>
    <xf numFmtId="0" fontId="3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9" fontId="0" fillId="0" borderId="0" xfId="0" applyNumberFormat="1" applyAlignment="1">
      <alignment wrapText="1"/>
    </xf>
    <xf numFmtId="3" fontId="3" fillId="24" borderId="0" xfId="0" applyNumberFormat="1" applyFont="1" applyFill="1" applyAlignment="1">
      <alignment horizontal="center" vertical="center" wrapText="1"/>
    </xf>
    <xf numFmtId="9" fontId="3" fillId="24" borderId="0" xfId="0" applyNumberFormat="1" applyFont="1" applyFill="1" applyAlignment="1">
      <alignment horizontal="center" vertical="center" wrapText="1"/>
    </xf>
    <xf numFmtId="0" fontId="3" fillId="26" borderId="0" xfId="0" applyFont="1" applyFill="1" applyAlignment="1">
      <alignment horizontal="center" wrapText="1"/>
    </xf>
    <xf numFmtId="0" fontId="3" fillId="26" borderId="0" xfId="0" applyFont="1" applyFill="1" applyAlignment="1">
      <alignment wrapText="1"/>
    </xf>
    <xf numFmtId="0" fontId="3" fillId="27" borderId="0" xfId="0" applyFont="1" applyFill="1" applyAlignment="1">
      <alignment horizontal="center" wrapText="1"/>
    </xf>
    <xf numFmtId="0" fontId="3" fillId="27" borderId="0" xfId="0" applyFont="1" applyFill="1" applyAlignment="1">
      <alignment wrapText="1"/>
    </xf>
    <xf numFmtId="0" fontId="3" fillId="28" borderId="0" xfId="0" applyFont="1" applyFill="1" applyAlignment="1">
      <alignment horizontal="center" wrapText="1"/>
    </xf>
    <xf numFmtId="0" fontId="3" fillId="29" borderId="0" xfId="0" applyFont="1" applyFill="1" applyAlignment="1">
      <alignment horizontal="center" wrapText="1"/>
    </xf>
    <xf numFmtId="0" fontId="3" fillId="30" borderId="0" xfId="0" applyFont="1" applyFill="1" applyAlignment="1">
      <alignment horizontal="center" wrapText="1"/>
    </xf>
    <xf numFmtId="0" fontId="3" fillId="31" borderId="0" xfId="0" applyFont="1" applyFill="1" applyAlignment="1">
      <alignment horizontal="center" wrapText="1"/>
    </xf>
    <xf numFmtId="0" fontId="3" fillId="32" borderId="0" xfId="0" applyFont="1" applyFill="1" applyAlignment="1">
      <alignment horizontal="center" wrapText="1"/>
    </xf>
    <xf numFmtId="0" fontId="3" fillId="33" borderId="0" xfId="0" applyFont="1" applyFill="1" applyAlignment="1">
      <alignment horizontal="center" wrapText="1"/>
    </xf>
    <xf numFmtId="0" fontId="3" fillId="34" borderId="0" xfId="0" applyFont="1" applyFill="1" applyAlignment="1">
      <alignment horizontal="center" wrapText="1"/>
    </xf>
    <xf numFmtId="0" fontId="3" fillId="35" borderId="0" xfId="0" applyFont="1" applyFill="1" applyAlignment="1">
      <alignment horizontal="center" wrapText="1"/>
    </xf>
    <xf numFmtId="0" fontId="3" fillId="36" borderId="0" xfId="0" applyFont="1" applyFill="1" applyAlignment="1">
      <alignment horizontal="center" wrapText="1"/>
    </xf>
    <xf numFmtId="0" fontId="3" fillId="37" borderId="0" xfId="0" applyFont="1" applyFill="1" applyAlignment="1">
      <alignment horizontal="center" wrapText="1"/>
    </xf>
    <xf numFmtId="0" fontId="3" fillId="38" borderId="0" xfId="0" applyFont="1" applyFill="1" applyAlignment="1">
      <alignment horizontal="center" wrapText="1"/>
    </xf>
    <xf numFmtId="3" fontId="3" fillId="38" borderId="0" xfId="0" applyNumberFormat="1" applyFont="1" applyFill="1" applyAlignment="1">
      <alignment horizontal="center" wrapText="1"/>
    </xf>
    <xf numFmtId="0" fontId="3" fillId="39" borderId="0" xfId="0" applyFont="1" applyFill="1" applyAlignment="1">
      <alignment horizontal="center" wrapText="1"/>
    </xf>
    <xf numFmtId="0" fontId="3" fillId="40" borderId="0" xfId="0" applyFont="1" applyFill="1" applyAlignment="1">
      <alignment horizontal="center" wrapText="1"/>
    </xf>
    <xf numFmtId="3" fontId="0" fillId="0" borderId="0" xfId="0" applyNumberFormat="1" applyAlignment="1">
      <alignment wrapText="1"/>
    </xf>
    <xf numFmtId="0" fontId="3" fillId="41" borderId="0" xfId="0" applyFont="1" applyFill="1" applyAlignment="1">
      <alignment horizontal="center" wrapText="1"/>
    </xf>
    <xf numFmtId="0" fontId="3" fillId="42" borderId="0" xfId="0" applyFont="1" applyFill="1" applyAlignment="1">
      <alignment horizontal="center" wrapText="1"/>
    </xf>
    <xf numFmtId="0" fontId="3" fillId="43" borderId="0" xfId="0" applyFont="1" applyFill="1" applyAlignment="1">
      <alignment horizontal="center" wrapText="1"/>
    </xf>
    <xf numFmtId="0" fontId="3" fillId="44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0" fontId="3" fillId="45" borderId="0" xfId="0" applyFont="1" applyFill="1" applyAlignment="1">
      <alignment horizontal="center" wrapText="1"/>
    </xf>
    <xf numFmtId="0" fontId="3" fillId="46" borderId="0" xfId="0" applyFont="1" applyFill="1" applyAlignment="1">
      <alignment horizontal="center" wrapText="1"/>
    </xf>
    <xf numFmtId="0" fontId="0" fillId="47" borderId="0" xfId="0" applyFill="1" applyAlignment="1">
      <alignment wrapText="1"/>
    </xf>
    <xf numFmtId="0" fontId="3" fillId="48" borderId="0" xfId="0" applyFont="1" applyFill="1" applyAlignment="1">
      <alignment horizontal="center" wrapText="1"/>
    </xf>
    <xf numFmtId="0" fontId="3" fillId="49" borderId="0" xfId="0" applyFont="1" applyFill="1" applyAlignment="1">
      <alignment horizontal="center" wrapText="1"/>
    </xf>
    <xf numFmtId="0" fontId="0" fillId="50" borderId="0" xfId="0" applyFill="1" applyAlignment="1">
      <alignment wrapText="1"/>
    </xf>
    <xf numFmtId="0" fontId="3" fillId="51" borderId="0" xfId="0" applyFont="1" applyFill="1" applyAlignment="1">
      <alignment horizontal="center" wrapText="1"/>
    </xf>
    <xf numFmtId="0" fontId="3" fillId="52" borderId="0" xfId="0" applyFont="1" applyFill="1" applyAlignment="1">
      <alignment horizontal="center" wrapText="1"/>
    </xf>
    <xf numFmtId="0" fontId="3" fillId="53" borderId="0" xfId="0" applyFont="1" applyFill="1" applyAlignment="1">
      <alignment horizontal="center" wrapText="1"/>
    </xf>
    <xf numFmtId="0" fontId="3" fillId="54" borderId="0" xfId="0" applyFont="1" applyFill="1" applyAlignment="1">
      <alignment horizontal="center" wrapText="1"/>
    </xf>
    <xf numFmtId="0" fontId="3" fillId="55" borderId="0" xfId="0" applyFont="1" applyFill="1" applyAlignment="1">
      <alignment horizontal="center" wrapText="1"/>
    </xf>
    <xf numFmtId="0" fontId="3" fillId="56" borderId="0" xfId="0" applyFont="1" applyFill="1" applyAlignment="1">
      <alignment horizontal="center" wrapText="1"/>
    </xf>
    <xf numFmtId="0" fontId="0" fillId="0" borderId="0" xfId="0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right" vertical="center" wrapText="1"/>
    </xf>
    <xf numFmtId="1" fontId="0" fillId="0" borderId="0" xfId="0" applyNumberFormat="1" applyAlignment="1">
      <alignment horizontal="right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4" fillId="2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357">
  <autoFilter ref="A4:J1357" xr:uid="{00000000-0009-0000-0100-000001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0.75" customHeight="1">
      <c r="A1" s="93" t="s">
        <v>0</v>
      </c>
      <c r="B1" s="94"/>
      <c r="C1" s="94"/>
      <c r="D1" s="94"/>
      <c r="E1" s="94"/>
      <c r="F1" s="94"/>
      <c r="G1" s="94"/>
      <c r="H1" s="94"/>
    </row>
    <row r="2" spans="1:8" ht="0.9" customHeight="1">
      <c r="A2" s="95" t="s">
        <v>1</v>
      </c>
      <c r="B2" s="94"/>
      <c r="C2" s="94"/>
      <c r="D2" s="94"/>
      <c r="E2" s="94"/>
      <c r="F2" s="94"/>
      <c r="G2" s="94"/>
      <c r="H2" s="94"/>
    </row>
    <row r="4" spans="1:8" ht="0.9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0.9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0.75" customHeight="1">
      <c r="A1" s="93" t="s">
        <v>34</v>
      </c>
      <c r="B1" s="94"/>
      <c r="C1" s="94"/>
      <c r="D1" s="94"/>
      <c r="E1" s="94"/>
      <c r="F1" s="94"/>
      <c r="G1" s="94"/>
      <c r="H1" s="94"/>
    </row>
    <row r="2" spans="1:17" ht="0.9" customHeight="1">
      <c r="A2" s="95" t="s">
        <v>35</v>
      </c>
      <c r="B2" s="94"/>
      <c r="C2" s="94"/>
      <c r="D2" s="94"/>
      <c r="E2" s="94"/>
      <c r="F2" s="94"/>
      <c r="G2" s="94"/>
      <c r="H2" s="94"/>
    </row>
    <row r="4" spans="1:17" ht="0.9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57"/>
  <sheetViews>
    <sheetView workbookViewId="0">
      <selection sqref="A1:J1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0.75" customHeight="1">
      <c r="A1" s="93" t="s">
        <v>96</v>
      </c>
      <c r="B1" s="94"/>
      <c r="C1" s="94"/>
      <c r="D1" s="94"/>
      <c r="E1" s="94"/>
      <c r="F1" s="96"/>
      <c r="G1" s="96"/>
      <c r="H1" s="96"/>
      <c r="I1" s="94"/>
      <c r="J1" s="94"/>
    </row>
    <row r="2" spans="1:10" ht="0.9" customHeight="1">
      <c r="A2" s="95" t="s">
        <v>97</v>
      </c>
      <c r="B2" s="94"/>
      <c r="C2" s="94"/>
      <c r="D2" s="94"/>
      <c r="E2" s="94"/>
      <c r="F2" s="94"/>
      <c r="G2" s="94"/>
      <c r="H2" s="94"/>
      <c r="I2" s="94"/>
      <c r="J2" s="94"/>
    </row>
    <row r="4" spans="1:10" ht="7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2.75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2.75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2.75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2.75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2.75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2.75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2.75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2.75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2.75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2.75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2.75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2.75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2.75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2.75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2.75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2.75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2.75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2.75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2.75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2.75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2.75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2.75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>
        <v>2020</v>
      </c>
      <c r="B980" s="6"/>
      <c r="C980" s="6" t="s">
        <v>56</v>
      </c>
      <c r="D980" s="6" t="s">
        <v>51</v>
      </c>
      <c r="E980" s="6"/>
      <c r="F980" s="6">
        <v>0</v>
      </c>
      <c r="G980" s="6">
        <v>0</v>
      </c>
      <c r="H980" s="12">
        <v>0</v>
      </c>
      <c r="I980" s="6" t="str">
        <f t="shared" si="15"/>
        <v>OK</v>
      </c>
      <c r="J980" s="7"/>
    </row>
    <row r="981" spans="1:10">
      <c r="A981" s="5">
        <v>2021</v>
      </c>
      <c r="B981" s="6"/>
      <c r="C981" s="6" t="s">
        <v>56</v>
      </c>
      <c r="D981" s="6" t="s">
        <v>51</v>
      </c>
      <c r="E981" s="6"/>
      <c r="F981" s="6">
        <v>0</v>
      </c>
      <c r="G981" s="6">
        <v>0</v>
      </c>
      <c r="H981" s="12">
        <v>0</v>
      </c>
      <c r="I981" s="6" t="str">
        <f t="shared" si="15"/>
        <v>OK</v>
      </c>
      <c r="J981" s="7"/>
    </row>
    <row r="982" spans="1:10">
      <c r="A982" s="5">
        <v>2022</v>
      </c>
      <c r="B982" s="6"/>
      <c r="C982" s="6" t="s">
        <v>56</v>
      </c>
      <c r="D982" s="6" t="s">
        <v>51</v>
      </c>
      <c r="E982" s="6"/>
      <c r="F982" s="6">
        <v>0</v>
      </c>
      <c r="G982" s="6">
        <v>0</v>
      </c>
      <c r="H982" s="12">
        <v>0</v>
      </c>
      <c r="I982" s="6" t="str">
        <f t="shared" si="15"/>
        <v>OK</v>
      </c>
      <c r="J982" s="7"/>
    </row>
    <row r="983" spans="1:10">
      <c r="A983" s="5">
        <v>2023</v>
      </c>
      <c r="B983" s="6"/>
      <c r="C983" s="6" t="s">
        <v>56</v>
      </c>
      <c r="D983" s="6" t="s">
        <v>51</v>
      </c>
      <c r="E983" s="6"/>
      <c r="F983" s="6">
        <v>0</v>
      </c>
      <c r="G983" s="6">
        <v>0</v>
      </c>
      <c r="H983" s="12">
        <v>0</v>
      </c>
      <c r="I983" s="6" t="str">
        <f t="shared" si="15"/>
        <v>OK</v>
      </c>
      <c r="J983" s="7"/>
    </row>
    <row r="984" spans="1:10">
      <c r="A984" s="5">
        <v>2024</v>
      </c>
      <c r="B984" s="6"/>
      <c r="C984" s="6" t="s">
        <v>56</v>
      </c>
      <c r="D984" s="6" t="s">
        <v>51</v>
      </c>
      <c r="E984" s="6"/>
      <c r="F984" s="6">
        <v>0</v>
      </c>
      <c r="G984" s="6">
        <v>0</v>
      </c>
      <c r="H984" s="12">
        <v>0</v>
      </c>
      <c r="I984" s="6" t="str">
        <f t="shared" si="15"/>
        <v>OK</v>
      </c>
      <c r="J984" s="7"/>
    </row>
    <row r="985" spans="1:10">
      <c r="A985" s="5">
        <v>2025</v>
      </c>
      <c r="B985" s="6"/>
      <c r="C985" s="6" t="s">
        <v>56</v>
      </c>
      <c r="D985" s="6" t="s">
        <v>51</v>
      </c>
      <c r="E985" s="6"/>
      <c r="F985" s="6">
        <v>0</v>
      </c>
      <c r="G985" s="6">
        <v>0</v>
      </c>
      <c r="H985" s="12">
        <v>0</v>
      </c>
      <c r="I985" s="6" t="str">
        <f t="shared" si="15"/>
        <v>OK</v>
      </c>
      <c r="J985" s="7"/>
    </row>
    <row r="986" spans="1:10">
      <c r="A986" s="5">
        <v>2020</v>
      </c>
      <c r="B986" s="6"/>
      <c r="C986" s="6" t="s">
        <v>58</v>
      </c>
      <c r="D986" s="6" t="s">
        <v>51</v>
      </c>
      <c r="E986" s="6"/>
      <c r="F986" s="6">
        <v>123</v>
      </c>
      <c r="G986" s="6">
        <v>414</v>
      </c>
      <c r="H986" s="12">
        <v>537</v>
      </c>
      <c r="I986" s="6" t="str">
        <f t="shared" si="15"/>
        <v>OK</v>
      </c>
      <c r="J986" s="7"/>
    </row>
    <row r="987" spans="1:10">
      <c r="A987" s="5">
        <v>2021</v>
      </c>
      <c r="B987" s="6"/>
      <c r="C987" s="6" t="s">
        <v>58</v>
      </c>
      <c r="D987" s="6" t="s">
        <v>51</v>
      </c>
      <c r="E987" s="6"/>
      <c r="F987" s="6">
        <v>103</v>
      </c>
      <c r="G987" s="6">
        <v>414</v>
      </c>
      <c r="H987" s="12">
        <v>517</v>
      </c>
      <c r="I987" s="6" t="str">
        <f t="shared" si="15"/>
        <v>OK</v>
      </c>
      <c r="J987" s="7"/>
    </row>
    <row r="988" spans="1:10">
      <c r="A988" s="5">
        <v>2022</v>
      </c>
      <c r="B988" s="6"/>
      <c r="C988" s="6" t="s">
        <v>58</v>
      </c>
      <c r="D988" s="6" t="s">
        <v>51</v>
      </c>
      <c r="E988" s="6"/>
      <c r="F988" s="6">
        <v>157</v>
      </c>
      <c r="G988" s="6">
        <v>370</v>
      </c>
      <c r="H988" s="12">
        <v>527</v>
      </c>
      <c r="I988" s="6" t="str">
        <f t="shared" si="15"/>
        <v>OK</v>
      </c>
      <c r="J988" s="7"/>
    </row>
    <row r="989" spans="1:10">
      <c r="A989" s="5">
        <v>2023</v>
      </c>
      <c r="B989" s="6"/>
      <c r="C989" s="6" t="s">
        <v>58</v>
      </c>
      <c r="D989" s="6" t="s">
        <v>51</v>
      </c>
      <c r="E989" s="6"/>
      <c r="F989" s="6">
        <v>134</v>
      </c>
      <c r="G989" s="6">
        <v>404</v>
      </c>
      <c r="H989" s="12">
        <v>538</v>
      </c>
      <c r="I989" s="6" t="str">
        <f t="shared" si="15"/>
        <v>OK</v>
      </c>
      <c r="J989" s="7"/>
    </row>
    <row r="990" spans="1:10">
      <c r="A990" s="5">
        <v>2024</v>
      </c>
      <c r="B990" s="6"/>
      <c r="C990" s="6" t="s">
        <v>58</v>
      </c>
      <c r="D990" s="6" t="s">
        <v>51</v>
      </c>
      <c r="E990" s="6"/>
      <c r="F990" s="6">
        <v>113</v>
      </c>
      <c r="G990" s="6">
        <v>418</v>
      </c>
      <c r="H990" s="12">
        <v>531</v>
      </c>
      <c r="I990" s="6" t="str">
        <f t="shared" si="15"/>
        <v>OK</v>
      </c>
      <c r="J990" s="7"/>
    </row>
    <row r="991" spans="1:10">
      <c r="A991" s="5">
        <v>2025</v>
      </c>
      <c r="B991" s="6"/>
      <c r="C991" s="6" t="s">
        <v>58</v>
      </c>
      <c r="D991" s="6" t="s">
        <v>51</v>
      </c>
      <c r="E991" s="6"/>
      <c r="F991" s="6">
        <v>115</v>
      </c>
      <c r="G991" s="6">
        <v>401</v>
      </c>
      <c r="H991" s="12">
        <v>516</v>
      </c>
      <c r="I991" s="6" t="str">
        <f t="shared" si="15"/>
        <v>OK</v>
      </c>
      <c r="J991" s="7"/>
    </row>
    <row r="992" spans="1:10">
      <c r="A992" s="5">
        <v>2020</v>
      </c>
      <c r="B992" s="6"/>
      <c r="C992" s="6" t="s">
        <v>60</v>
      </c>
      <c r="D992" s="6" t="s">
        <v>51</v>
      </c>
      <c r="E992" s="6"/>
      <c r="F992" s="6">
        <v>144</v>
      </c>
      <c r="G992" s="6">
        <v>488</v>
      </c>
      <c r="H992" s="12">
        <v>632</v>
      </c>
      <c r="I992" s="6" t="str">
        <f t="shared" si="15"/>
        <v>OK</v>
      </c>
      <c r="J992" s="7"/>
    </row>
    <row r="993" spans="1:10">
      <c r="A993" s="5">
        <v>2021</v>
      </c>
      <c r="B993" s="6"/>
      <c r="C993" s="6" t="s">
        <v>60</v>
      </c>
      <c r="D993" s="6" t="s">
        <v>51</v>
      </c>
      <c r="E993" s="6"/>
      <c r="F993" s="6">
        <v>141</v>
      </c>
      <c r="G993" s="6">
        <v>474</v>
      </c>
      <c r="H993" s="12">
        <v>615</v>
      </c>
      <c r="I993" s="6" t="str">
        <f t="shared" si="15"/>
        <v>OK</v>
      </c>
      <c r="J993" s="7"/>
    </row>
    <row r="994" spans="1:10">
      <c r="A994" s="5">
        <v>2022</v>
      </c>
      <c r="B994" s="6"/>
      <c r="C994" s="6" t="s">
        <v>60</v>
      </c>
      <c r="D994" s="6" t="s">
        <v>51</v>
      </c>
      <c r="E994" s="6"/>
      <c r="F994" s="6">
        <v>177</v>
      </c>
      <c r="G994" s="6">
        <v>445</v>
      </c>
      <c r="H994" s="12">
        <v>622</v>
      </c>
      <c r="I994" s="6" t="str">
        <f t="shared" si="15"/>
        <v>OK</v>
      </c>
      <c r="J994" s="7"/>
    </row>
    <row r="995" spans="1:10">
      <c r="A995" s="5">
        <v>2023</v>
      </c>
      <c r="B995" s="6"/>
      <c r="C995" s="6" t="s">
        <v>60</v>
      </c>
      <c r="D995" s="6" t="s">
        <v>51</v>
      </c>
      <c r="E995" s="6"/>
      <c r="F995" s="6">
        <v>125</v>
      </c>
      <c r="G995" s="6">
        <v>489</v>
      </c>
      <c r="H995" s="12">
        <v>614</v>
      </c>
      <c r="I995" s="6" t="str">
        <f t="shared" si="15"/>
        <v>OK</v>
      </c>
      <c r="J995" s="7"/>
    </row>
    <row r="996" spans="1:10">
      <c r="A996" s="5">
        <v>2024</v>
      </c>
      <c r="B996" s="6"/>
      <c r="C996" s="6" t="s">
        <v>60</v>
      </c>
      <c r="D996" s="6" t="s">
        <v>51</v>
      </c>
      <c r="E996" s="6"/>
      <c r="F996" s="6">
        <v>120</v>
      </c>
      <c r="G996" s="6">
        <v>465</v>
      </c>
      <c r="H996" s="12">
        <v>585</v>
      </c>
      <c r="I996" s="6" t="str">
        <f t="shared" si="15"/>
        <v>OK</v>
      </c>
      <c r="J996" s="7"/>
    </row>
    <row r="997" spans="1:10">
      <c r="A997" s="5">
        <v>2025</v>
      </c>
      <c r="B997" s="6"/>
      <c r="C997" s="6" t="s">
        <v>60</v>
      </c>
      <c r="D997" s="6" t="s">
        <v>51</v>
      </c>
      <c r="E997" s="6"/>
      <c r="F997" s="6">
        <v>115</v>
      </c>
      <c r="G997" s="6">
        <v>454</v>
      </c>
      <c r="H997" s="12">
        <v>569</v>
      </c>
      <c r="I997" s="6" t="str">
        <f t="shared" si="15"/>
        <v>OK</v>
      </c>
      <c r="J997" s="7"/>
    </row>
    <row r="998" spans="1:10">
      <c r="A998" s="5">
        <v>2020</v>
      </c>
      <c r="B998" s="6"/>
      <c r="C998" s="6" t="s">
        <v>62</v>
      </c>
      <c r="D998" s="6" t="s">
        <v>51</v>
      </c>
      <c r="E998" s="6"/>
      <c r="F998" s="6">
        <v>106</v>
      </c>
      <c r="G998" s="6">
        <v>445</v>
      </c>
      <c r="H998" s="12">
        <v>551</v>
      </c>
      <c r="I998" s="6" t="str">
        <f t="shared" si="15"/>
        <v>OK</v>
      </c>
      <c r="J998" s="7"/>
    </row>
    <row r="999" spans="1:10">
      <c r="A999" s="5">
        <v>2021</v>
      </c>
      <c r="B999" s="6"/>
      <c r="C999" s="6" t="s">
        <v>62</v>
      </c>
      <c r="D999" s="6" t="s">
        <v>51</v>
      </c>
      <c r="E999" s="6"/>
      <c r="F999" s="6">
        <v>106</v>
      </c>
      <c r="G999" s="6">
        <v>421</v>
      </c>
      <c r="H999" s="12">
        <v>527</v>
      </c>
      <c r="I999" s="6" t="str">
        <f t="shared" si="15"/>
        <v>OK</v>
      </c>
      <c r="J999" s="7"/>
    </row>
    <row r="1000" spans="1:10">
      <c r="A1000" s="8">
        <v>2022</v>
      </c>
      <c r="B1000" s="9"/>
      <c r="C1000" s="9" t="s">
        <v>62</v>
      </c>
      <c r="D1000" s="9" t="s">
        <v>51</v>
      </c>
      <c r="E1000" s="9"/>
      <c r="F1000" s="9">
        <v>124</v>
      </c>
      <c r="G1000" s="9">
        <v>383</v>
      </c>
      <c r="H1000" s="13">
        <v>507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t="s">
        <v>51</v>
      </c>
      <c r="F1001">
        <v>105</v>
      </c>
      <c r="G1001">
        <v>389</v>
      </c>
      <c r="H1001">
        <v>494</v>
      </c>
    </row>
    <row r="1002" spans="1:10">
      <c r="A1002">
        <v>2024</v>
      </c>
      <c r="C1002" t="s">
        <v>62</v>
      </c>
      <c r="D1002" t="s">
        <v>51</v>
      </c>
      <c r="F1002">
        <v>114</v>
      </c>
      <c r="G1002">
        <v>397</v>
      </c>
      <c r="H1002">
        <v>511</v>
      </c>
    </row>
    <row r="1003" spans="1:10">
      <c r="A1003">
        <v>2025</v>
      </c>
      <c r="C1003" t="s">
        <v>62</v>
      </c>
      <c r="D1003" t="s">
        <v>51</v>
      </c>
      <c r="F1003">
        <v>98</v>
      </c>
      <c r="G1003">
        <v>397</v>
      </c>
      <c r="H1003">
        <v>495</v>
      </c>
    </row>
    <row r="1004" spans="1:10">
      <c r="A1004">
        <v>2020</v>
      </c>
      <c r="C1004" t="s">
        <v>64</v>
      </c>
      <c r="D1004" t="s">
        <v>51</v>
      </c>
      <c r="F1004">
        <v>158</v>
      </c>
      <c r="G1004">
        <v>522</v>
      </c>
      <c r="H1004">
        <v>680</v>
      </c>
    </row>
    <row r="1005" spans="1:10">
      <c r="A1005">
        <v>2021</v>
      </c>
      <c r="C1005" t="s">
        <v>64</v>
      </c>
      <c r="D1005" t="s">
        <v>51</v>
      </c>
      <c r="F1005">
        <v>175</v>
      </c>
      <c r="G1005">
        <v>530</v>
      </c>
      <c r="H1005">
        <v>705</v>
      </c>
    </row>
    <row r="1006" spans="1:10">
      <c r="A1006">
        <v>2022</v>
      </c>
      <c r="C1006" t="s">
        <v>64</v>
      </c>
      <c r="D1006" t="s">
        <v>51</v>
      </c>
      <c r="F1006">
        <v>234</v>
      </c>
      <c r="G1006">
        <v>573</v>
      </c>
      <c r="H1006">
        <v>807</v>
      </c>
    </row>
    <row r="1007" spans="1:10">
      <c r="A1007">
        <v>2023</v>
      </c>
      <c r="C1007" t="s">
        <v>64</v>
      </c>
      <c r="D1007" t="s">
        <v>51</v>
      </c>
      <c r="F1007">
        <v>235</v>
      </c>
      <c r="G1007">
        <v>620</v>
      </c>
      <c r="H1007">
        <v>855</v>
      </c>
    </row>
    <row r="1008" spans="1:10">
      <c r="A1008">
        <v>2024</v>
      </c>
      <c r="C1008" t="s">
        <v>64</v>
      </c>
      <c r="D1008" t="s">
        <v>51</v>
      </c>
      <c r="F1008">
        <v>247</v>
      </c>
      <c r="G1008">
        <v>667</v>
      </c>
      <c r="H1008">
        <v>914</v>
      </c>
    </row>
    <row r="1009" spans="1:8">
      <c r="A1009">
        <v>2025</v>
      </c>
      <c r="C1009" t="s">
        <v>64</v>
      </c>
      <c r="D1009" t="s">
        <v>51</v>
      </c>
      <c r="F1009">
        <v>256</v>
      </c>
      <c r="G1009">
        <v>724</v>
      </c>
      <c r="H1009">
        <v>980</v>
      </c>
    </row>
    <row r="1010" spans="1:8">
      <c r="A1010">
        <v>2020</v>
      </c>
      <c r="C1010" t="s">
        <v>66</v>
      </c>
      <c r="D1010" t="s">
        <v>51</v>
      </c>
      <c r="F1010">
        <v>70</v>
      </c>
      <c r="G1010">
        <v>303</v>
      </c>
      <c r="H1010">
        <v>373</v>
      </c>
    </row>
    <row r="1011" spans="1:8">
      <c r="A1011">
        <v>2021</v>
      </c>
      <c r="C1011" t="s">
        <v>66</v>
      </c>
      <c r="D1011" t="s">
        <v>51</v>
      </c>
      <c r="F1011">
        <v>62</v>
      </c>
      <c r="G1011">
        <v>281</v>
      </c>
      <c r="H1011">
        <v>343</v>
      </c>
    </row>
    <row r="1012" spans="1:8">
      <c r="A1012">
        <v>2022</v>
      </c>
      <c r="C1012" t="s">
        <v>66</v>
      </c>
      <c r="D1012" t="s">
        <v>51</v>
      </c>
      <c r="F1012">
        <v>86</v>
      </c>
      <c r="G1012">
        <v>238</v>
      </c>
      <c r="H1012">
        <v>324</v>
      </c>
    </row>
    <row r="1013" spans="1:8">
      <c r="A1013">
        <v>2023</v>
      </c>
      <c r="C1013" t="s">
        <v>66</v>
      </c>
      <c r="D1013" t="s">
        <v>51</v>
      </c>
      <c r="F1013">
        <v>87</v>
      </c>
      <c r="G1013">
        <v>226</v>
      </c>
      <c r="H1013">
        <v>313</v>
      </c>
    </row>
    <row r="1014" spans="1:8">
      <c r="A1014">
        <v>2024</v>
      </c>
      <c r="C1014" t="s">
        <v>66</v>
      </c>
      <c r="D1014" t="s">
        <v>51</v>
      </c>
      <c r="F1014">
        <v>68</v>
      </c>
      <c r="G1014">
        <v>253</v>
      </c>
      <c r="H1014">
        <v>321</v>
      </c>
    </row>
    <row r="1015" spans="1:8">
      <c r="A1015">
        <v>2025</v>
      </c>
      <c r="C1015" t="s">
        <v>66</v>
      </c>
      <c r="D1015" t="s">
        <v>51</v>
      </c>
      <c r="F1015">
        <v>93</v>
      </c>
      <c r="G1015">
        <v>261</v>
      </c>
      <c r="H1015">
        <v>354</v>
      </c>
    </row>
    <row r="1016" spans="1:8">
      <c r="A1016">
        <v>2020</v>
      </c>
      <c r="C1016" t="s">
        <v>68</v>
      </c>
      <c r="D1016" t="s">
        <v>51</v>
      </c>
      <c r="F1016">
        <v>264</v>
      </c>
      <c r="G1016">
        <v>842</v>
      </c>
      <c r="H1016">
        <v>1106</v>
      </c>
    </row>
    <row r="1017" spans="1:8">
      <c r="A1017">
        <v>2021</v>
      </c>
      <c r="C1017" t="s">
        <v>68</v>
      </c>
      <c r="D1017" t="s">
        <v>51</v>
      </c>
      <c r="F1017">
        <v>254</v>
      </c>
      <c r="G1017">
        <v>858</v>
      </c>
      <c r="H1017">
        <v>1112</v>
      </c>
    </row>
    <row r="1018" spans="1:8">
      <c r="A1018">
        <v>2022</v>
      </c>
      <c r="C1018" t="s">
        <v>68</v>
      </c>
      <c r="D1018" t="s">
        <v>51</v>
      </c>
      <c r="F1018">
        <v>274</v>
      </c>
      <c r="G1018">
        <v>845</v>
      </c>
      <c r="H1018">
        <v>1119</v>
      </c>
    </row>
    <row r="1019" spans="1:8">
      <c r="A1019">
        <v>2023</v>
      </c>
      <c r="C1019" t="s">
        <v>68</v>
      </c>
      <c r="D1019" t="s">
        <v>51</v>
      </c>
      <c r="F1019">
        <v>328</v>
      </c>
      <c r="G1019">
        <v>880</v>
      </c>
      <c r="H1019">
        <v>1208</v>
      </c>
    </row>
    <row r="1020" spans="1:8">
      <c r="A1020">
        <v>2024</v>
      </c>
      <c r="C1020" t="s">
        <v>68</v>
      </c>
      <c r="D1020" t="s">
        <v>51</v>
      </c>
      <c r="F1020">
        <v>287</v>
      </c>
      <c r="G1020">
        <v>934</v>
      </c>
      <c r="H1020">
        <v>1221</v>
      </c>
    </row>
    <row r="1021" spans="1:8">
      <c r="A1021">
        <v>2025</v>
      </c>
      <c r="C1021" t="s">
        <v>68</v>
      </c>
      <c r="D1021" t="s">
        <v>51</v>
      </c>
      <c r="F1021">
        <v>203</v>
      </c>
      <c r="G1021">
        <v>853</v>
      </c>
      <c r="H1021">
        <v>1056</v>
      </c>
    </row>
    <row r="1022" spans="1:8">
      <c r="A1022">
        <v>2020</v>
      </c>
      <c r="C1022" t="s">
        <v>69</v>
      </c>
      <c r="D1022" t="s">
        <v>51</v>
      </c>
      <c r="F1022">
        <v>158</v>
      </c>
      <c r="G1022">
        <v>467</v>
      </c>
      <c r="H1022">
        <v>625</v>
      </c>
    </row>
    <row r="1023" spans="1:8">
      <c r="A1023">
        <v>2021</v>
      </c>
      <c r="C1023" t="s">
        <v>69</v>
      </c>
      <c r="D1023" t="s">
        <v>51</v>
      </c>
      <c r="F1023">
        <v>155</v>
      </c>
      <c r="G1023">
        <v>507</v>
      </c>
      <c r="H1023">
        <v>662</v>
      </c>
    </row>
    <row r="1024" spans="1:8">
      <c r="A1024">
        <v>2022</v>
      </c>
      <c r="C1024" t="s">
        <v>69</v>
      </c>
      <c r="D1024" t="s">
        <v>51</v>
      </c>
      <c r="F1024">
        <v>173</v>
      </c>
      <c r="G1024">
        <v>512</v>
      </c>
      <c r="H1024">
        <v>685</v>
      </c>
    </row>
    <row r="1025" spans="1:8">
      <c r="A1025">
        <v>2023</v>
      </c>
      <c r="C1025" t="s">
        <v>69</v>
      </c>
      <c r="D1025" t="s">
        <v>51</v>
      </c>
      <c r="F1025">
        <v>192</v>
      </c>
      <c r="G1025">
        <v>589</v>
      </c>
      <c r="H1025">
        <v>781</v>
      </c>
    </row>
    <row r="1026" spans="1:8">
      <c r="A1026">
        <v>2024</v>
      </c>
      <c r="C1026" t="s">
        <v>69</v>
      </c>
      <c r="D1026" t="s">
        <v>51</v>
      </c>
      <c r="F1026">
        <v>180</v>
      </c>
      <c r="G1026">
        <v>650</v>
      </c>
      <c r="H1026">
        <v>830</v>
      </c>
    </row>
    <row r="1027" spans="1:8">
      <c r="A1027">
        <v>2025</v>
      </c>
      <c r="C1027" t="s">
        <v>69</v>
      </c>
      <c r="D1027" t="s">
        <v>51</v>
      </c>
      <c r="F1027">
        <v>161</v>
      </c>
      <c r="G1027">
        <v>698</v>
      </c>
      <c r="H1027">
        <v>859</v>
      </c>
    </row>
    <row r="1028" spans="1:8">
      <c r="A1028">
        <v>2020</v>
      </c>
      <c r="C1028" t="s">
        <v>71</v>
      </c>
      <c r="D1028" t="s">
        <v>51</v>
      </c>
      <c r="F1028">
        <v>63</v>
      </c>
      <c r="G1028">
        <v>196</v>
      </c>
      <c r="H1028">
        <v>259</v>
      </c>
    </row>
    <row r="1029" spans="1:8">
      <c r="A1029">
        <v>2021</v>
      </c>
      <c r="C1029" t="s">
        <v>71</v>
      </c>
      <c r="D1029" t="s">
        <v>51</v>
      </c>
      <c r="F1029">
        <v>55</v>
      </c>
      <c r="G1029">
        <v>199</v>
      </c>
      <c r="H1029">
        <v>254</v>
      </c>
    </row>
    <row r="1030" spans="1:8">
      <c r="A1030">
        <v>2022</v>
      </c>
      <c r="C1030" t="s">
        <v>71</v>
      </c>
      <c r="D1030" t="s">
        <v>51</v>
      </c>
      <c r="F1030">
        <v>41</v>
      </c>
      <c r="G1030">
        <v>177</v>
      </c>
      <c r="H1030">
        <v>218</v>
      </c>
    </row>
    <row r="1031" spans="1:8">
      <c r="A1031">
        <v>2023</v>
      </c>
      <c r="C1031" t="s">
        <v>71</v>
      </c>
      <c r="D1031" t="s">
        <v>51</v>
      </c>
      <c r="F1031">
        <v>33</v>
      </c>
      <c r="G1031">
        <v>157</v>
      </c>
      <c r="H1031">
        <v>190</v>
      </c>
    </row>
    <row r="1032" spans="1:8">
      <c r="A1032">
        <v>2024</v>
      </c>
      <c r="C1032" t="s">
        <v>71</v>
      </c>
      <c r="D1032" t="s">
        <v>51</v>
      </c>
      <c r="F1032">
        <v>35</v>
      </c>
      <c r="G1032">
        <v>145</v>
      </c>
      <c r="H1032">
        <v>180</v>
      </c>
    </row>
    <row r="1033" spans="1:8">
      <c r="A1033">
        <v>2025</v>
      </c>
      <c r="C1033" t="s">
        <v>71</v>
      </c>
      <c r="D1033" t="s">
        <v>51</v>
      </c>
      <c r="F1033">
        <v>54</v>
      </c>
      <c r="G1033">
        <v>131</v>
      </c>
      <c r="H1033">
        <v>185</v>
      </c>
    </row>
    <row r="1034" spans="1:8">
      <c r="A1034">
        <v>2020</v>
      </c>
      <c r="C1034" t="s">
        <v>73</v>
      </c>
      <c r="D1034" t="s">
        <v>51</v>
      </c>
      <c r="F1034">
        <v>189</v>
      </c>
      <c r="G1034">
        <v>798</v>
      </c>
      <c r="H1034">
        <v>987</v>
      </c>
    </row>
    <row r="1035" spans="1:8">
      <c r="A1035">
        <v>2021</v>
      </c>
      <c r="C1035" t="s">
        <v>73</v>
      </c>
      <c r="D1035" t="s">
        <v>51</v>
      </c>
      <c r="F1035">
        <v>202</v>
      </c>
      <c r="G1035">
        <v>758</v>
      </c>
      <c r="H1035">
        <v>960</v>
      </c>
    </row>
    <row r="1036" spans="1:8">
      <c r="A1036">
        <v>2022</v>
      </c>
      <c r="C1036" t="s">
        <v>73</v>
      </c>
      <c r="D1036" t="s">
        <v>51</v>
      </c>
      <c r="F1036">
        <v>262</v>
      </c>
      <c r="G1036">
        <v>734</v>
      </c>
      <c r="H1036">
        <v>996</v>
      </c>
    </row>
    <row r="1037" spans="1:8">
      <c r="A1037">
        <v>2023</v>
      </c>
      <c r="C1037" t="s">
        <v>73</v>
      </c>
      <c r="D1037" t="s">
        <v>51</v>
      </c>
      <c r="F1037">
        <v>261</v>
      </c>
      <c r="G1037">
        <v>759</v>
      </c>
      <c r="H1037">
        <v>1020</v>
      </c>
    </row>
    <row r="1038" spans="1:8">
      <c r="A1038">
        <v>2024</v>
      </c>
      <c r="C1038" t="s">
        <v>73</v>
      </c>
      <c r="D1038" t="s">
        <v>51</v>
      </c>
      <c r="F1038">
        <v>228</v>
      </c>
      <c r="G1038">
        <v>818</v>
      </c>
      <c r="H1038">
        <v>1046</v>
      </c>
    </row>
    <row r="1039" spans="1:8">
      <c r="A1039">
        <v>2025</v>
      </c>
      <c r="C1039" t="s">
        <v>73</v>
      </c>
      <c r="D1039" t="s">
        <v>51</v>
      </c>
      <c r="F1039">
        <v>258</v>
      </c>
      <c r="G1039">
        <v>860</v>
      </c>
      <c r="H1039">
        <v>1118</v>
      </c>
    </row>
    <row r="1040" spans="1:8">
      <c r="A1040">
        <v>2020</v>
      </c>
      <c r="C1040" t="s">
        <v>74</v>
      </c>
      <c r="D1040" t="s">
        <v>51</v>
      </c>
      <c r="F1040">
        <v>87</v>
      </c>
      <c r="G1040">
        <v>456</v>
      </c>
      <c r="H1040">
        <v>543</v>
      </c>
    </row>
    <row r="1041" spans="1:8">
      <c r="A1041">
        <v>2021</v>
      </c>
      <c r="C1041" t="s">
        <v>74</v>
      </c>
      <c r="D1041" t="s">
        <v>51</v>
      </c>
      <c r="F1041">
        <v>100</v>
      </c>
      <c r="G1041">
        <v>462</v>
      </c>
      <c r="H1041">
        <v>562</v>
      </c>
    </row>
    <row r="1042" spans="1:8">
      <c r="A1042">
        <v>2022</v>
      </c>
      <c r="C1042" t="s">
        <v>74</v>
      </c>
      <c r="D1042" t="s">
        <v>51</v>
      </c>
      <c r="F1042">
        <v>110</v>
      </c>
      <c r="G1042">
        <v>461</v>
      </c>
      <c r="H1042">
        <v>571</v>
      </c>
    </row>
    <row r="1043" spans="1:8">
      <c r="A1043">
        <v>2023</v>
      </c>
      <c r="C1043" t="s">
        <v>74</v>
      </c>
      <c r="D1043" t="s">
        <v>51</v>
      </c>
      <c r="F1043">
        <v>77</v>
      </c>
      <c r="G1043">
        <v>459</v>
      </c>
      <c r="H1043">
        <v>536</v>
      </c>
    </row>
    <row r="1044" spans="1:8">
      <c r="A1044">
        <v>2024</v>
      </c>
      <c r="C1044" t="s">
        <v>74</v>
      </c>
      <c r="D1044" t="s">
        <v>51</v>
      </c>
      <c r="F1044">
        <v>90</v>
      </c>
      <c r="G1044">
        <v>407</v>
      </c>
      <c r="H1044">
        <v>497</v>
      </c>
    </row>
    <row r="1045" spans="1:8">
      <c r="A1045">
        <v>2025</v>
      </c>
      <c r="C1045" t="s">
        <v>74</v>
      </c>
      <c r="D1045" t="s">
        <v>51</v>
      </c>
      <c r="F1045">
        <v>93</v>
      </c>
      <c r="G1045">
        <v>404</v>
      </c>
      <c r="H1045">
        <v>497</v>
      </c>
    </row>
    <row r="1046" spans="1:8">
      <c r="A1046">
        <v>2020</v>
      </c>
      <c r="C1046" t="s">
        <v>75</v>
      </c>
      <c r="D1046" t="s">
        <v>51</v>
      </c>
      <c r="F1046">
        <v>112</v>
      </c>
      <c r="G1046">
        <v>618</v>
      </c>
      <c r="H1046">
        <v>730</v>
      </c>
    </row>
    <row r="1047" spans="1:8">
      <c r="A1047">
        <v>2021</v>
      </c>
      <c r="C1047" t="s">
        <v>75</v>
      </c>
      <c r="D1047" t="s">
        <v>51</v>
      </c>
      <c r="F1047">
        <v>110</v>
      </c>
      <c r="G1047">
        <v>588</v>
      </c>
      <c r="H1047">
        <v>698</v>
      </c>
    </row>
    <row r="1048" spans="1:8">
      <c r="A1048">
        <v>2022</v>
      </c>
      <c r="C1048" t="s">
        <v>75</v>
      </c>
      <c r="D1048" t="s">
        <v>51</v>
      </c>
      <c r="F1048">
        <v>162</v>
      </c>
      <c r="G1048">
        <v>535</v>
      </c>
      <c r="H1048">
        <v>697</v>
      </c>
    </row>
    <row r="1049" spans="1:8">
      <c r="A1049">
        <v>2023</v>
      </c>
      <c r="C1049" t="s">
        <v>75</v>
      </c>
      <c r="D1049" t="s">
        <v>51</v>
      </c>
      <c r="F1049">
        <v>166</v>
      </c>
      <c r="G1049">
        <v>528</v>
      </c>
      <c r="H1049">
        <v>694</v>
      </c>
    </row>
    <row r="1050" spans="1:8">
      <c r="A1050">
        <v>2024</v>
      </c>
      <c r="C1050" t="s">
        <v>75</v>
      </c>
      <c r="D1050" t="s">
        <v>51</v>
      </c>
      <c r="F1050">
        <v>189</v>
      </c>
      <c r="G1050">
        <v>577</v>
      </c>
      <c r="H1050">
        <v>766</v>
      </c>
    </row>
    <row r="1051" spans="1:8">
      <c r="A1051">
        <v>2025</v>
      </c>
      <c r="C1051" t="s">
        <v>75</v>
      </c>
      <c r="D1051" t="s">
        <v>51</v>
      </c>
      <c r="F1051">
        <v>161</v>
      </c>
      <c r="G1051">
        <v>687</v>
      </c>
      <c r="H1051">
        <v>848</v>
      </c>
    </row>
    <row r="1052" spans="1:8">
      <c r="A1052">
        <v>2020</v>
      </c>
      <c r="C1052" t="s">
        <v>76</v>
      </c>
      <c r="D1052" t="s">
        <v>51</v>
      </c>
      <c r="F1052">
        <v>91</v>
      </c>
      <c r="G1052">
        <v>232</v>
      </c>
      <c r="H1052">
        <v>323</v>
      </c>
    </row>
    <row r="1053" spans="1:8">
      <c r="A1053">
        <v>2021</v>
      </c>
      <c r="C1053" t="s">
        <v>76</v>
      </c>
      <c r="D1053" t="s">
        <v>51</v>
      </c>
      <c r="F1053">
        <v>69</v>
      </c>
      <c r="G1053">
        <v>247</v>
      </c>
      <c r="H1053">
        <v>316</v>
      </c>
    </row>
    <row r="1054" spans="1:8">
      <c r="A1054">
        <v>2022</v>
      </c>
      <c r="C1054" t="s">
        <v>76</v>
      </c>
      <c r="D1054" t="s">
        <v>51</v>
      </c>
      <c r="F1054">
        <v>91</v>
      </c>
      <c r="G1054">
        <v>241</v>
      </c>
      <c r="H1054">
        <v>332</v>
      </c>
    </row>
    <row r="1055" spans="1:8">
      <c r="A1055">
        <v>2023</v>
      </c>
      <c r="C1055" t="s">
        <v>76</v>
      </c>
      <c r="D1055" t="s">
        <v>51</v>
      </c>
      <c r="F1055">
        <v>81</v>
      </c>
      <c r="G1055">
        <v>250</v>
      </c>
      <c r="H1055">
        <v>331</v>
      </c>
    </row>
    <row r="1056" spans="1:8">
      <c r="A1056">
        <v>2024</v>
      </c>
      <c r="C1056" t="s">
        <v>76</v>
      </c>
      <c r="D1056" t="s">
        <v>51</v>
      </c>
      <c r="F1056">
        <v>70</v>
      </c>
      <c r="G1056">
        <v>253</v>
      </c>
      <c r="H1056">
        <v>323</v>
      </c>
    </row>
    <row r="1057" spans="1:8">
      <c r="A1057">
        <v>2025</v>
      </c>
      <c r="C1057" t="s">
        <v>76</v>
      </c>
      <c r="D1057" t="s">
        <v>51</v>
      </c>
      <c r="F1057">
        <v>44</v>
      </c>
      <c r="G1057">
        <v>241</v>
      </c>
      <c r="H1057">
        <v>285</v>
      </c>
    </row>
    <row r="1058" spans="1:8">
      <c r="A1058">
        <v>2020</v>
      </c>
      <c r="C1058" t="s">
        <v>77</v>
      </c>
      <c r="D1058" t="s">
        <v>51</v>
      </c>
      <c r="F1058">
        <v>142</v>
      </c>
      <c r="G1058">
        <v>444</v>
      </c>
      <c r="H1058">
        <v>586</v>
      </c>
    </row>
    <row r="1059" spans="1:8">
      <c r="A1059">
        <v>2021</v>
      </c>
      <c r="C1059" t="s">
        <v>77</v>
      </c>
      <c r="D1059" t="s">
        <v>51</v>
      </c>
      <c r="F1059">
        <v>113</v>
      </c>
      <c r="G1059">
        <v>440</v>
      </c>
      <c r="H1059">
        <v>553</v>
      </c>
    </row>
    <row r="1060" spans="1:8">
      <c r="A1060">
        <v>2022</v>
      </c>
      <c r="C1060" t="s">
        <v>77</v>
      </c>
      <c r="D1060" t="s">
        <v>51</v>
      </c>
      <c r="F1060">
        <v>125</v>
      </c>
      <c r="G1060">
        <v>412</v>
      </c>
      <c r="H1060">
        <v>537</v>
      </c>
    </row>
    <row r="1061" spans="1:8">
      <c r="A1061">
        <v>2023</v>
      </c>
      <c r="C1061" t="s">
        <v>77</v>
      </c>
      <c r="D1061" t="s">
        <v>51</v>
      </c>
      <c r="F1061">
        <v>125</v>
      </c>
      <c r="G1061">
        <v>385</v>
      </c>
      <c r="H1061">
        <v>510</v>
      </c>
    </row>
    <row r="1062" spans="1:8">
      <c r="A1062">
        <v>2024</v>
      </c>
      <c r="C1062" t="s">
        <v>77</v>
      </c>
      <c r="D1062" t="s">
        <v>51</v>
      </c>
      <c r="F1062">
        <v>112</v>
      </c>
      <c r="G1062">
        <v>379</v>
      </c>
      <c r="H1062">
        <v>491</v>
      </c>
    </row>
    <row r="1063" spans="1:8">
      <c r="A1063">
        <v>2025</v>
      </c>
      <c r="C1063" t="s">
        <v>77</v>
      </c>
      <c r="D1063" t="s">
        <v>51</v>
      </c>
      <c r="F1063">
        <v>160</v>
      </c>
      <c r="G1063">
        <v>457</v>
      </c>
      <c r="H1063">
        <v>617</v>
      </c>
    </row>
    <row r="1064" spans="1:8">
      <c r="A1064">
        <v>2020</v>
      </c>
      <c r="C1064" t="s">
        <v>78</v>
      </c>
      <c r="D1064" t="s">
        <v>51</v>
      </c>
      <c r="F1064">
        <v>659</v>
      </c>
      <c r="G1064">
        <v>2498</v>
      </c>
      <c r="H1064">
        <v>3157</v>
      </c>
    </row>
    <row r="1065" spans="1:8">
      <c r="A1065">
        <v>2021</v>
      </c>
      <c r="C1065" t="s">
        <v>78</v>
      </c>
      <c r="D1065" t="s">
        <v>51</v>
      </c>
      <c r="F1065">
        <v>596</v>
      </c>
      <c r="G1065">
        <v>2599</v>
      </c>
      <c r="H1065">
        <v>3195</v>
      </c>
    </row>
    <row r="1066" spans="1:8">
      <c r="A1066">
        <v>2022</v>
      </c>
      <c r="C1066" t="s">
        <v>78</v>
      </c>
      <c r="D1066" t="s">
        <v>51</v>
      </c>
      <c r="F1066">
        <v>707</v>
      </c>
      <c r="G1066">
        <v>2574</v>
      </c>
      <c r="H1066">
        <v>3281</v>
      </c>
    </row>
    <row r="1067" spans="1:8">
      <c r="A1067">
        <v>2023</v>
      </c>
      <c r="C1067" t="s">
        <v>78</v>
      </c>
      <c r="D1067" t="s">
        <v>51</v>
      </c>
      <c r="F1067">
        <v>682</v>
      </c>
      <c r="G1067">
        <v>2628</v>
      </c>
      <c r="H1067">
        <v>3310</v>
      </c>
    </row>
    <row r="1068" spans="1:8">
      <c r="A1068">
        <v>2024</v>
      </c>
      <c r="C1068" t="s">
        <v>78</v>
      </c>
      <c r="D1068" t="s">
        <v>51</v>
      </c>
      <c r="F1068">
        <v>733</v>
      </c>
      <c r="G1068">
        <v>2557</v>
      </c>
      <c r="H1068">
        <v>3290</v>
      </c>
    </row>
    <row r="1069" spans="1:8">
      <c r="A1069">
        <v>2025</v>
      </c>
      <c r="C1069" t="s">
        <v>78</v>
      </c>
      <c r="D1069" t="s">
        <v>51</v>
      </c>
      <c r="F1069">
        <v>663</v>
      </c>
      <c r="G1069">
        <v>2725</v>
      </c>
      <c r="H1069">
        <v>3388</v>
      </c>
    </row>
    <row r="1070" spans="1:8">
      <c r="A1070">
        <v>2020</v>
      </c>
      <c r="C1070" t="s">
        <v>79</v>
      </c>
      <c r="D1070" t="s">
        <v>51</v>
      </c>
      <c r="F1070">
        <v>37</v>
      </c>
      <c r="G1070">
        <v>31</v>
      </c>
      <c r="H1070">
        <v>68</v>
      </c>
    </row>
    <row r="1071" spans="1:8">
      <c r="A1071">
        <v>2021</v>
      </c>
      <c r="C1071" t="s">
        <v>79</v>
      </c>
      <c r="D1071" t="s">
        <v>51</v>
      </c>
      <c r="F1071">
        <v>45</v>
      </c>
      <c r="G1071">
        <v>43</v>
      </c>
      <c r="H1071">
        <v>88</v>
      </c>
    </row>
    <row r="1072" spans="1:8">
      <c r="A1072">
        <v>2022</v>
      </c>
      <c r="C1072" t="s">
        <v>79</v>
      </c>
      <c r="D1072" t="s">
        <v>51</v>
      </c>
      <c r="F1072">
        <v>40</v>
      </c>
      <c r="G1072">
        <v>71</v>
      </c>
      <c r="H1072">
        <v>111</v>
      </c>
    </row>
    <row r="1073" spans="1:8">
      <c r="A1073">
        <v>2023</v>
      </c>
      <c r="C1073" t="s">
        <v>79</v>
      </c>
      <c r="D1073" t="s">
        <v>51</v>
      </c>
      <c r="F1073">
        <v>41</v>
      </c>
      <c r="G1073">
        <v>93</v>
      </c>
      <c r="H1073">
        <v>134</v>
      </c>
    </row>
    <row r="1074" spans="1:8">
      <c r="A1074">
        <v>2024</v>
      </c>
      <c r="C1074" t="s">
        <v>79</v>
      </c>
      <c r="D1074" t="s">
        <v>51</v>
      </c>
      <c r="F1074">
        <v>30</v>
      </c>
      <c r="G1074">
        <v>115</v>
      </c>
      <c r="H1074">
        <v>145</v>
      </c>
    </row>
    <row r="1075" spans="1:8">
      <c r="A1075">
        <v>2025</v>
      </c>
      <c r="C1075" t="s">
        <v>79</v>
      </c>
      <c r="D1075" t="s">
        <v>51</v>
      </c>
      <c r="F1075">
        <v>36</v>
      </c>
      <c r="G1075">
        <v>119</v>
      </c>
      <c r="H1075">
        <v>155</v>
      </c>
    </row>
    <row r="1076" spans="1:8">
      <c r="A1076">
        <v>2020</v>
      </c>
      <c r="C1076" t="s">
        <v>80</v>
      </c>
      <c r="D1076" t="s">
        <v>51</v>
      </c>
      <c r="F1076">
        <v>159</v>
      </c>
      <c r="G1076">
        <v>448</v>
      </c>
      <c r="H1076">
        <v>607</v>
      </c>
    </row>
    <row r="1077" spans="1:8">
      <c r="A1077">
        <v>2021</v>
      </c>
      <c r="C1077" t="s">
        <v>80</v>
      </c>
      <c r="D1077" t="s">
        <v>51</v>
      </c>
      <c r="F1077">
        <v>140</v>
      </c>
      <c r="G1077">
        <v>453</v>
      </c>
      <c r="H1077">
        <v>593</v>
      </c>
    </row>
    <row r="1078" spans="1:8">
      <c r="A1078">
        <v>2022</v>
      </c>
      <c r="C1078" t="s">
        <v>80</v>
      </c>
      <c r="D1078" t="s">
        <v>51</v>
      </c>
      <c r="F1078">
        <v>133</v>
      </c>
      <c r="G1078">
        <v>469</v>
      </c>
      <c r="H1078">
        <v>602</v>
      </c>
    </row>
    <row r="1079" spans="1:8">
      <c r="A1079">
        <v>2023</v>
      </c>
      <c r="C1079" t="s">
        <v>80</v>
      </c>
      <c r="D1079" t="s">
        <v>51</v>
      </c>
      <c r="F1079">
        <v>109</v>
      </c>
      <c r="G1079">
        <v>447</v>
      </c>
      <c r="H1079">
        <v>556</v>
      </c>
    </row>
    <row r="1080" spans="1:8">
      <c r="A1080">
        <v>2024</v>
      </c>
      <c r="C1080" t="s">
        <v>80</v>
      </c>
      <c r="D1080" t="s">
        <v>51</v>
      </c>
      <c r="F1080">
        <v>128</v>
      </c>
      <c r="G1080">
        <v>417</v>
      </c>
      <c r="H1080">
        <v>545</v>
      </c>
    </row>
    <row r="1081" spans="1:8">
      <c r="A1081">
        <v>2025</v>
      </c>
      <c r="C1081" t="s">
        <v>80</v>
      </c>
      <c r="D1081" t="s">
        <v>51</v>
      </c>
      <c r="F1081">
        <v>146</v>
      </c>
      <c r="G1081">
        <v>398</v>
      </c>
      <c r="H1081">
        <v>544</v>
      </c>
    </row>
    <row r="1082" spans="1:8">
      <c r="A1082">
        <v>2020</v>
      </c>
      <c r="C1082" t="s">
        <v>81</v>
      </c>
      <c r="D1082" t="s">
        <v>51</v>
      </c>
      <c r="F1082">
        <v>101</v>
      </c>
      <c r="G1082">
        <v>277</v>
      </c>
      <c r="H1082">
        <v>378</v>
      </c>
    </row>
    <row r="1083" spans="1:8">
      <c r="A1083">
        <v>2021</v>
      </c>
      <c r="C1083" t="s">
        <v>81</v>
      </c>
      <c r="D1083" t="s">
        <v>51</v>
      </c>
      <c r="F1083">
        <v>83</v>
      </c>
      <c r="G1083">
        <v>310</v>
      </c>
      <c r="H1083">
        <v>393</v>
      </c>
    </row>
    <row r="1084" spans="1:8">
      <c r="A1084">
        <v>2022</v>
      </c>
      <c r="C1084" t="s">
        <v>81</v>
      </c>
      <c r="D1084" t="s">
        <v>51</v>
      </c>
      <c r="F1084">
        <v>76</v>
      </c>
      <c r="G1084">
        <v>293</v>
      </c>
      <c r="H1084">
        <v>369</v>
      </c>
    </row>
    <row r="1085" spans="1:8">
      <c r="A1085">
        <v>2023</v>
      </c>
      <c r="C1085" t="s">
        <v>81</v>
      </c>
      <c r="D1085" t="s">
        <v>51</v>
      </c>
      <c r="F1085">
        <v>68</v>
      </c>
      <c r="G1085">
        <v>273</v>
      </c>
      <c r="H1085">
        <v>341</v>
      </c>
    </row>
    <row r="1086" spans="1:8">
      <c r="A1086">
        <v>2024</v>
      </c>
      <c r="C1086" t="s">
        <v>81</v>
      </c>
      <c r="D1086" t="s">
        <v>51</v>
      </c>
      <c r="F1086">
        <v>50</v>
      </c>
      <c r="G1086">
        <v>238</v>
      </c>
      <c r="H1086">
        <v>288</v>
      </c>
    </row>
    <row r="1087" spans="1:8">
      <c r="A1087">
        <v>2025</v>
      </c>
      <c r="C1087" t="s">
        <v>81</v>
      </c>
      <c r="D1087" t="s">
        <v>51</v>
      </c>
      <c r="F1087">
        <v>45</v>
      </c>
      <c r="G1087">
        <v>215</v>
      </c>
      <c r="H1087">
        <v>260</v>
      </c>
    </row>
    <row r="1088" spans="1:8">
      <c r="A1088">
        <v>2020</v>
      </c>
      <c r="C1088" t="s">
        <v>82</v>
      </c>
      <c r="D1088" t="s">
        <v>51</v>
      </c>
      <c r="F1088">
        <v>75</v>
      </c>
      <c r="G1088">
        <v>194</v>
      </c>
      <c r="H1088">
        <v>269</v>
      </c>
    </row>
    <row r="1089" spans="1:8">
      <c r="A1089">
        <v>2021</v>
      </c>
      <c r="C1089" t="s">
        <v>82</v>
      </c>
      <c r="D1089" t="s">
        <v>51</v>
      </c>
      <c r="F1089">
        <v>73</v>
      </c>
      <c r="G1089">
        <v>208</v>
      </c>
      <c r="H1089">
        <v>281</v>
      </c>
    </row>
    <row r="1090" spans="1:8">
      <c r="A1090">
        <v>2022</v>
      </c>
      <c r="C1090" t="s">
        <v>82</v>
      </c>
      <c r="D1090" t="s">
        <v>51</v>
      </c>
      <c r="F1090">
        <v>86</v>
      </c>
      <c r="G1090">
        <v>217</v>
      </c>
      <c r="H1090">
        <v>303</v>
      </c>
    </row>
    <row r="1091" spans="1:8">
      <c r="A1091">
        <v>2023</v>
      </c>
      <c r="C1091" t="s">
        <v>82</v>
      </c>
      <c r="D1091" t="s">
        <v>51</v>
      </c>
      <c r="F1091">
        <v>95</v>
      </c>
      <c r="G1091">
        <v>226</v>
      </c>
      <c r="H1091">
        <v>321</v>
      </c>
    </row>
    <row r="1092" spans="1:8">
      <c r="A1092">
        <v>2024</v>
      </c>
      <c r="C1092" t="s">
        <v>82</v>
      </c>
      <c r="D1092" t="s">
        <v>51</v>
      </c>
      <c r="F1092">
        <v>76</v>
      </c>
      <c r="G1092">
        <v>234</v>
      </c>
      <c r="H1092">
        <v>310</v>
      </c>
    </row>
    <row r="1093" spans="1:8">
      <c r="A1093">
        <v>2025</v>
      </c>
      <c r="C1093" t="s">
        <v>82</v>
      </c>
      <c r="D1093" t="s">
        <v>51</v>
      </c>
      <c r="F1093">
        <v>64</v>
      </c>
      <c r="G1093">
        <v>237</v>
      </c>
      <c r="H1093">
        <v>301</v>
      </c>
    </row>
    <row r="1094" spans="1:8">
      <c r="A1094">
        <v>2020</v>
      </c>
      <c r="C1094" t="s">
        <v>84</v>
      </c>
      <c r="D1094" t="s">
        <v>51</v>
      </c>
      <c r="F1094">
        <v>106</v>
      </c>
      <c r="G1094">
        <v>359</v>
      </c>
      <c r="H1094">
        <v>465</v>
      </c>
    </row>
    <row r="1095" spans="1:8">
      <c r="A1095">
        <v>2021</v>
      </c>
      <c r="C1095" t="s">
        <v>84</v>
      </c>
      <c r="D1095" t="s">
        <v>51</v>
      </c>
      <c r="F1095">
        <v>91</v>
      </c>
      <c r="G1095">
        <v>375</v>
      </c>
      <c r="H1095">
        <v>466</v>
      </c>
    </row>
    <row r="1096" spans="1:8">
      <c r="A1096">
        <v>2022</v>
      </c>
      <c r="C1096" t="s">
        <v>84</v>
      </c>
      <c r="D1096" t="s">
        <v>51</v>
      </c>
      <c r="F1096">
        <v>105</v>
      </c>
      <c r="G1096">
        <v>369</v>
      </c>
      <c r="H1096">
        <v>474</v>
      </c>
    </row>
    <row r="1097" spans="1:8">
      <c r="A1097">
        <v>2023</v>
      </c>
      <c r="C1097" t="s">
        <v>84</v>
      </c>
      <c r="D1097" t="s">
        <v>51</v>
      </c>
      <c r="F1097">
        <v>117</v>
      </c>
      <c r="G1097">
        <v>369</v>
      </c>
      <c r="H1097">
        <v>486</v>
      </c>
    </row>
    <row r="1098" spans="1:8">
      <c r="A1098">
        <v>2024</v>
      </c>
      <c r="C1098" t="s">
        <v>84</v>
      </c>
      <c r="D1098" t="s">
        <v>51</v>
      </c>
      <c r="F1098">
        <v>117</v>
      </c>
      <c r="G1098">
        <v>351</v>
      </c>
      <c r="H1098">
        <v>468</v>
      </c>
    </row>
    <row r="1099" spans="1:8">
      <c r="A1099">
        <v>2025</v>
      </c>
      <c r="C1099" t="s">
        <v>84</v>
      </c>
      <c r="D1099" t="s">
        <v>51</v>
      </c>
      <c r="F1099">
        <v>123</v>
      </c>
      <c r="G1099">
        <v>376</v>
      </c>
      <c r="H1099">
        <v>499</v>
      </c>
    </row>
    <row r="1100" spans="1:8">
      <c r="A1100">
        <v>2020</v>
      </c>
      <c r="C1100" t="s">
        <v>85</v>
      </c>
      <c r="D1100" t="s">
        <v>51</v>
      </c>
      <c r="F1100">
        <v>78</v>
      </c>
      <c r="G1100">
        <v>459</v>
      </c>
      <c r="H1100">
        <v>537</v>
      </c>
    </row>
    <row r="1101" spans="1:8">
      <c r="A1101">
        <v>2021</v>
      </c>
      <c r="C1101" t="s">
        <v>85</v>
      </c>
      <c r="D1101" t="s">
        <v>51</v>
      </c>
      <c r="F1101">
        <v>94</v>
      </c>
      <c r="G1101">
        <v>417</v>
      </c>
      <c r="H1101">
        <v>511</v>
      </c>
    </row>
    <row r="1102" spans="1:8">
      <c r="A1102">
        <v>2022</v>
      </c>
      <c r="C1102" t="s">
        <v>85</v>
      </c>
      <c r="D1102" t="s">
        <v>51</v>
      </c>
      <c r="F1102">
        <v>90</v>
      </c>
      <c r="G1102">
        <v>360</v>
      </c>
      <c r="H1102">
        <v>450</v>
      </c>
    </row>
    <row r="1103" spans="1:8">
      <c r="A1103">
        <v>2023</v>
      </c>
      <c r="C1103" t="s">
        <v>85</v>
      </c>
      <c r="D1103" t="s">
        <v>51</v>
      </c>
      <c r="F1103">
        <v>65</v>
      </c>
      <c r="G1103">
        <v>340</v>
      </c>
      <c r="H1103">
        <v>405</v>
      </c>
    </row>
    <row r="1104" spans="1:8">
      <c r="A1104">
        <v>2024</v>
      </c>
      <c r="C1104" t="s">
        <v>85</v>
      </c>
      <c r="D1104" t="s">
        <v>51</v>
      </c>
      <c r="F1104">
        <v>92</v>
      </c>
      <c r="G1104">
        <v>300</v>
      </c>
      <c r="H1104">
        <v>392</v>
      </c>
    </row>
    <row r="1105" spans="1:8">
      <c r="A1105">
        <v>2025</v>
      </c>
      <c r="C1105" t="s">
        <v>85</v>
      </c>
      <c r="D1105" t="s">
        <v>51</v>
      </c>
      <c r="F1105">
        <v>59</v>
      </c>
      <c r="G1105">
        <v>309</v>
      </c>
      <c r="H1105">
        <v>368</v>
      </c>
    </row>
    <row r="1106" spans="1:8">
      <c r="A1106">
        <v>2020</v>
      </c>
      <c r="C1106" t="s">
        <v>86</v>
      </c>
      <c r="D1106" t="s">
        <v>51</v>
      </c>
      <c r="F1106">
        <v>98</v>
      </c>
      <c r="G1106">
        <v>283</v>
      </c>
      <c r="H1106">
        <v>381</v>
      </c>
    </row>
    <row r="1107" spans="1:8">
      <c r="A1107">
        <v>2021</v>
      </c>
      <c r="C1107" t="s">
        <v>86</v>
      </c>
      <c r="D1107" t="s">
        <v>51</v>
      </c>
      <c r="F1107">
        <v>98</v>
      </c>
      <c r="G1107">
        <v>287</v>
      </c>
      <c r="H1107">
        <v>385</v>
      </c>
    </row>
    <row r="1108" spans="1:8">
      <c r="A1108">
        <v>2022</v>
      </c>
      <c r="C1108" t="s">
        <v>86</v>
      </c>
      <c r="D1108" t="s">
        <v>51</v>
      </c>
      <c r="F1108">
        <v>111</v>
      </c>
      <c r="G1108">
        <v>283</v>
      </c>
      <c r="H1108">
        <v>394</v>
      </c>
    </row>
    <row r="1109" spans="1:8">
      <c r="A1109">
        <v>2023</v>
      </c>
      <c r="C1109" t="s">
        <v>86</v>
      </c>
      <c r="D1109" t="s">
        <v>51</v>
      </c>
      <c r="F1109">
        <v>97</v>
      </c>
      <c r="G1109">
        <v>311</v>
      </c>
      <c r="H1109">
        <v>408</v>
      </c>
    </row>
    <row r="1110" spans="1:8">
      <c r="A1110">
        <v>2024</v>
      </c>
      <c r="C1110" t="s">
        <v>86</v>
      </c>
      <c r="D1110" t="s">
        <v>51</v>
      </c>
      <c r="F1110">
        <v>144</v>
      </c>
      <c r="G1110">
        <v>321</v>
      </c>
      <c r="H1110">
        <v>465</v>
      </c>
    </row>
    <row r="1111" spans="1:8">
      <c r="A1111">
        <v>2025</v>
      </c>
      <c r="C1111" t="s">
        <v>86</v>
      </c>
      <c r="D1111" t="s">
        <v>51</v>
      </c>
      <c r="F1111">
        <v>141</v>
      </c>
      <c r="G1111">
        <v>392</v>
      </c>
      <c r="H1111">
        <v>533</v>
      </c>
    </row>
    <row r="1112" spans="1:8">
      <c r="A1112">
        <v>2020</v>
      </c>
      <c r="C1112" t="s">
        <v>87</v>
      </c>
      <c r="D1112" t="s">
        <v>51</v>
      </c>
      <c r="F1112">
        <v>182</v>
      </c>
      <c r="G1112">
        <v>414</v>
      </c>
      <c r="H1112">
        <v>596</v>
      </c>
    </row>
    <row r="1113" spans="1:8">
      <c r="A1113">
        <v>2021</v>
      </c>
      <c r="C1113" t="s">
        <v>87</v>
      </c>
      <c r="D1113" t="s">
        <v>51</v>
      </c>
      <c r="F1113">
        <v>146</v>
      </c>
      <c r="G1113">
        <v>454</v>
      </c>
      <c r="H1113">
        <v>600</v>
      </c>
    </row>
    <row r="1114" spans="1:8">
      <c r="A1114">
        <v>2022</v>
      </c>
      <c r="C1114" t="s">
        <v>87</v>
      </c>
      <c r="D1114" t="s">
        <v>51</v>
      </c>
      <c r="F1114">
        <v>160</v>
      </c>
      <c r="G1114">
        <v>485</v>
      </c>
      <c r="H1114">
        <v>645</v>
      </c>
    </row>
    <row r="1115" spans="1:8">
      <c r="A1115">
        <v>2023</v>
      </c>
      <c r="C1115" t="s">
        <v>87</v>
      </c>
      <c r="D1115" t="s">
        <v>51</v>
      </c>
      <c r="F1115">
        <v>130</v>
      </c>
      <c r="G1115">
        <v>515</v>
      </c>
      <c r="H1115">
        <v>645</v>
      </c>
    </row>
    <row r="1116" spans="1:8">
      <c r="A1116">
        <v>2024</v>
      </c>
      <c r="C1116" t="s">
        <v>87</v>
      </c>
      <c r="D1116" t="s">
        <v>51</v>
      </c>
      <c r="F1116">
        <v>106</v>
      </c>
      <c r="G1116">
        <v>511</v>
      </c>
      <c r="H1116">
        <v>617</v>
      </c>
    </row>
    <row r="1117" spans="1:8">
      <c r="A1117">
        <v>2025</v>
      </c>
      <c r="C1117" t="s">
        <v>87</v>
      </c>
      <c r="D1117" t="s">
        <v>51</v>
      </c>
      <c r="F1117">
        <v>100</v>
      </c>
      <c r="G1117">
        <v>468</v>
      </c>
      <c r="H1117">
        <v>568</v>
      </c>
    </row>
    <row r="1118" spans="1:8">
      <c r="A1118">
        <v>2020</v>
      </c>
      <c r="C1118" t="s">
        <v>88</v>
      </c>
      <c r="D1118" t="s">
        <v>51</v>
      </c>
      <c r="F1118">
        <v>211</v>
      </c>
      <c r="G1118">
        <v>955</v>
      </c>
      <c r="H1118">
        <v>1166</v>
      </c>
    </row>
    <row r="1119" spans="1:8">
      <c r="A1119">
        <v>2021</v>
      </c>
      <c r="C1119" t="s">
        <v>88</v>
      </c>
      <c r="D1119" t="s">
        <v>51</v>
      </c>
      <c r="F1119">
        <v>208</v>
      </c>
      <c r="G1119">
        <v>873</v>
      </c>
      <c r="H1119">
        <v>1081</v>
      </c>
    </row>
    <row r="1120" spans="1:8">
      <c r="A1120">
        <v>2022</v>
      </c>
      <c r="C1120" t="s">
        <v>88</v>
      </c>
      <c r="D1120" t="s">
        <v>51</v>
      </c>
      <c r="F1120">
        <v>280</v>
      </c>
      <c r="G1120">
        <v>842</v>
      </c>
      <c r="H1120">
        <v>1122</v>
      </c>
    </row>
    <row r="1121" spans="1:8">
      <c r="A1121">
        <v>2023</v>
      </c>
      <c r="C1121" t="s">
        <v>88</v>
      </c>
      <c r="D1121" t="s">
        <v>51</v>
      </c>
      <c r="F1121">
        <v>254</v>
      </c>
      <c r="G1121">
        <v>886</v>
      </c>
      <c r="H1121">
        <v>1140</v>
      </c>
    </row>
    <row r="1122" spans="1:8">
      <c r="A1122">
        <v>2024</v>
      </c>
      <c r="C1122" t="s">
        <v>88</v>
      </c>
      <c r="D1122" t="s">
        <v>51</v>
      </c>
      <c r="F1122">
        <v>244</v>
      </c>
      <c r="G1122">
        <v>948</v>
      </c>
      <c r="H1122">
        <v>1192</v>
      </c>
    </row>
    <row r="1123" spans="1:8">
      <c r="A1123">
        <v>2025</v>
      </c>
      <c r="C1123" t="s">
        <v>88</v>
      </c>
      <c r="D1123" t="s">
        <v>51</v>
      </c>
      <c r="F1123">
        <v>247</v>
      </c>
      <c r="G1123">
        <v>1035</v>
      </c>
      <c r="H1123">
        <v>1282</v>
      </c>
    </row>
    <row r="1124" spans="1:8">
      <c r="A1124">
        <v>2020</v>
      </c>
      <c r="C1124" t="s">
        <v>89</v>
      </c>
      <c r="D1124" t="s">
        <v>51</v>
      </c>
      <c r="F1124">
        <v>129</v>
      </c>
      <c r="G1124">
        <v>507</v>
      </c>
      <c r="H1124">
        <v>636</v>
      </c>
    </row>
    <row r="1125" spans="1:8">
      <c r="A1125">
        <v>2021</v>
      </c>
      <c r="C1125" t="s">
        <v>89</v>
      </c>
      <c r="D1125" t="s">
        <v>51</v>
      </c>
      <c r="F1125">
        <v>135</v>
      </c>
      <c r="G1125">
        <v>486</v>
      </c>
      <c r="H1125">
        <v>621</v>
      </c>
    </row>
    <row r="1126" spans="1:8">
      <c r="A1126">
        <v>2022</v>
      </c>
      <c r="C1126" t="s">
        <v>89</v>
      </c>
      <c r="D1126" t="s">
        <v>51</v>
      </c>
      <c r="F1126">
        <v>168</v>
      </c>
      <c r="G1126">
        <v>502</v>
      </c>
      <c r="H1126">
        <v>670</v>
      </c>
    </row>
    <row r="1127" spans="1:8">
      <c r="A1127">
        <v>2023</v>
      </c>
      <c r="C1127" t="s">
        <v>89</v>
      </c>
      <c r="D1127" t="s">
        <v>51</v>
      </c>
      <c r="F1127">
        <v>173</v>
      </c>
      <c r="G1127">
        <v>512</v>
      </c>
      <c r="H1127">
        <v>685</v>
      </c>
    </row>
    <row r="1128" spans="1:8">
      <c r="A1128">
        <v>2024</v>
      </c>
      <c r="C1128" t="s">
        <v>89</v>
      </c>
      <c r="D1128" t="s">
        <v>51</v>
      </c>
      <c r="F1128">
        <v>143</v>
      </c>
      <c r="G1128">
        <v>534</v>
      </c>
      <c r="H1128">
        <v>677</v>
      </c>
    </row>
    <row r="1129" spans="1:8">
      <c r="A1129">
        <v>2025</v>
      </c>
      <c r="C1129" t="s">
        <v>89</v>
      </c>
      <c r="D1129" t="s">
        <v>51</v>
      </c>
      <c r="F1129">
        <v>184</v>
      </c>
      <c r="G1129">
        <v>554</v>
      </c>
      <c r="H1129">
        <v>738</v>
      </c>
    </row>
    <row r="1130" spans="1:8">
      <c r="A1130">
        <v>2020</v>
      </c>
      <c r="C1130" t="s">
        <v>90</v>
      </c>
      <c r="D1130" t="s">
        <v>51</v>
      </c>
      <c r="F1130">
        <v>116</v>
      </c>
      <c r="G1130">
        <v>389</v>
      </c>
      <c r="H1130">
        <v>505</v>
      </c>
    </row>
    <row r="1131" spans="1:8">
      <c r="A1131">
        <v>2021</v>
      </c>
      <c r="C1131" t="s">
        <v>90</v>
      </c>
      <c r="D1131" t="s">
        <v>51</v>
      </c>
      <c r="F1131">
        <v>83</v>
      </c>
      <c r="G1131">
        <v>376</v>
      </c>
      <c r="H1131">
        <v>459</v>
      </c>
    </row>
    <row r="1132" spans="1:8">
      <c r="A1132">
        <v>2022</v>
      </c>
      <c r="C1132" t="s">
        <v>90</v>
      </c>
      <c r="D1132" t="s">
        <v>51</v>
      </c>
      <c r="F1132">
        <v>84</v>
      </c>
      <c r="G1132">
        <v>326</v>
      </c>
      <c r="H1132">
        <v>410</v>
      </c>
    </row>
    <row r="1133" spans="1:8">
      <c r="A1133">
        <v>2023</v>
      </c>
      <c r="C1133" t="s">
        <v>90</v>
      </c>
      <c r="D1133" t="s">
        <v>51</v>
      </c>
      <c r="F1133">
        <v>72</v>
      </c>
      <c r="G1133">
        <v>301</v>
      </c>
      <c r="H1133">
        <v>373</v>
      </c>
    </row>
    <row r="1134" spans="1:8">
      <c r="A1134">
        <v>2024</v>
      </c>
      <c r="C1134" t="s">
        <v>90</v>
      </c>
      <c r="D1134" t="s">
        <v>51</v>
      </c>
      <c r="F1134">
        <v>69</v>
      </c>
      <c r="G1134">
        <v>254</v>
      </c>
      <c r="H1134">
        <v>323</v>
      </c>
    </row>
    <row r="1135" spans="1:8">
      <c r="A1135">
        <v>2025</v>
      </c>
      <c r="C1135" t="s">
        <v>90</v>
      </c>
      <c r="D1135" t="s">
        <v>51</v>
      </c>
      <c r="F1135">
        <v>65</v>
      </c>
      <c r="G1135">
        <v>240</v>
      </c>
      <c r="H1135">
        <v>305</v>
      </c>
    </row>
    <row r="1136" spans="1:8">
      <c r="A1136">
        <v>2020</v>
      </c>
      <c r="C1136" t="s">
        <v>91</v>
      </c>
      <c r="D1136" t="s">
        <v>51</v>
      </c>
      <c r="F1136">
        <v>105</v>
      </c>
      <c r="G1136">
        <v>351</v>
      </c>
      <c r="H1136">
        <v>456</v>
      </c>
    </row>
    <row r="1137" spans="1:8">
      <c r="A1137">
        <v>2021</v>
      </c>
      <c r="C1137" t="s">
        <v>91</v>
      </c>
      <c r="D1137" t="s">
        <v>51</v>
      </c>
      <c r="F1137">
        <v>100</v>
      </c>
      <c r="G1137">
        <v>339</v>
      </c>
      <c r="H1137">
        <v>439</v>
      </c>
    </row>
    <row r="1138" spans="1:8">
      <c r="A1138">
        <v>2022</v>
      </c>
      <c r="C1138" t="s">
        <v>91</v>
      </c>
      <c r="D1138" t="s">
        <v>51</v>
      </c>
      <c r="F1138">
        <v>138</v>
      </c>
      <c r="G1138">
        <v>327</v>
      </c>
      <c r="H1138">
        <v>465</v>
      </c>
    </row>
    <row r="1139" spans="1:8">
      <c r="A1139">
        <v>2023</v>
      </c>
      <c r="C1139" t="s">
        <v>91</v>
      </c>
      <c r="D1139" t="s">
        <v>51</v>
      </c>
      <c r="F1139">
        <v>133</v>
      </c>
      <c r="G1139">
        <v>353</v>
      </c>
      <c r="H1139">
        <v>486</v>
      </c>
    </row>
    <row r="1140" spans="1:8">
      <c r="A1140">
        <v>2024</v>
      </c>
      <c r="C1140" t="s">
        <v>91</v>
      </c>
      <c r="D1140" t="s">
        <v>51</v>
      </c>
      <c r="F1140">
        <v>110</v>
      </c>
      <c r="G1140">
        <v>361</v>
      </c>
      <c r="H1140">
        <v>471</v>
      </c>
    </row>
    <row r="1141" spans="1:8">
      <c r="A1141">
        <v>2025</v>
      </c>
      <c r="C1141" t="s">
        <v>91</v>
      </c>
      <c r="D1141" t="s">
        <v>51</v>
      </c>
      <c r="F1141">
        <v>109</v>
      </c>
      <c r="G1141">
        <v>356</v>
      </c>
      <c r="H1141">
        <v>465</v>
      </c>
    </row>
    <row r="1142" spans="1:8">
      <c r="A1142">
        <v>2020</v>
      </c>
      <c r="C1142" t="s">
        <v>92</v>
      </c>
      <c r="D1142" t="s">
        <v>51</v>
      </c>
      <c r="F1142">
        <v>99</v>
      </c>
      <c r="G1142">
        <v>331</v>
      </c>
      <c r="H1142">
        <v>430</v>
      </c>
    </row>
    <row r="1143" spans="1:8">
      <c r="A1143">
        <v>2021</v>
      </c>
      <c r="C1143" t="s">
        <v>92</v>
      </c>
      <c r="D1143" t="s">
        <v>51</v>
      </c>
      <c r="F1143">
        <v>106</v>
      </c>
      <c r="G1143">
        <v>372</v>
      </c>
      <c r="H1143">
        <v>478</v>
      </c>
    </row>
    <row r="1144" spans="1:8">
      <c r="A1144">
        <v>2022</v>
      </c>
      <c r="C1144" t="s">
        <v>92</v>
      </c>
      <c r="D1144" t="s">
        <v>51</v>
      </c>
      <c r="F1144">
        <v>98</v>
      </c>
      <c r="G1144">
        <v>393</v>
      </c>
      <c r="H1144">
        <v>491</v>
      </c>
    </row>
    <row r="1145" spans="1:8">
      <c r="A1145">
        <v>2023</v>
      </c>
      <c r="C1145" t="s">
        <v>92</v>
      </c>
      <c r="D1145" t="s">
        <v>51</v>
      </c>
      <c r="F1145">
        <v>124</v>
      </c>
      <c r="G1145">
        <v>382</v>
      </c>
      <c r="H1145">
        <v>506</v>
      </c>
    </row>
    <row r="1146" spans="1:8">
      <c r="A1146">
        <v>2024</v>
      </c>
      <c r="C1146" t="s">
        <v>92</v>
      </c>
      <c r="D1146" t="s">
        <v>51</v>
      </c>
      <c r="F1146">
        <v>116</v>
      </c>
      <c r="G1146">
        <v>418</v>
      </c>
      <c r="H1146">
        <v>534</v>
      </c>
    </row>
    <row r="1147" spans="1:8">
      <c r="A1147">
        <v>2025</v>
      </c>
      <c r="C1147" t="s">
        <v>92</v>
      </c>
      <c r="D1147" t="s">
        <v>51</v>
      </c>
      <c r="F1147">
        <v>107</v>
      </c>
      <c r="G1147">
        <v>413</v>
      </c>
      <c r="H1147">
        <v>520</v>
      </c>
    </row>
    <row r="1148" spans="1:8">
      <c r="A1148">
        <v>2020</v>
      </c>
      <c r="C1148" t="s">
        <v>93</v>
      </c>
      <c r="D1148" t="s">
        <v>51</v>
      </c>
      <c r="F1148">
        <v>13</v>
      </c>
      <c r="G1148">
        <v>0</v>
      </c>
      <c r="H1148">
        <v>13</v>
      </c>
    </row>
    <row r="1149" spans="1:8">
      <c r="A1149">
        <v>2021</v>
      </c>
      <c r="C1149" t="s">
        <v>93</v>
      </c>
      <c r="D1149" t="s">
        <v>51</v>
      </c>
      <c r="F1149">
        <v>22</v>
      </c>
      <c r="G1149">
        <v>8</v>
      </c>
      <c r="H1149">
        <v>30</v>
      </c>
    </row>
    <row r="1150" spans="1:8">
      <c r="A1150">
        <v>2022</v>
      </c>
      <c r="C1150" t="s">
        <v>93</v>
      </c>
      <c r="D1150" t="s">
        <v>51</v>
      </c>
      <c r="F1150">
        <v>17</v>
      </c>
      <c r="G1150">
        <v>24</v>
      </c>
      <c r="H1150">
        <v>41</v>
      </c>
    </row>
    <row r="1151" spans="1:8">
      <c r="A1151">
        <v>2023</v>
      </c>
      <c r="C1151" t="s">
        <v>93</v>
      </c>
      <c r="D1151" t="s">
        <v>51</v>
      </c>
      <c r="F1151">
        <v>20</v>
      </c>
      <c r="G1151">
        <v>34</v>
      </c>
      <c r="H1151">
        <v>54</v>
      </c>
    </row>
    <row r="1152" spans="1:8">
      <c r="A1152">
        <v>2024</v>
      </c>
      <c r="C1152" t="s">
        <v>93</v>
      </c>
      <c r="D1152" t="s">
        <v>51</v>
      </c>
      <c r="F1152">
        <v>41</v>
      </c>
      <c r="G1152">
        <v>42</v>
      </c>
      <c r="H1152">
        <v>83</v>
      </c>
    </row>
    <row r="1153" spans="1:8">
      <c r="A1153">
        <v>2025</v>
      </c>
      <c r="C1153" t="s">
        <v>93</v>
      </c>
      <c r="D1153" t="s">
        <v>51</v>
      </c>
      <c r="F1153">
        <v>42</v>
      </c>
      <c r="G1153">
        <v>71</v>
      </c>
      <c r="H1153">
        <v>113</v>
      </c>
    </row>
    <row r="1154" spans="1:8">
      <c r="A1154">
        <v>2020</v>
      </c>
      <c r="C1154" t="s">
        <v>94</v>
      </c>
      <c r="D1154" t="s">
        <v>51</v>
      </c>
      <c r="F1154">
        <v>0</v>
      </c>
      <c r="G1154">
        <v>0</v>
      </c>
      <c r="H1154">
        <v>0</v>
      </c>
    </row>
    <row r="1155" spans="1:8">
      <c r="A1155">
        <v>2021</v>
      </c>
      <c r="C1155" t="s">
        <v>94</v>
      </c>
      <c r="D1155" t="s">
        <v>51</v>
      </c>
      <c r="F1155">
        <v>0</v>
      </c>
      <c r="G1155">
        <v>0</v>
      </c>
      <c r="H1155">
        <v>0</v>
      </c>
    </row>
    <row r="1156" spans="1:8">
      <c r="A1156">
        <v>2022</v>
      </c>
      <c r="C1156" t="s">
        <v>94</v>
      </c>
      <c r="D1156" t="s">
        <v>51</v>
      </c>
      <c r="F1156">
        <v>0</v>
      </c>
      <c r="G1156">
        <v>0</v>
      </c>
      <c r="H1156">
        <v>0</v>
      </c>
    </row>
    <row r="1157" spans="1:8">
      <c r="A1157">
        <v>2023</v>
      </c>
      <c r="C1157" t="s">
        <v>94</v>
      </c>
      <c r="D1157" t="s">
        <v>51</v>
      </c>
      <c r="F1157">
        <v>0</v>
      </c>
      <c r="G1157">
        <v>0</v>
      </c>
      <c r="H1157">
        <v>0</v>
      </c>
    </row>
    <row r="1158" spans="1:8">
      <c r="A1158">
        <v>2024</v>
      </c>
      <c r="C1158" t="s">
        <v>94</v>
      </c>
      <c r="D1158" t="s">
        <v>51</v>
      </c>
      <c r="F1158">
        <v>0</v>
      </c>
      <c r="G1158">
        <v>0</v>
      </c>
      <c r="H1158">
        <v>0</v>
      </c>
    </row>
    <row r="1159" spans="1:8">
      <c r="A1159">
        <v>2025</v>
      </c>
      <c r="C1159" t="s">
        <v>94</v>
      </c>
      <c r="D1159" t="s">
        <v>51</v>
      </c>
      <c r="F1159">
        <v>59</v>
      </c>
      <c r="G1159">
        <v>0</v>
      </c>
      <c r="H1159">
        <v>59</v>
      </c>
    </row>
    <row r="1160" spans="1:8">
      <c r="A1160">
        <v>2020</v>
      </c>
      <c r="C1160" t="s">
        <v>95</v>
      </c>
      <c r="D1160" t="s">
        <v>51</v>
      </c>
      <c r="F1160">
        <v>0</v>
      </c>
      <c r="G1160">
        <v>0</v>
      </c>
      <c r="H1160">
        <v>0</v>
      </c>
    </row>
    <row r="1161" spans="1:8">
      <c r="A1161">
        <v>2021</v>
      </c>
      <c r="C1161" t="s">
        <v>95</v>
      </c>
      <c r="D1161" t="s">
        <v>51</v>
      </c>
      <c r="F1161">
        <v>0</v>
      </c>
      <c r="G1161">
        <v>0</v>
      </c>
      <c r="H1161">
        <v>0</v>
      </c>
    </row>
    <row r="1162" spans="1:8">
      <c r="A1162">
        <v>2022</v>
      </c>
      <c r="C1162" t="s">
        <v>95</v>
      </c>
      <c r="D1162" t="s">
        <v>51</v>
      </c>
      <c r="F1162">
        <v>0</v>
      </c>
      <c r="G1162">
        <v>0</v>
      </c>
      <c r="H1162">
        <v>0</v>
      </c>
    </row>
    <row r="1163" spans="1:8">
      <c r="A1163">
        <v>2023</v>
      </c>
      <c r="C1163" t="s">
        <v>95</v>
      </c>
      <c r="D1163" t="s">
        <v>51</v>
      </c>
      <c r="F1163">
        <v>0</v>
      </c>
      <c r="G1163">
        <v>0</v>
      </c>
      <c r="H1163">
        <v>0</v>
      </c>
    </row>
    <row r="1164" spans="1:8">
      <c r="A1164">
        <v>2024</v>
      </c>
      <c r="C1164" t="s">
        <v>95</v>
      </c>
      <c r="D1164" t="s">
        <v>51</v>
      </c>
      <c r="F1164">
        <v>71</v>
      </c>
      <c r="G1164">
        <v>0</v>
      </c>
      <c r="H1164">
        <v>71</v>
      </c>
    </row>
    <row r="1165" spans="1:8">
      <c r="A1165">
        <v>2025</v>
      </c>
      <c r="C1165" t="s">
        <v>95</v>
      </c>
      <c r="D1165" t="s">
        <v>51</v>
      </c>
      <c r="F1165">
        <v>82</v>
      </c>
      <c r="G1165">
        <v>50</v>
      </c>
      <c r="H1165">
        <v>132</v>
      </c>
    </row>
    <row r="1166" spans="1:8">
      <c r="A1166">
        <v>2020</v>
      </c>
      <c r="C1166" t="s">
        <v>56</v>
      </c>
      <c r="D1166" t="s">
        <v>45</v>
      </c>
      <c r="F1166">
        <v>0</v>
      </c>
      <c r="G1166">
        <v>0</v>
      </c>
      <c r="H1166">
        <v>0</v>
      </c>
    </row>
    <row r="1167" spans="1:8">
      <c r="A1167">
        <v>2021</v>
      </c>
      <c r="C1167" t="s">
        <v>56</v>
      </c>
      <c r="D1167" t="s">
        <v>45</v>
      </c>
      <c r="F1167">
        <v>0</v>
      </c>
      <c r="G1167">
        <v>0</v>
      </c>
      <c r="H1167">
        <v>0</v>
      </c>
    </row>
    <row r="1168" spans="1:8">
      <c r="A1168">
        <v>2022</v>
      </c>
      <c r="C1168" t="s">
        <v>56</v>
      </c>
      <c r="D1168" t="s">
        <v>45</v>
      </c>
      <c r="F1168">
        <v>0</v>
      </c>
      <c r="G1168">
        <v>0</v>
      </c>
      <c r="H1168">
        <v>0</v>
      </c>
    </row>
    <row r="1169" spans="1:8">
      <c r="A1169">
        <v>2023</v>
      </c>
      <c r="C1169" t="s">
        <v>56</v>
      </c>
      <c r="D1169" t="s">
        <v>45</v>
      </c>
      <c r="F1169">
        <v>0</v>
      </c>
      <c r="G1169">
        <v>0</v>
      </c>
      <c r="H1169">
        <v>0</v>
      </c>
    </row>
    <row r="1170" spans="1:8">
      <c r="A1170">
        <v>2024</v>
      </c>
      <c r="C1170" t="s">
        <v>56</v>
      </c>
      <c r="D1170" t="s">
        <v>45</v>
      </c>
      <c r="F1170">
        <v>0</v>
      </c>
      <c r="G1170">
        <v>0</v>
      </c>
      <c r="H1170">
        <v>0</v>
      </c>
    </row>
    <row r="1171" spans="1:8">
      <c r="A1171">
        <v>2025</v>
      </c>
      <c r="C1171" t="s">
        <v>56</v>
      </c>
      <c r="D1171" t="s">
        <v>45</v>
      </c>
      <c r="F1171">
        <v>0</v>
      </c>
      <c r="G1171">
        <v>0</v>
      </c>
      <c r="H1171">
        <v>0</v>
      </c>
    </row>
    <row r="1172" spans="1:8">
      <c r="A1172">
        <v>2020</v>
      </c>
      <c r="C1172" t="s">
        <v>58</v>
      </c>
      <c r="D1172" t="s">
        <v>45</v>
      </c>
      <c r="F1172">
        <v>289</v>
      </c>
      <c r="G1172">
        <v>465</v>
      </c>
      <c r="H1172">
        <v>754</v>
      </c>
    </row>
    <row r="1173" spans="1:8">
      <c r="A1173">
        <v>2021</v>
      </c>
      <c r="C1173" t="s">
        <v>58</v>
      </c>
      <c r="D1173" t="s">
        <v>45</v>
      </c>
      <c r="F1173">
        <v>241</v>
      </c>
      <c r="G1173">
        <v>436</v>
      </c>
      <c r="H1173">
        <v>677</v>
      </c>
    </row>
    <row r="1174" spans="1:8">
      <c r="A1174">
        <v>2022</v>
      </c>
      <c r="C1174" t="s">
        <v>58</v>
      </c>
      <c r="D1174" t="s">
        <v>45</v>
      </c>
      <c r="F1174">
        <v>318</v>
      </c>
      <c r="G1174">
        <v>430</v>
      </c>
      <c r="H1174">
        <v>748</v>
      </c>
    </row>
    <row r="1175" spans="1:8">
      <c r="A1175">
        <v>2023</v>
      </c>
      <c r="C1175" t="s">
        <v>58</v>
      </c>
      <c r="D1175" t="s">
        <v>45</v>
      </c>
      <c r="F1175">
        <v>294</v>
      </c>
      <c r="G1175">
        <v>481</v>
      </c>
      <c r="H1175">
        <v>775</v>
      </c>
    </row>
    <row r="1176" spans="1:8">
      <c r="A1176">
        <v>2024</v>
      </c>
      <c r="C1176" t="s">
        <v>58</v>
      </c>
      <c r="D1176" t="s">
        <v>45</v>
      </c>
      <c r="F1176">
        <v>286</v>
      </c>
      <c r="G1176">
        <v>486</v>
      </c>
      <c r="H1176">
        <v>772</v>
      </c>
    </row>
    <row r="1177" spans="1:8">
      <c r="A1177">
        <v>2025</v>
      </c>
      <c r="C1177" t="s">
        <v>58</v>
      </c>
      <c r="D1177" t="s">
        <v>45</v>
      </c>
      <c r="F1177">
        <v>280</v>
      </c>
      <c r="G1177">
        <v>451</v>
      </c>
      <c r="H1177">
        <v>731</v>
      </c>
    </row>
    <row r="1178" spans="1:8">
      <c r="A1178">
        <v>2020</v>
      </c>
      <c r="C1178" t="s">
        <v>60</v>
      </c>
      <c r="D1178" t="s">
        <v>45</v>
      </c>
      <c r="F1178">
        <v>198</v>
      </c>
      <c r="G1178">
        <v>360</v>
      </c>
      <c r="H1178">
        <v>558</v>
      </c>
    </row>
    <row r="1179" spans="1:8">
      <c r="A1179">
        <v>2021</v>
      </c>
      <c r="C1179" t="s">
        <v>60</v>
      </c>
      <c r="D1179" t="s">
        <v>45</v>
      </c>
      <c r="F1179">
        <v>180</v>
      </c>
      <c r="G1179">
        <v>338</v>
      </c>
      <c r="H1179">
        <v>518</v>
      </c>
    </row>
    <row r="1180" spans="1:8">
      <c r="A1180">
        <v>2022</v>
      </c>
      <c r="C1180" t="s">
        <v>60</v>
      </c>
      <c r="D1180" t="s">
        <v>45</v>
      </c>
      <c r="F1180">
        <v>223</v>
      </c>
      <c r="G1180">
        <v>308</v>
      </c>
      <c r="H1180">
        <v>531</v>
      </c>
    </row>
    <row r="1181" spans="1:8">
      <c r="A1181">
        <v>2023</v>
      </c>
      <c r="C1181" t="s">
        <v>60</v>
      </c>
      <c r="D1181" t="s">
        <v>45</v>
      </c>
      <c r="F1181">
        <v>222</v>
      </c>
      <c r="G1181">
        <v>343</v>
      </c>
      <c r="H1181">
        <v>565</v>
      </c>
    </row>
    <row r="1182" spans="1:8">
      <c r="A1182">
        <v>2024</v>
      </c>
      <c r="C1182" t="s">
        <v>60</v>
      </c>
      <c r="D1182" t="s">
        <v>45</v>
      </c>
      <c r="F1182">
        <v>195</v>
      </c>
      <c r="G1182">
        <v>382</v>
      </c>
      <c r="H1182">
        <v>577</v>
      </c>
    </row>
    <row r="1183" spans="1:8">
      <c r="A1183">
        <v>2025</v>
      </c>
      <c r="C1183" t="s">
        <v>60</v>
      </c>
      <c r="D1183" t="s">
        <v>45</v>
      </c>
      <c r="F1183">
        <v>216</v>
      </c>
      <c r="G1183">
        <v>346</v>
      </c>
      <c r="H1183">
        <v>562</v>
      </c>
    </row>
    <row r="1184" spans="1:8">
      <c r="A1184">
        <v>2020</v>
      </c>
      <c r="C1184" t="s">
        <v>62</v>
      </c>
      <c r="D1184" t="s">
        <v>45</v>
      </c>
      <c r="F1184">
        <v>292</v>
      </c>
      <c r="G1184">
        <v>512</v>
      </c>
      <c r="H1184">
        <v>804</v>
      </c>
    </row>
    <row r="1185" spans="1:8">
      <c r="A1185">
        <v>2021</v>
      </c>
      <c r="C1185" t="s">
        <v>62</v>
      </c>
      <c r="D1185" t="s">
        <v>45</v>
      </c>
      <c r="F1185">
        <v>313</v>
      </c>
      <c r="G1185">
        <v>510</v>
      </c>
      <c r="H1185">
        <v>823</v>
      </c>
    </row>
    <row r="1186" spans="1:8">
      <c r="A1186">
        <v>2022</v>
      </c>
      <c r="C1186" t="s">
        <v>62</v>
      </c>
      <c r="D1186" t="s">
        <v>45</v>
      </c>
      <c r="F1186">
        <v>320</v>
      </c>
      <c r="G1186">
        <v>516</v>
      </c>
      <c r="H1186">
        <v>836</v>
      </c>
    </row>
    <row r="1187" spans="1:8">
      <c r="A1187">
        <v>2023</v>
      </c>
      <c r="C1187" t="s">
        <v>62</v>
      </c>
      <c r="D1187" t="s">
        <v>45</v>
      </c>
      <c r="F1187">
        <v>303</v>
      </c>
      <c r="G1187">
        <v>529</v>
      </c>
      <c r="H1187">
        <v>832</v>
      </c>
    </row>
    <row r="1188" spans="1:8">
      <c r="A1188">
        <v>2024</v>
      </c>
      <c r="C1188" t="s">
        <v>62</v>
      </c>
      <c r="D1188" t="s">
        <v>45</v>
      </c>
      <c r="F1188">
        <v>293</v>
      </c>
      <c r="G1188">
        <v>525</v>
      </c>
      <c r="H1188">
        <v>818</v>
      </c>
    </row>
    <row r="1189" spans="1:8">
      <c r="A1189">
        <v>2025</v>
      </c>
      <c r="C1189" t="s">
        <v>62</v>
      </c>
      <c r="D1189" t="s">
        <v>45</v>
      </c>
      <c r="F1189">
        <v>261</v>
      </c>
      <c r="G1189">
        <v>519</v>
      </c>
      <c r="H1189">
        <v>780</v>
      </c>
    </row>
    <row r="1190" spans="1:8">
      <c r="A1190">
        <v>2020</v>
      </c>
      <c r="C1190" t="s">
        <v>64</v>
      </c>
      <c r="D1190" t="s">
        <v>45</v>
      </c>
      <c r="F1190">
        <v>371</v>
      </c>
      <c r="G1190">
        <v>653</v>
      </c>
      <c r="H1190">
        <v>1024</v>
      </c>
    </row>
    <row r="1191" spans="1:8">
      <c r="A1191">
        <v>2021</v>
      </c>
      <c r="C1191" t="s">
        <v>64</v>
      </c>
      <c r="D1191" t="s">
        <v>45</v>
      </c>
      <c r="F1191">
        <v>382</v>
      </c>
      <c r="G1191">
        <v>673</v>
      </c>
      <c r="H1191">
        <v>1055</v>
      </c>
    </row>
    <row r="1192" spans="1:8">
      <c r="A1192">
        <v>2022</v>
      </c>
      <c r="C1192" t="s">
        <v>64</v>
      </c>
      <c r="D1192" t="s">
        <v>45</v>
      </c>
      <c r="F1192">
        <v>418</v>
      </c>
      <c r="G1192">
        <v>664</v>
      </c>
      <c r="H1192">
        <v>1082</v>
      </c>
    </row>
    <row r="1193" spans="1:8">
      <c r="A1193">
        <v>2023</v>
      </c>
      <c r="C1193" t="s">
        <v>64</v>
      </c>
      <c r="D1193" t="s">
        <v>45</v>
      </c>
      <c r="F1193">
        <v>539</v>
      </c>
      <c r="G1193">
        <v>749</v>
      </c>
      <c r="H1193">
        <v>1288</v>
      </c>
    </row>
    <row r="1194" spans="1:8">
      <c r="A1194">
        <v>2024</v>
      </c>
      <c r="C1194" t="s">
        <v>64</v>
      </c>
      <c r="D1194" t="s">
        <v>45</v>
      </c>
      <c r="F1194">
        <v>566</v>
      </c>
      <c r="G1194">
        <v>889</v>
      </c>
      <c r="H1194">
        <v>1455</v>
      </c>
    </row>
    <row r="1195" spans="1:8">
      <c r="A1195">
        <v>2025</v>
      </c>
      <c r="C1195" t="s">
        <v>64</v>
      </c>
      <c r="D1195" t="s">
        <v>45</v>
      </c>
      <c r="F1195">
        <v>560</v>
      </c>
      <c r="G1195">
        <v>981</v>
      </c>
      <c r="H1195">
        <v>1541</v>
      </c>
    </row>
    <row r="1196" spans="1:8">
      <c r="A1196">
        <v>2020</v>
      </c>
      <c r="C1196" t="s">
        <v>66</v>
      </c>
      <c r="D1196" t="s">
        <v>45</v>
      </c>
      <c r="F1196">
        <v>241</v>
      </c>
      <c r="G1196">
        <v>410</v>
      </c>
      <c r="H1196">
        <v>651</v>
      </c>
    </row>
    <row r="1197" spans="1:8">
      <c r="A1197">
        <v>2021</v>
      </c>
      <c r="C1197" t="s">
        <v>66</v>
      </c>
      <c r="D1197" t="s">
        <v>45</v>
      </c>
      <c r="F1197">
        <v>213</v>
      </c>
      <c r="G1197">
        <v>439</v>
      </c>
      <c r="H1197">
        <v>652</v>
      </c>
    </row>
    <row r="1198" spans="1:8">
      <c r="A1198">
        <v>2022</v>
      </c>
      <c r="C1198" t="s">
        <v>66</v>
      </c>
      <c r="D1198" t="s">
        <v>45</v>
      </c>
      <c r="F1198">
        <v>252</v>
      </c>
      <c r="G1198">
        <v>381</v>
      </c>
      <c r="H1198">
        <v>633</v>
      </c>
    </row>
    <row r="1199" spans="1:8">
      <c r="A1199">
        <v>2023</v>
      </c>
      <c r="C1199" t="s">
        <v>66</v>
      </c>
      <c r="D1199" t="s">
        <v>45</v>
      </c>
      <c r="F1199">
        <v>285</v>
      </c>
      <c r="G1199">
        <v>408</v>
      </c>
      <c r="H1199">
        <v>693</v>
      </c>
    </row>
    <row r="1200" spans="1:8">
      <c r="A1200">
        <v>2024</v>
      </c>
      <c r="C1200" t="s">
        <v>66</v>
      </c>
      <c r="D1200" t="s">
        <v>45</v>
      </c>
      <c r="F1200">
        <v>289</v>
      </c>
      <c r="G1200">
        <v>461</v>
      </c>
      <c r="H1200">
        <v>750</v>
      </c>
    </row>
    <row r="1201" spans="1:8">
      <c r="A1201">
        <v>2025</v>
      </c>
      <c r="C1201" t="s">
        <v>66</v>
      </c>
      <c r="D1201" t="s">
        <v>45</v>
      </c>
      <c r="F1201">
        <v>281</v>
      </c>
      <c r="G1201">
        <v>467</v>
      </c>
      <c r="H1201">
        <v>748</v>
      </c>
    </row>
    <row r="1202" spans="1:8">
      <c r="A1202">
        <v>2020</v>
      </c>
      <c r="C1202" t="s">
        <v>68</v>
      </c>
      <c r="D1202" t="s">
        <v>45</v>
      </c>
      <c r="F1202">
        <v>373</v>
      </c>
      <c r="G1202">
        <v>600</v>
      </c>
      <c r="H1202">
        <v>973</v>
      </c>
    </row>
    <row r="1203" spans="1:8">
      <c r="A1203">
        <v>2021</v>
      </c>
      <c r="C1203" t="s">
        <v>68</v>
      </c>
      <c r="D1203" t="s">
        <v>45</v>
      </c>
      <c r="F1203">
        <v>364</v>
      </c>
      <c r="G1203">
        <v>634</v>
      </c>
      <c r="H1203">
        <v>998</v>
      </c>
    </row>
    <row r="1204" spans="1:8">
      <c r="A1204">
        <v>2022</v>
      </c>
      <c r="C1204" t="s">
        <v>68</v>
      </c>
      <c r="D1204" t="s">
        <v>45</v>
      </c>
      <c r="F1204">
        <v>466</v>
      </c>
      <c r="G1204">
        <v>654</v>
      </c>
      <c r="H1204">
        <v>1120</v>
      </c>
    </row>
    <row r="1205" spans="1:8">
      <c r="A1205">
        <v>2023</v>
      </c>
      <c r="C1205" t="s">
        <v>68</v>
      </c>
      <c r="D1205" t="s">
        <v>45</v>
      </c>
      <c r="F1205">
        <v>462</v>
      </c>
      <c r="G1205">
        <v>730</v>
      </c>
      <c r="H1205">
        <v>1192</v>
      </c>
    </row>
    <row r="1206" spans="1:8">
      <c r="A1206">
        <v>2024</v>
      </c>
      <c r="C1206" t="s">
        <v>68</v>
      </c>
      <c r="D1206" t="s">
        <v>45</v>
      </c>
      <c r="F1206">
        <v>382</v>
      </c>
      <c r="G1206">
        <v>745</v>
      </c>
      <c r="H1206">
        <v>1127</v>
      </c>
    </row>
    <row r="1207" spans="1:8">
      <c r="A1207">
        <v>2025</v>
      </c>
      <c r="C1207" t="s">
        <v>68</v>
      </c>
      <c r="D1207" t="s">
        <v>45</v>
      </c>
      <c r="F1207">
        <v>380</v>
      </c>
      <c r="G1207">
        <v>678</v>
      </c>
      <c r="H1207">
        <v>1058</v>
      </c>
    </row>
    <row r="1208" spans="1:8">
      <c r="A1208">
        <v>2020</v>
      </c>
      <c r="C1208" t="s">
        <v>69</v>
      </c>
      <c r="D1208" t="s">
        <v>45</v>
      </c>
      <c r="F1208">
        <v>245</v>
      </c>
      <c r="G1208">
        <v>427</v>
      </c>
      <c r="H1208">
        <v>672</v>
      </c>
    </row>
    <row r="1209" spans="1:8">
      <c r="A1209">
        <v>2021</v>
      </c>
      <c r="C1209" t="s">
        <v>69</v>
      </c>
      <c r="D1209" t="s">
        <v>45</v>
      </c>
      <c r="F1209">
        <v>254</v>
      </c>
      <c r="G1209">
        <v>398</v>
      </c>
      <c r="H1209">
        <v>652</v>
      </c>
    </row>
    <row r="1210" spans="1:8">
      <c r="A1210">
        <v>2022</v>
      </c>
      <c r="C1210" t="s">
        <v>69</v>
      </c>
      <c r="D1210" t="s">
        <v>45</v>
      </c>
      <c r="F1210">
        <v>323</v>
      </c>
      <c r="G1210">
        <v>423</v>
      </c>
      <c r="H1210">
        <v>746</v>
      </c>
    </row>
    <row r="1211" spans="1:8">
      <c r="A1211">
        <v>2023</v>
      </c>
      <c r="C1211" t="s">
        <v>69</v>
      </c>
      <c r="D1211" t="s">
        <v>45</v>
      </c>
      <c r="F1211">
        <v>362</v>
      </c>
      <c r="G1211">
        <v>517</v>
      </c>
      <c r="H1211">
        <v>879</v>
      </c>
    </row>
    <row r="1212" spans="1:8">
      <c r="A1212">
        <v>2024</v>
      </c>
      <c r="C1212" t="s">
        <v>69</v>
      </c>
      <c r="D1212" t="s">
        <v>45</v>
      </c>
      <c r="F1212">
        <v>401</v>
      </c>
      <c r="G1212">
        <v>597</v>
      </c>
      <c r="H1212">
        <v>998</v>
      </c>
    </row>
    <row r="1213" spans="1:8">
      <c r="A1213">
        <v>2025</v>
      </c>
      <c r="C1213" t="s">
        <v>69</v>
      </c>
      <c r="D1213" t="s">
        <v>45</v>
      </c>
      <c r="F1213">
        <v>439</v>
      </c>
      <c r="G1213">
        <v>704</v>
      </c>
      <c r="H1213">
        <v>1143</v>
      </c>
    </row>
    <row r="1214" spans="1:8">
      <c r="A1214">
        <v>2020</v>
      </c>
      <c r="C1214" t="s">
        <v>71</v>
      </c>
      <c r="D1214" t="s">
        <v>45</v>
      </c>
      <c r="F1214">
        <v>102</v>
      </c>
      <c r="G1214">
        <v>115</v>
      </c>
      <c r="H1214">
        <v>217</v>
      </c>
    </row>
    <row r="1215" spans="1:8">
      <c r="A1215">
        <v>2021</v>
      </c>
      <c r="C1215" t="s">
        <v>71</v>
      </c>
      <c r="D1215" t="s">
        <v>45</v>
      </c>
      <c r="F1215">
        <v>100</v>
      </c>
      <c r="G1215">
        <v>132</v>
      </c>
      <c r="H1215">
        <v>232</v>
      </c>
    </row>
    <row r="1216" spans="1:8">
      <c r="A1216">
        <v>2022</v>
      </c>
      <c r="C1216" t="s">
        <v>71</v>
      </c>
      <c r="D1216" t="s">
        <v>45</v>
      </c>
      <c r="F1216">
        <v>101</v>
      </c>
      <c r="G1216">
        <v>149</v>
      </c>
      <c r="H1216">
        <v>250</v>
      </c>
    </row>
    <row r="1217" spans="1:8">
      <c r="A1217">
        <v>2023</v>
      </c>
      <c r="C1217" t="s">
        <v>71</v>
      </c>
      <c r="D1217" t="s">
        <v>45</v>
      </c>
      <c r="F1217">
        <v>89</v>
      </c>
      <c r="G1217">
        <v>157</v>
      </c>
      <c r="H1217">
        <v>246</v>
      </c>
    </row>
    <row r="1218" spans="1:8">
      <c r="A1218">
        <v>2024</v>
      </c>
      <c r="C1218" t="s">
        <v>71</v>
      </c>
      <c r="D1218" t="s">
        <v>45</v>
      </c>
      <c r="F1218">
        <v>84</v>
      </c>
      <c r="G1218">
        <v>145</v>
      </c>
      <c r="H1218">
        <v>229</v>
      </c>
    </row>
    <row r="1219" spans="1:8">
      <c r="A1219">
        <v>2025</v>
      </c>
      <c r="C1219" t="s">
        <v>71</v>
      </c>
      <c r="D1219" t="s">
        <v>45</v>
      </c>
      <c r="F1219">
        <v>103</v>
      </c>
      <c r="G1219">
        <v>135</v>
      </c>
      <c r="H1219">
        <v>238</v>
      </c>
    </row>
    <row r="1220" spans="1:8">
      <c r="A1220">
        <v>2020</v>
      </c>
      <c r="C1220" t="s">
        <v>73</v>
      </c>
      <c r="D1220" t="s">
        <v>45</v>
      </c>
      <c r="F1220">
        <v>422</v>
      </c>
      <c r="G1220">
        <v>821</v>
      </c>
      <c r="H1220">
        <v>1243</v>
      </c>
    </row>
    <row r="1221" spans="1:8">
      <c r="A1221">
        <v>2021</v>
      </c>
      <c r="C1221" t="s">
        <v>73</v>
      </c>
      <c r="D1221" t="s">
        <v>45</v>
      </c>
      <c r="F1221">
        <v>317</v>
      </c>
      <c r="G1221">
        <v>790</v>
      </c>
      <c r="H1221">
        <v>1107</v>
      </c>
    </row>
    <row r="1222" spans="1:8">
      <c r="A1222">
        <v>2022</v>
      </c>
      <c r="C1222" t="s">
        <v>73</v>
      </c>
      <c r="D1222" t="s">
        <v>45</v>
      </c>
      <c r="F1222">
        <v>434</v>
      </c>
      <c r="G1222">
        <v>657</v>
      </c>
      <c r="H1222">
        <v>1091</v>
      </c>
    </row>
    <row r="1223" spans="1:8">
      <c r="A1223">
        <v>2023</v>
      </c>
      <c r="C1223" t="s">
        <v>73</v>
      </c>
      <c r="D1223" t="s">
        <v>45</v>
      </c>
      <c r="F1223">
        <v>467</v>
      </c>
      <c r="G1223">
        <v>713</v>
      </c>
      <c r="H1223">
        <v>1180</v>
      </c>
    </row>
    <row r="1224" spans="1:8">
      <c r="A1224">
        <v>2024</v>
      </c>
      <c r="C1224" t="s">
        <v>73</v>
      </c>
      <c r="D1224" t="s">
        <v>45</v>
      </c>
      <c r="F1224">
        <v>510</v>
      </c>
      <c r="G1224">
        <v>836</v>
      </c>
      <c r="H1224">
        <v>1346</v>
      </c>
    </row>
    <row r="1225" spans="1:8">
      <c r="A1225">
        <v>2025</v>
      </c>
      <c r="C1225" t="s">
        <v>73</v>
      </c>
      <c r="D1225" t="s">
        <v>45</v>
      </c>
      <c r="F1225">
        <v>509</v>
      </c>
      <c r="G1225">
        <v>901</v>
      </c>
      <c r="H1225">
        <v>1410</v>
      </c>
    </row>
    <row r="1226" spans="1:8">
      <c r="A1226">
        <v>2020</v>
      </c>
      <c r="C1226" t="s">
        <v>74</v>
      </c>
      <c r="D1226" t="s">
        <v>45</v>
      </c>
      <c r="F1226">
        <v>367</v>
      </c>
      <c r="G1226">
        <v>629</v>
      </c>
      <c r="H1226">
        <v>996</v>
      </c>
    </row>
    <row r="1227" spans="1:8">
      <c r="A1227">
        <v>2021</v>
      </c>
      <c r="C1227" t="s">
        <v>74</v>
      </c>
      <c r="D1227" t="s">
        <v>45</v>
      </c>
      <c r="F1227">
        <v>255</v>
      </c>
      <c r="G1227">
        <v>652</v>
      </c>
      <c r="H1227">
        <v>907</v>
      </c>
    </row>
    <row r="1228" spans="1:8">
      <c r="A1228">
        <v>2022</v>
      </c>
      <c r="C1228" t="s">
        <v>74</v>
      </c>
      <c r="D1228" t="s">
        <v>45</v>
      </c>
      <c r="F1228">
        <v>301</v>
      </c>
      <c r="G1228">
        <v>538</v>
      </c>
      <c r="H1228">
        <v>839</v>
      </c>
    </row>
    <row r="1229" spans="1:8">
      <c r="A1229">
        <v>2023</v>
      </c>
      <c r="C1229" t="s">
        <v>74</v>
      </c>
      <c r="D1229" t="s">
        <v>45</v>
      </c>
      <c r="F1229">
        <v>267</v>
      </c>
      <c r="G1229">
        <v>514</v>
      </c>
      <c r="H1229">
        <v>781</v>
      </c>
    </row>
    <row r="1230" spans="1:8">
      <c r="A1230">
        <v>2024</v>
      </c>
      <c r="C1230" t="s">
        <v>74</v>
      </c>
      <c r="D1230" t="s">
        <v>45</v>
      </c>
      <c r="F1230">
        <v>267</v>
      </c>
      <c r="G1230">
        <v>537</v>
      </c>
      <c r="H1230">
        <v>804</v>
      </c>
    </row>
    <row r="1231" spans="1:8">
      <c r="A1231">
        <v>2025</v>
      </c>
      <c r="C1231" t="s">
        <v>74</v>
      </c>
      <c r="D1231" t="s">
        <v>45</v>
      </c>
      <c r="F1231">
        <v>298</v>
      </c>
      <c r="G1231">
        <v>527</v>
      </c>
      <c r="H1231">
        <v>825</v>
      </c>
    </row>
    <row r="1232" spans="1:8">
      <c r="A1232">
        <v>2020</v>
      </c>
      <c r="C1232" t="s">
        <v>75</v>
      </c>
      <c r="D1232" t="s">
        <v>45</v>
      </c>
      <c r="F1232">
        <v>126</v>
      </c>
      <c r="G1232">
        <v>179</v>
      </c>
      <c r="H1232">
        <v>305</v>
      </c>
    </row>
    <row r="1233" spans="1:8">
      <c r="A1233">
        <v>2021</v>
      </c>
      <c r="C1233" t="s">
        <v>75</v>
      </c>
      <c r="D1233" t="s">
        <v>45</v>
      </c>
      <c r="F1233">
        <v>134</v>
      </c>
      <c r="G1233">
        <v>172</v>
      </c>
      <c r="H1233">
        <v>306</v>
      </c>
    </row>
    <row r="1234" spans="1:8">
      <c r="A1234">
        <v>2022</v>
      </c>
      <c r="C1234" t="s">
        <v>75</v>
      </c>
      <c r="D1234" t="s">
        <v>45</v>
      </c>
      <c r="F1234">
        <v>215</v>
      </c>
      <c r="G1234">
        <v>182</v>
      </c>
      <c r="H1234">
        <v>397</v>
      </c>
    </row>
    <row r="1235" spans="1:8">
      <c r="A1235">
        <v>2023</v>
      </c>
      <c r="C1235" t="s">
        <v>75</v>
      </c>
      <c r="D1235" t="s">
        <v>45</v>
      </c>
      <c r="F1235">
        <v>240</v>
      </c>
      <c r="G1235">
        <v>260</v>
      </c>
      <c r="H1235">
        <v>500</v>
      </c>
    </row>
    <row r="1236" spans="1:8">
      <c r="A1236">
        <v>2024</v>
      </c>
      <c r="C1236" t="s">
        <v>75</v>
      </c>
      <c r="D1236" t="s">
        <v>45</v>
      </c>
      <c r="F1236">
        <v>216</v>
      </c>
      <c r="G1236">
        <v>306</v>
      </c>
      <c r="H1236">
        <v>522</v>
      </c>
    </row>
    <row r="1237" spans="1:8">
      <c r="A1237">
        <v>2025</v>
      </c>
      <c r="C1237" t="s">
        <v>75</v>
      </c>
      <c r="D1237" t="s">
        <v>45</v>
      </c>
      <c r="F1237">
        <v>223</v>
      </c>
      <c r="G1237">
        <v>352</v>
      </c>
      <c r="H1237">
        <v>575</v>
      </c>
    </row>
    <row r="1238" spans="1:8">
      <c r="A1238">
        <v>2020</v>
      </c>
      <c r="C1238" t="s">
        <v>76</v>
      </c>
      <c r="D1238" t="s">
        <v>45</v>
      </c>
      <c r="F1238">
        <v>269</v>
      </c>
      <c r="G1238">
        <v>382</v>
      </c>
      <c r="H1238">
        <v>651</v>
      </c>
    </row>
    <row r="1239" spans="1:8">
      <c r="A1239">
        <v>2021</v>
      </c>
      <c r="C1239" t="s">
        <v>76</v>
      </c>
      <c r="D1239" t="s">
        <v>45</v>
      </c>
      <c r="F1239">
        <v>232</v>
      </c>
      <c r="G1239">
        <v>437</v>
      </c>
      <c r="H1239">
        <v>669</v>
      </c>
    </row>
    <row r="1240" spans="1:8">
      <c r="A1240">
        <v>2022</v>
      </c>
      <c r="C1240" t="s">
        <v>76</v>
      </c>
      <c r="D1240" t="s">
        <v>45</v>
      </c>
      <c r="F1240">
        <v>259</v>
      </c>
      <c r="G1240">
        <v>462</v>
      </c>
      <c r="H1240">
        <v>721</v>
      </c>
    </row>
    <row r="1241" spans="1:8">
      <c r="A1241">
        <v>2023</v>
      </c>
      <c r="C1241" t="s">
        <v>76</v>
      </c>
      <c r="D1241" t="s">
        <v>45</v>
      </c>
      <c r="F1241">
        <v>300</v>
      </c>
      <c r="G1241">
        <v>471</v>
      </c>
      <c r="H1241">
        <v>771</v>
      </c>
    </row>
    <row r="1242" spans="1:8">
      <c r="A1242">
        <v>2024</v>
      </c>
      <c r="C1242" t="s">
        <v>76</v>
      </c>
      <c r="D1242" t="s">
        <v>45</v>
      </c>
      <c r="F1242">
        <v>286</v>
      </c>
      <c r="G1242">
        <v>496</v>
      </c>
      <c r="H1242">
        <v>782</v>
      </c>
    </row>
    <row r="1243" spans="1:8">
      <c r="A1243">
        <v>2025</v>
      </c>
      <c r="C1243" t="s">
        <v>76</v>
      </c>
      <c r="D1243" t="s">
        <v>45</v>
      </c>
      <c r="F1243">
        <v>239</v>
      </c>
      <c r="G1243">
        <v>526</v>
      </c>
      <c r="H1243">
        <v>765</v>
      </c>
    </row>
    <row r="1244" spans="1:8">
      <c r="A1244">
        <v>2020</v>
      </c>
      <c r="C1244" t="s">
        <v>77</v>
      </c>
      <c r="D1244" t="s">
        <v>45</v>
      </c>
      <c r="F1244">
        <v>146</v>
      </c>
      <c r="G1244">
        <v>287</v>
      </c>
      <c r="H1244">
        <v>433</v>
      </c>
    </row>
    <row r="1245" spans="1:8">
      <c r="A1245">
        <v>2021</v>
      </c>
      <c r="C1245" t="s">
        <v>77</v>
      </c>
      <c r="D1245" t="s">
        <v>45</v>
      </c>
      <c r="F1245">
        <v>122</v>
      </c>
      <c r="G1245">
        <v>244</v>
      </c>
      <c r="H1245">
        <v>366</v>
      </c>
    </row>
    <row r="1246" spans="1:8">
      <c r="A1246">
        <v>2022</v>
      </c>
      <c r="C1246" t="s">
        <v>77</v>
      </c>
      <c r="D1246" t="s">
        <v>45</v>
      </c>
      <c r="F1246">
        <v>186</v>
      </c>
      <c r="G1246">
        <v>221</v>
      </c>
      <c r="H1246">
        <v>407</v>
      </c>
    </row>
    <row r="1247" spans="1:8">
      <c r="A1247">
        <v>2023</v>
      </c>
      <c r="C1247" t="s">
        <v>77</v>
      </c>
      <c r="D1247" t="s">
        <v>45</v>
      </c>
      <c r="F1247">
        <v>227</v>
      </c>
      <c r="G1247">
        <v>286</v>
      </c>
      <c r="H1247">
        <v>513</v>
      </c>
    </row>
    <row r="1248" spans="1:8">
      <c r="A1248">
        <v>2024</v>
      </c>
      <c r="C1248" t="s">
        <v>77</v>
      </c>
      <c r="D1248" t="s">
        <v>45</v>
      </c>
      <c r="F1248">
        <v>227</v>
      </c>
      <c r="G1248">
        <v>398</v>
      </c>
      <c r="H1248">
        <v>625</v>
      </c>
    </row>
    <row r="1249" spans="1:8">
      <c r="A1249">
        <v>2025</v>
      </c>
      <c r="C1249" t="s">
        <v>77</v>
      </c>
      <c r="D1249" t="s">
        <v>45</v>
      </c>
      <c r="F1249">
        <v>242</v>
      </c>
      <c r="G1249">
        <v>494</v>
      </c>
      <c r="H1249">
        <v>736</v>
      </c>
    </row>
    <row r="1250" spans="1:8">
      <c r="A1250">
        <v>2020</v>
      </c>
      <c r="C1250" t="s">
        <v>78</v>
      </c>
      <c r="D1250" t="s">
        <v>45</v>
      </c>
      <c r="F1250">
        <v>406</v>
      </c>
      <c r="G1250">
        <v>762</v>
      </c>
      <c r="H1250">
        <v>1168</v>
      </c>
    </row>
    <row r="1251" spans="1:8">
      <c r="A1251">
        <v>2021</v>
      </c>
      <c r="C1251" t="s">
        <v>78</v>
      </c>
      <c r="D1251" t="s">
        <v>45</v>
      </c>
      <c r="F1251">
        <v>424</v>
      </c>
      <c r="G1251">
        <v>743</v>
      </c>
      <c r="H1251">
        <v>1167</v>
      </c>
    </row>
    <row r="1252" spans="1:8">
      <c r="A1252">
        <v>2022</v>
      </c>
      <c r="C1252" t="s">
        <v>78</v>
      </c>
      <c r="D1252" t="s">
        <v>45</v>
      </c>
      <c r="F1252">
        <v>511</v>
      </c>
      <c r="G1252">
        <v>742</v>
      </c>
      <c r="H1252">
        <v>1253</v>
      </c>
    </row>
    <row r="1253" spans="1:8">
      <c r="A1253">
        <v>2023</v>
      </c>
      <c r="C1253" t="s">
        <v>78</v>
      </c>
      <c r="D1253" t="s">
        <v>45</v>
      </c>
      <c r="F1253">
        <v>525</v>
      </c>
      <c r="G1253">
        <v>836</v>
      </c>
      <c r="H1253">
        <v>1361</v>
      </c>
    </row>
    <row r="1254" spans="1:8">
      <c r="A1254">
        <v>2024</v>
      </c>
      <c r="C1254" t="s">
        <v>78</v>
      </c>
      <c r="D1254" t="s">
        <v>45</v>
      </c>
      <c r="F1254">
        <v>543</v>
      </c>
      <c r="G1254">
        <v>896</v>
      </c>
      <c r="H1254">
        <v>1439</v>
      </c>
    </row>
    <row r="1255" spans="1:8">
      <c r="A1255">
        <v>2025</v>
      </c>
      <c r="C1255" t="s">
        <v>78</v>
      </c>
      <c r="D1255" t="s">
        <v>45</v>
      </c>
      <c r="F1255">
        <v>508</v>
      </c>
      <c r="G1255">
        <v>914</v>
      </c>
      <c r="H1255">
        <v>1422</v>
      </c>
    </row>
    <row r="1256" spans="1:8">
      <c r="A1256">
        <v>2020</v>
      </c>
      <c r="C1256" t="s">
        <v>79</v>
      </c>
      <c r="D1256" t="s">
        <v>45</v>
      </c>
      <c r="F1256">
        <v>106</v>
      </c>
      <c r="G1256">
        <v>161</v>
      </c>
      <c r="H1256">
        <v>267</v>
      </c>
    </row>
    <row r="1257" spans="1:8">
      <c r="A1257">
        <v>2021</v>
      </c>
      <c r="C1257" t="s">
        <v>79</v>
      </c>
      <c r="D1257" t="s">
        <v>45</v>
      </c>
      <c r="F1257">
        <v>80</v>
      </c>
      <c r="G1257">
        <v>154</v>
      </c>
      <c r="H1257">
        <v>234</v>
      </c>
    </row>
    <row r="1258" spans="1:8">
      <c r="A1258">
        <v>2022</v>
      </c>
      <c r="C1258" t="s">
        <v>79</v>
      </c>
      <c r="D1258" t="s">
        <v>45</v>
      </c>
      <c r="F1258">
        <v>100</v>
      </c>
      <c r="G1258">
        <v>147</v>
      </c>
      <c r="H1258">
        <v>247</v>
      </c>
    </row>
    <row r="1259" spans="1:8">
      <c r="A1259">
        <v>2023</v>
      </c>
      <c r="C1259" t="s">
        <v>79</v>
      </c>
      <c r="D1259" t="s">
        <v>45</v>
      </c>
      <c r="F1259">
        <v>76</v>
      </c>
      <c r="G1259">
        <v>153</v>
      </c>
      <c r="H1259">
        <v>229</v>
      </c>
    </row>
    <row r="1260" spans="1:8">
      <c r="A1260">
        <v>2024</v>
      </c>
      <c r="C1260" t="s">
        <v>79</v>
      </c>
      <c r="D1260" t="s">
        <v>45</v>
      </c>
      <c r="F1260">
        <v>93</v>
      </c>
      <c r="G1260">
        <v>152</v>
      </c>
      <c r="H1260">
        <v>245</v>
      </c>
    </row>
    <row r="1261" spans="1:8">
      <c r="A1261">
        <v>2025</v>
      </c>
      <c r="C1261" t="s">
        <v>79</v>
      </c>
      <c r="D1261" t="s">
        <v>45</v>
      </c>
      <c r="F1261">
        <v>68</v>
      </c>
      <c r="G1261">
        <v>141</v>
      </c>
      <c r="H1261">
        <v>209</v>
      </c>
    </row>
    <row r="1262" spans="1:8">
      <c r="A1262">
        <v>2020</v>
      </c>
      <c r="C1262" t="s">
        <v>80</v>
      </c>
      <c r="D1262" t="s">
        <v>45</v>
      </c>
      <c r="F1262">
        <v>126</v>
      </c>
      <c r="G1262">
        <v>243</v>
      </c>
      <c r="H1262">
        <v>369</v>
      </c>
    </row>
    <row r="1263" spans="1:8">
      <c r="A1263">
        <v>2021</v>
      </c>
      <c r="C1263" t="s">
        <v>80</v>
      </c>
      <c r="D1263" t="s">
        <v>45</v>
      </c>
      <c r="F1263">
        <v>116</v>
      </c>
      <c r="G1263">
        <v>224</v>
      </c>
      <c r="H1263">
        <v>340</v>
      </c>
    </row>
    <row r="1264" spans="1:8">
      <c r="A1264">
        <v>2022</v>
      </c>
      <c r="C1264" t="s">
        <v>80</v>
      </c>
      <c r="D1264" t="s">
        <v>45</v>
      </c>
      <c r="F1264">
        <v>148</v>
      </c>
      <c r="G1264">
        <v>187</v>
      </c>
      <c r="H1264">
        <v>335</v>
      </c>
    </row>
    <row r="1265" spans="1:8">
      <c r="A1265">
        <v>2023</v>
      </c>
      <c r="C1265" t="s">
        <v>80</v>
      </c>
      <c r="D1265" t="s">
        <v>45</v>
      </c>
      <c r="F1265">
        <v>159</v>
      </c>
      <c r="G1265">
        <v>222</v>
      </c>
      <c r="H1265">
        <v>381</v>
      </c>
    </row>
    <row r="1266" spans="1:8">
      <c r="A1266">
        <v>2024</v>
      </c>
      <c r="C1266" t="s">
        <v>80</v>
      </c>
      <c r="D1266" t="s">
        <v>45</v>
      </c>
      <c r="F1266">
        <v>153</v>
      </c>
      <c r="G1266">
        <v>256</v>
      </c>
      <c r="H1266">
        <v>409</v>
      </c>
    </row>
    <row r="1267" spans="1:8">
      <c r="A1267">
        <v>2025</v>
      </c>
      <c r="C1267" t="s">
        <v>80</v>
      </c>
      <c r="D1267" t="s">
        <v>45</v>
      </c>
      <c r="F1267">
        <v>160</v>
      </c>
      <c r="G1267">
        <v>263</v>
      </c>
      <c r="H1267">
        <v>423</v>
      </c>
    </row>
    <row r="1268" spans="1:8">
      <c r="A1268">
        <v>2020</v>
      </c>
      <c r="C1268" t="s">
        <v>81</v>
      </c>
      <c r="D1268" t="s">
        <v>45</v>
      </c>
      <c r="F1268">
        <v>132</v>
      </c>
      <c r="G1268">
        <v>222</v>
      </c>
      <c r="H1268">
        <v>354</v>
      </c>
    </row>
    <row r="1269" spans="1:8">
      <c r="A1269">
        <v>2021</v>
      </c>
      <c r="C1269" t="s">
        <v>81</v>
      </c>
      <c r="D1269" t="s">
        <v>45</v>
      </c>
      <c r="F1269">
        <v>110</v>
      </c>
      <c r="G1269">
        <v>220</v>
      </c>
      <c r="H1269">
        <v>330</v>
      </c>
    </row>
    <row r="1270" spans="1:8">
      <c r="A1270">
        <v>2022</v>
      </c>
      <c r="C1270" t="s">
        <v>81</v>
      </c>
      <c r="D1270" t="s">
        <v>45</v>
      </c>
      <c r="F1270">
        <v>146</v>
      </c>
      <c r="G1270">
        <v>208</v>
      </c>
      <c r="H1270">
        <v>354</v>
      </c>
    </row>
    <row r="1271" spans="1:8">
      <c r="A1271">
        <v>2023</v>
      </c>
      <c r="C1271" t="s">
        <v>81</v>
      </c>
      <c r="D1271" t="s">
        <v>45</v>
      </c>
      <c r="F1271">
        <v>178</v>
      </c>
      <c r="G1271">
        <v>234</v>
      </c>
      <c r="H1271">
        <v>412</v>
      </c>
    </row>
    <row r="1272" spans="1:8">
      <c r="A1272">
        <v>2024</v>
      </c>
      <c r="C1272" t="s">
        <v>81</v>
      </c>
      <c r="D1272" t="s">
        <v>45</v>
      </c>
      <c r="F1272">
        <v>157</v>
      </c>
      <c r="G1272">
        <v>285</v>
      </c>
      <c r="H1272">
        <v>442</v>
      </c>
    </row>
    <row r="1273" spans="1:8">
      <c r="A1273">
        <v>2025</v>
      </c>
      <c r="C1273" t="s">
        <v>81</v>
      </c>
      <c r="D1273" t="s">
        <v>45</v>
      </c>
      <c r="F1273">
        <v>174</v>
      </c>
      <c r="G1273">
        <v>277</v>
      </c>
      <c r="H1273">
        <v>451</v>
      </c>
    </row>
    <row r="1274" spans="1:8">
      <c r="A1274">
        <v>2020</v>
      </c>
      <c r="C1274" t="s">
        <v>82</v>
      </c>
      <c r="D1274" t="s">
        <v>45</v>
      </c>
      <c r="F1274">
        <v>57</v>
      </c>
      <c r="G1274">
        <v>111</v>
      </c>
      <c r="H1274">
        <v>168</v>
      </c>
    </row>
    <row r="1275" spans="1:8">
      <c r="A1275">
        <v>2021</v>
      </c>
      <c r="C1275" t="s">
        <v>82</v>
      </c>
      <c r="D1275" t="s">
        <v>45</v>
      </c>
      <c r="F1275">
        <v>52</v>
      </c>
      <c r="G1275">
        <v>111</v>
      </c>
      <c r="H1275">
        <v>163</v>
      </c>
    </row>
    <row r="1276" spans="1:8">
      <c r="A1276">
        <v>2022</v>
      </c>
      <c r="C1276" t="s">
        <v>82</v>
      </c>
      <c r="D1276" t="s">
        <v>45</v>
      </c>
      <c r="F1276">
        <v>79</v>
      </c>
      <c r="G1276">
        <v>106</v>
      </c>
      <c r="H1276">
        <v>185</v>
      </c>
    </row>
    <row r="1277" spans="1:8">
      <c r="A1277">
        <v>2023</v>
      </c>
      <c r="C1277" t="s">
        <v>82</v>
      </c>
      <c r="D1277" t="s">
        <v>45</v>
      </c>
      <c r="F1277">
        <v>56</v>
      </c>
      <c r="G1277">
        <v>87</v>
      </c>
      <c r="H1277">
        <v>143</v>
      </c>
    </row>
    <row r="1278" spans="1:8">
      <c r="A1278">
        <v>2024</v>
      </c>
      <c r="C1278" t="s">
        <v>82</v>
      </c>
      <c r="D1278" t="s">
        <v>45</v>
      </c>
      <c r="F1278">
        <v>44</v>
      </c>
      <c r="G1278">
        <v>90</v>
      </c>
      <c r="H1278">
        <v>134</v>
      </c>
    </row>
    <row r="1279" spans="1:8">
      <c r="A1279">
        <v>2025</v>
      </c>
      <c r="C1279" t="s">
        <v>82</v>
      </c>
      <c r="D1279" t="s">
        <v>45</v>
      </c>
      <c r="F1279">
        <v>87</v>
      </c>
      <c r="G1279">
        <v>76</v>
      </c>
      <c r="H1279">
        <v>163</v>
      </c>
    </row>
    <row r="1280" spans="1:8">
      <c r="A1280">
        <v>2020</v>
      </c>
      <c r="C1280" t="s">
        <v>83</v>
      </c>
      <c r="D1280" t="s">
        <v>45</v>
      </c>
      <c r="F1280">
        <v>110</v>
      </c>
      <c r="G1280">
        <v>235</v>
      </c>
      <c r="H1280">
        <v>345</v>
      </c>
    </row>
    <row r="1281" spans="1:8">
      <c r="A1281">
        <v>2021</v>
      </c>
      <c r="C1281" t="s">
        <v>83</v>
      </c>
      <c r="D1281" t="s">
        <v>45</v>
      </c>
      <c r="F1281">
        <v>96</v>
      </c>
      <c r="G1281">
        <v>210</v>
      </c>
      <c r="H1281">
        <v>306</v>
      </c>
    </row>
    <row r="1282" spans="1:8">
      <c r="A1282">
        <v>2022</v>
      </c>
      <c r="C1282" t="s">
        <v>83</v>
      </c>
      <c r="D1282" t="s">
        <v>45</v>
      </c>
      <c r="F1282">
        <v>119</v>
      </c>
      <c r="G1282">
        <v>196</v>
      </c>
      <c r="H1282">
        <v>315</v>
      </c>
    </row>
    <row r="1283" spans="1:8">
      <c r="A1283">
        <v>2023</v>
      </c>
      <c r="C1283" t="s">
        <v>83</v>
      </c>
      <c r="D1283" t="s">
        <v>45</v>
      </c>
      <c r="F1283">
        <v>117</v>
      </c>
      <c r="G1283">
        <v>206</v>
      </c>
      <c r="H1283">
        <v>323</v>
      </c>
    </row>
    <row r="1284" spans="1:8">
      <c r="A1284">
        <v>2024</v>
      </c>
      <c r="C1284" t="s">
        <v>83</v>
      </c>
      <c r="D1284" t="s">
        <v>45</v>
      </c>
      <c r="F1284">
        <v>101</v>
      </c>
      <c r="G1284">
        <v>183</v>
      </c>
      <c r="H1284">
        <v>284</v>
      </c>
    </row>
    <row r="1285" spans="1:8">
      <c r="A1285">
        <v>2025</v>
      </c>
      <c r="C1285" t="s">
        <v>83</v>
      </c>
      <c r="D1285" t="s">
        <v>45</v>
      </c>
      <c r="F1285">
        <v>84</v>
      </c>
      <c r="G1285">
        <v>185</v>
      </c>
      <c r="H1285">
        <v>269</v>
      </c>
    </row>
    <row r="1286" spans="1:8">
      <c r="A1286">
        <v>2020</v>
      </c>
      <c r="C1286" t="s">
        <v>84</v>
      </c>
      <c r="D1286" t="s">
        <v>45</v>
      </c>
      <c r="F1286">
        <v>174</v>
      </c>
      <c r="G1286">
        <v>310</v>
      </c>
      <c r="H1286">
        <v>484</v>
      </c>
    </row>
    <row r="1287" spans="1:8">
      <c r="A1287">
        <v>2021</v>
      </c>
      <c r="C1287" t="s">
        <v>84</v>
      </c>
      <c r="D1287" t="s">
        <v>45</v>
      </c>
      <c r="F1287">
        <v>137</v>
      </c>
      <c r="G1287">
        <v>281</v>
      </c>
      <c r="H1287">
        <v>418</v>
      </c>
    </row>
    <row r="1288" spans="1:8">
      <c r="A1288">
        <v>2022</v>
      </c>
      <c r="C1288" t="s">
        <v>84</v>
      </c>
      <c r="D1288" t="s">
        <v>45</v>
      </c>
      <c r="F1288">
        <v>178</v>
      </c>
      <c r="G1288">
        <v>243</v>
      </c>
      <c r="H1288">
        <v>421</v>
      </c>
    </row>
    <row r="1289" spans="1:8">
      <c r="A1289">
        <v>2023</v>
      </c>
      <c r="C1289" t="s">
        <v>84</v>
      </c>
      <c r="D1289" t="s">
        <v>45</v>
      </c>
      <c r="F1289">
        <v>182</v>
      </c>
      <c r="G1289">
        <v>276</v>
      </c>
      <c r="H1289">
        <v>458</v>
      </c>
    </row>
    <row r="1290" spans="1:8">
      <c r="A1290">
        <v>2024</v>
      </c>
      <c r="C1290" t="s">
        <v>84</v>
      </c>
      <c r="D1290" t="s">
        <v>45</v>
      </c>
      <c r="F1290">
        <v>228</v>
      </c>
      <c r="G1290">
        <v>279</v>
      </c>
      <c r="H1290">
        <v>507</v>
      </c>
    </row>
    <row r="1291" spans="1:8">
      <c r="A1291">
        <v>2025</v>
      </c>
      <c r="C1291" t="s">
        <v>84</v>
      </c>
      <c r="D1291" t="s">
        <v>45</v>
      </c>
      <c r="F1291">
        <v>219</v>
      </c>
      <c r="G1291">
        <v>332</v>
      </c>
      <c r="H1291">
        <v>551</v>
      </c>
    </row>
    <row r="1292" spans="1:8">
      <c r="A1292">
        <v>2020</v>
      </c>
      <c r="C1292" t="s">
        <v>85</v>
      </c>
      <c r="D1292" t="s">
        <v>45</v>
      </c>
      <c r="F1292">
        <v>265</v>
      </c>
      <c r="G1292">
        <v>531</v>
      </c>
      <c r="H1292">
        <v>796</v>
      </c>
    </row>
    <row r="1293" spans="1:8">
      <c r="A1293">
        <v>2021</v>
      </c>
      <c r="C1293" t="s">
        <v>85</v>
      </c>
      <c r="D1293" t="s">
        <v>45</v>
      </c>
      <c r="F1293">
        <v>299</v>
      </c>
      <c r="G1293">
        <v>466</v>
      </c>
      <c r="H1293">
        <v>765</v>
      </c>
    </row>
    <row r="1294" spans="1:8">
      <c r="A1294">
        <v>2022</v>
      </c>
      <c r="C1294" t="s">
        <v>85</v>
      </c>
      <c r="D1294" t="s">
        <v>45</v>
      </c>
      <c r="F1294">
        <v>438</v>
      </c>
      <c r="G1294">
        <v>504</v>
      </c>
      <c r="H1294">
        <v>942</v>
      </c>
    </row>
    <row r="1295" spans="1:8">
      <c r="A1295">
        <v>2023</v>
      </c>
      <c r="C1295" t="s">
        <v>85</v>
      </c>
      <c r="D1295" t="s">
        <v>45</v>
      </c>
      <c r="F1295">
        <v>437</v>
      </c>
      <c r="G1295">
        <v>654</v>
      </c>
      <c r="H1295">
        <v>1091</v>
      </c>
    </row>
    <row r="1296" spans="1:8">
      <c r="A1296">
        <v>2024</v>
      </c>
      <c r="C1296" t="s">
        <v>85</v>
      </c>
      <c r="D1296" t="s">
        <v>45</v>
      </c>
      <c r="F1296">
        <v>417</v>
      </c>
      <c r="G1296">
        <v>741</v>
      </c>
      <c r="H1296">
        <v>1158</v>
      </c>
    </row>
    <row r="1297" spans="1:8">
      <c r="A1297">
        <v>2025</v>
      </c>
      <c r="C1297" t="s">
        <v>85</v>
      </c>
      <c r="D1297" t="s">
        <v>45</v>
      </c>
      <c r="F1297">
        <v>324</v>
      </c>
      <c r="G1297">
        <v>752</v>
      </c>
      <c r="H1297">
        <v>1076</v>
      </c>
    </row>
    <row r="1298" spans="1:8">
      <c r="A1298">
        <v>2020</v>
      </c>
      <c r="C1298" t="s">
        <v>86</v>
      </c>
      <c r="D1298" t="s">
        <v>45</v>
      </c>
      <c r="F1298">
        <v>147</v>
      </c>
      <c r="G1298">
        <v>250</v>
      </c>
      <c r="H1298">
        <v>397</v>
      </c>
    </row>
    <row r="1299" spans="1:8">
      <c r="A1299">
        <v>2021</v>
      </c>
      <c r="C1299" t="s">
        <v>86</v>
      </c>
      <c r="D1299" t="s">
        <v>45</v>
      </c>
      <c r="F1299">
        <v>130</v>
      </c>
      <c r="G1299">
        <v>244</v>
      </c>
      <c r="H1299">
        <v>374</v>
      </c>
    </row>
    <row r="1300" spans="1:8">
      <c r="A1300">
        <v>2022</v>
      </c>
      <c r="C1300" t="s">
        <v>86</v>
      </c>
      <c r="D1300" t="s">
        <v>45</v>
      </c>
      <c r="F1300">
        <v>120</v>
      </c>
      <c r="G1300">
        <v>220</v>
      </c>
      <c r="H1300">
        <v>340</v>
      </c>
    </row>
    <row r="1301" spans="1:8">
      <c r="A1301">
        <v>2023</v>
      </c>
      <c r="C1301" t="s">
        <v>86</v>
      </c>
      <c r="D1301" t="s">
        <v>45</v>
      </c>
      <c r="F1301">
        <v>132</v>
      </c>
      <c r="G1301">
        <v>206</v>
      </c>
      <c r="H1301">
        <v>338</v>
      </c>
    </row>
    <row r="1302" spans="1:8">
      <c r="A1302">
        <v>2024</v>
      </c>
      <c r="C1302" t="s">
        <v>86</v>
      </c>
      <c r="D1302" t="s">
        <v>45</v>
      </c>
      <c r="F1302">
        <v>202</v>
      </c>
      <c r="G1302">
        <v>223</v>
      </c>
      <c r="H1302">
        <v>425</v>
      </c>
    </row>
    <row r="1303" spans="1:8">
      <c r="A1303">
        <v>2025</v>
      </c>
      <c r="C1303" t="s">
        <v>86</v>
      </c>
      <c r="D1303" t="s">
        <v>45</v>
      </c>
      <c r="F1303">
        <v>167</v>
      </c>
      <c r="G1303">
        <v>291</v>
      </c>
      <c r="H1303">
        <v>458</v>
      </c>
    </row>
    <row r="1304" spans="1:8">
      <c r="A1304">
        <v>2020</v>
      </c>
      <c r="C1304" t="s">
        <v>87</v>
      </c>
      <c r="D1304" t="s">
        <v>45</v>
      </c>
      <c r="F1304">
        <v>326</v>
      </c>
      <c r="G1304">
        <v>570</v>
      </c>
      <c r="H1304">
        <v>896</v>
      </c>
    </row>
    <row r="1305" spans="1:8">
      <c r="A1305">
        <v>2021</v>
      </c>
      <c r="C1305" t="s">
        <v>87</v>
      </c>
      <c r="D1305" t="s">
        <v>45</v>
      </c>
      <c r="F1305">
        <v>240</v>
      </c>
      <c r="G1305">
        <v>532</v>
      </c>
      <c r="H1305">
        <v>772</v>
      </c>
    </row>
    <row r="1306" spans="1:8">
      <c r="A1306">
        <v>2022</v>
      </c>
      <c r="C1306" t="s">
        <v>87</v>
      </c>
      <c r="D1306" t="s">
        <v>45</v>
      </c>
      <c r="F1306">
        <v>304</v>
      </c>
      <c r="G1306">
        <v>464</v>
      </c>
      <c r="H1306">
        <v>768</v>
      </c>
    </row>
    <row r="1307" spans="1:8">
      <c r="A1307">
        <v>2023</v>
      </c>
      <c r="C1307" t="s">
        <v>87</v>
      </c>
      <c r="D1307" t="s">
        <v>45</v>
      </c>
      <c r="F1307">
        <v>296</v>
      </c>
      <c r="G1307">
        <v>477</v>
      </c>
      <c r="H1307">
        <v>773</v>
      </c>
    </row>
    <row r="1308" spans="1:8">
      <c r="A1308">
        <v>2024</v>
      </c>
      <c r="C1308" t="s">
        <v>87</v>
      </c>
      <c r="D1308" t="s">
        <v>45</v>
      </c>
      <c r="F1308">
        <v>262</v>
      </c>
      <c r="G1308">
        <v>511</v>
      </c>
      <c r="H1308">
        <v>773</v>
      </c>
    </row>
    <row r="1309" spans="1:8">
      <c r="A1309">
        <v>2025</v>
      </c>
      <c r="C1309" t="s">
        <v>87</v>
      </c>
      <c r="D1309" t="s">
        <v>45</v>
      </c>
      <c r="F1309">
        <v>257</v>
      </c>
      <c r="G1309">
        <v>463</v>
      </c>
      <c r="H1309">
        <v>720</v>
      </c>
    </row>
    <row r="1310" spans="1:8">
      <c r="A1310">
        <v>2020</v>
      </c>
      <c r="C1310" t="s">
        <v>88</v>
      </c>
      <c r="D1310" t="s">
        <v>45</v>
      </c>
      <c r="F1310">
        <v>182</v>
      </c>
      <c r="G1310">
        <v>231</v>
      </c>
      <c r="H1310">
        <v>413</v>
      </c>
    </row>
    <row r="1311" spans="1:8">
      <c r="A1311">
        <v>2021</v>
      </c>
      <c r="C1311" t="s">
        <v>88</v>
      </c>
      <c r="D1311" t="s">
        <v>45</v>
      </c>
      <c r="F1311">
        <v>190</v>
      </c>
      <c r="G1311">
        <v>219</v>
      </c>
      <c r="H1311">
        <v>409</v>
      </c>
    </row>
    <row r="1312" spans="1:8">
      <c r="A1312">
        <v>2022</v>
      </c>
      <c r="C1312" t="s">
        <v>88</v>
      </c>
      <c r="D1312" t="s">
        <v>45</v>
      </c>
      <c r="F1312">
        <v>255</v>
      </c>
      <c r="G1312">
        <v>244</v>
      </c>
      <c r="H1312">
        <v>499</v>
      </c>
    </row>
    <row r="1313" spans="1:8">
      <c r="A1313">
        <v>2023</v>
      </c>
      <c r="C1313" t="s">
        <v>88</v>
      </c>
      <c r="D1313" t="s">
        <v>45</v>
      </c>
      <c r="F1313">
        <v>281</v>
      </c>
      <c r="G1313">
        <v>310</v>
      </c>
      <c r="H1313">
        <v>591</v>
      </c>
    </row>
    <row r="1314" spans="1:8">
      <c r="A1314">
        <v>2024</v>
      </c>
      <c r="C1314" t="s">
        <v>88</v>
      </c>
      <c r="D1314" t="s">
        <v>45</v>
      </c>
      <c r="F1314">
        <v>273</v>
      </c>
      <c r="G1314">
        <v>380</v>
      </c>
      <c r="H1314">
        <v>653</v>
      </c>
    </row>
    <row r="1315" spans="1:8">
      <c r="A1315">
        <v>2025</v>
      </c>
      <c r="C1315" t="s">
        <v>88</v>
      </c>
      <c r="D1315" t="s">
        <v>45</v>
      </c>
      <c r="F1315">
        <v>348</v>
      </c>
      <c r="G1315">
        <v>437</v>
      </c>
      <c r="H1315">
        <v>785</v>
      </c>
    </row>
    <row r="1316" spans="1:8">
      <c r="A1316">
        <v>2020</v>
      </c>
      <c r="C1316" t="s">
        <v>89</v>
      </c>
      <c r="D1316" t="s">
        <v>45</v>
      </c>
      <c r="F1316">
        <v>459</v>
      </c>
      <c r="G1316">
        <v>727</v>
      </c>
      <c r="H1316">
        <v>1186</v>
      </c>
    </row>
    <row r="1317" spans="1:8">
      <c r="A1317">
        <v>2021</v>
      </c>
      <c r="C1317" t="s">
        <v>89</v>
      </c>
      <c r="D1317" t="s">
        <v>45</v>
      </c>
      <c r="F1317">
        <v>360</v>
      </c>
      <c r="G1317">
        <v>745</v>
      </c>
      <c r="H1317">
        <v>1105</v>
      </c>
    </row>
    <row r="1318" spans="1:8">
      <c r="A1318">
        <v>2022</v>
      </c>
      <c r="C1318" t="s">
        <v>89</v>
      </c>
      <c r="D1318" t="s">
        <v>45</v>
      </c>
      <c r="F1318">
        <v>436</v>
      </c>
      <c r="G1318">
        <v>703</v>
      </c>
      <c r="H1318">
        <v>1139</v>
      </c>
    </row>
    <row r="1319" spans="1:8">
      <c r="A1319">
        <v>2023</v>
      </c>
      <c r="C1319" t="s">
        <v>89</v>
      </c>
      <c r="D1319" t="s">
        <v>45</v>
      </c>
      <c r="F1319">
        <v>488</v>
      </c>
      <c r="G1319">
        <v>717</v>
      </c>
      <c r="H1319">
        <v>1205</v>
      </c>
    </row>
    <row r="1320" spans="1:8">
      <c r="A1320">
        <v>2024</v>
      </c>
      <c r="C1320" t="s">
        <v>89</v>
      </c>
      <c r="D1320" t="s">
        <v>45</v>
      </c>
      <c r="F1320">
        <v>445</v>
      </c>
      <c r="G1320">
        <v>871</v>
      </c>
      <c r="H1320">
        <v>1316</v>
      </c>
    </row>
    <row r="1321" spans="1:8">
      <c r="A1321">
        <v>2025</v>
      </c>
      <c r="C1321" t="s">
        <v>89</v>
      </c>
      <c r="D1321" t="s">
        <v>45</v>
      </c>
      <c r="F1321">
        <v>422</v>
      </c>
      <c r="G1321">
        <v>842</v>
      </c>
      <c r="H1321">
        <v>1264</v>
      </c>
    </row>
    <row r="1322" spans="1:8">
      <c r="A1322">
        <v>2020</v>
      </c>
      <c r="C1322" t="s">
        <v>90</v>
      </c>
      <c r="D1322" t="s">
        <v>45</v>
      </c>
      <c r="F1322">
        <v>233</v>
      </c>
      <c r="G1322">
        <v>366</v>
      </c>
      <c r="H1322">
        <v>599</v>
      </c>
    </row>
    <row r="1323" spans="1:8">
      <c r="A1323">
        <v>2021</v>
      </c>
      <c r="C1323" t="s">
        <v>90</v>
      </c>
      <c r="D1323" t="s">
        <v>45</v>
      </c>
      <c r="F1323">
        <v>183</v>
      </c>
      <c r="G1323">
        <v>350</v>
      </c>
      <c r="H1323">
        <v>533</v>
      </c>
    </row>
    <row r="1324" spans="1:8">
      <c r="A1324">
        <v>2022</v>
      </c>
      <c r="C1324" t="s">
        <v>90</v>
      </c>
      <c r="D1324" t="s">
        <v>45</v>
      </c>
      <c r="F1324">
        <v>245</v>
      </c>
      <c r="G1324">
        <v>333</v>
      </c>
      <c r="H1324">
        <v>578</v>
      </c>
    </row>
    <row r="1325" spans="1:8">
      <c r="A1325">
        <v>2023</v>
      </c>
      <c r="C1325" t="s">
        <v>90</v>
      </c>
      <c r="D1325" t="s">
        <v>45</v>
      </c>
      <c r="F1325">
        <v>216</v>
      </c>
      <c r="G1325">
        <v>349</v>
      </c>
      <c r="H1325">
        <v>565</v>
      </c>
    </row>
    <row r="1326" spans="1:8">
      <c r="A1326">
        <v>2024</v>
      </c>
      <c r="C1326" t="s">
        <v>90</v>
      </c>
      <c r="D1326" t="s">
        <v>45</v>
      </c>
      <c r="F1326">
        <v>213</v>
      </c>
      <c r="G1326">
        <v>384</v>
      </c>
      <c r="H1326">
        <v>597</v>
      </c>
    </row>
    <row r="1327" spans="1:8">
      <c r="A1327">
        <v>2025</v>
      </c>
      <c r="C1327" t="s">
        <v>90</v>
      </c>
      <c r="D1327" t="s">
        <v>45</v>
      </c>
      <c r="F1327">
        <v>193</v>
      </c>
      <c r="G1327">
        <v>357</v>
      </c>
      <c r="H1327">
        <v>550</v>
      </c>
    </row>
    <row r="1328" spans="1:8">
      <c r="A1328">
        <v>2020</v>
      </c>
      <c r="C1328" t="s">
        <v>91</v>
      </c>
      <c r="D1328" t="s">
        <v>45</v>
      </c>
      <c r="F1328">
        <v>303</v>
      </c>
      <c r="G1328">
        <v>531</v>
      </c>
      <c r="H1328">
        <v>834</v>
      </c>
    </row>
    <row r="1329" spans="1:8">
      <c r="A1329">
        <v>2021</v>
      </c>
      <c r="C1329" t="s">
        <v>91</v>
      </c>
      <c r="D1329" t="s">
        <v>45</v>
      </c>
      <c r="F1329">
        <v>233</v>
      </c>
      <c r="G1329">
        <v>513</v>
      </c>
      <c r="H1329">
        <v>746</v>
      </c>
    </row>
    <row r="1330" spans="1:8">
      <c r="A1330">
        <v>2022</v>
      </c>
      <c r="C1330" t="s">
        <v>91</v>
      </c>
      <c r="D1330" t="s">
        <v>45</v>
      </c>
      <c r="F1330">
        <v>271</v>
      </c>
      <c r="G1330">
        <v>440</v>
      </c>
      <c r="H1330">
        <v>711</v>
      </c>
    </row>
    <row r="1331" spans="1:8">
      <c r="A1331">
        <v>2023</v>
      </c>
      <c r="C1331" t="s">
        <v>91</v>
      </c>
      <c r="D1331" t="s">
        <v>45</v>
      </c>
      <c r="F1331">
        <v>257</v>
      </c>
      <c r="G1331">
        <v>454</v>
      </c>
      <c r="H1331">
        <v>711</v>
      </c>
    </row>
    <row r="1332" spans="1:8">
      <c r="A1332">
        <v>2024</v>
      </c>
      <c r="C1332" t="s">
        <v>91</v>
      </c>
      <c r="D1332" t="s">
        <v>45</v>
      </c>
      <c r="F1332">
        <v>224</v>
      </c>
      <c r="G1332">
        <v>465</v>
      </c>
      <c r="H1332">
        <v>689</v>
      </c>
    </row>
    <row r="1333" spans="1:8">
      <c r="A1333">
        <v>2025</v>
      </c>
      <c r="C1333" t="s">
        <v>91</v>
      </c>
      <c r="D1333" t="s">
        <v>45</v>
      </c>
      <c r="F1333">
        <v>260</v>
      </c>
      <c r="G1333">
        <v>415</v>
      </c>
      <c r="H1333">
        <v>675</v>
      </c>
    </row>
    <row r="1334" spans="1:8">
      <c r="A1334">
        <v>2020</v>
      </c>
      <c r="C1334" t="s">
        <v>92</v>
      </c>
      <c r="D1334" t="s">
        <v>45</v>
      </c>
      <c r="F1334">
        <v>316</v>
      </c>
      <c r="G1334">
        <v>547</v>
      </c>
      <c r="H1334">
        <v>863</v>
      </c>
    </row>
    <row r="1335" spans="1:8">
      <c r="A1335">
        <v>2021</v>
      </c>
      <c r="C1335" t="s">
        <v>92</v>
      </c>
      <c r="D1335" t="s">
        <v>45</v>
      </c>
      <c r="F1335">
        <v>338</v>
      </c>
      <c r="G1335">
        <v>570</v>
      </c>
      <c r="H1335">
        <v>908</v>
      </c>
    </row>
    <row r="1336" spans="1:8">
      <c r="A1336">
        <v>2022</v>
      </c>
      <c r="C1336" t="s">
        <v>92</v>
      </c>
      <c r="D1336" t="s">
        <v>45</v>
      </c>
      <c r="F1336">
        <v>373</v>
      </c>
      <c r="G1336">
        <v>623</v>
      </c>
      <c r="H1336">
        <v>996</v>
      </c>
    </row>
    <row r="1337" spans="1:8">
      <c r="A1337">
        <v>2023</v>
      </c>
      <c r="C1337" t="s">
        <v>92</v>
      </c>
      <c r="D1337" t="s">
        <v>45</v>
      </c>
      <c r="F1337">
        <v>397</v>
      </c>
      <c r="G1337">
        <v>672</v>
      </c>
      <c r="H1337">
        <v>1069</v>
      </c>
    </row>
    <row r="1338" spans="1:8">
      <c r="A1338">
        <v>2024</v>
      </c>
      <c r="C1338" t="s">
        <v>92</v>
      </c>
      <c r="D1338" t="s">
        <v>45</v>
      </c>
      <c r="F1338">
        <v>378</v>
      </c>
      <c r="G1338">
        <v>703</v>
      </c>
      <c r="H1338">
        <v>1081</v>
      </c>
    </row>
    <row r="1339" spans="1:8">
      <c r="A1339">
        <v>2025</v>
      </c>
      <c r="C1339" t="s">
        <v>92</v>
      </c>
      <c r="D1339" t="s">
        <v>45</v>
      </c>
      <c r="F1339">
        <v>368</v>
      </c>
      <c r="G1339">
        <v>711</v>
      </c>
      <c r="H1339">
        <v>1079</v>
      </c>
    </row>
    <row r="1340" spans="1:8">
      <c r="A1340">
        <v>2020</v>
      </c>
      <c r="C1340" t="s">
        <v>93</v>
      </c>
      <c r="D1340" t="s">
        <v>45</v>
      </c>
      <c r="F1340">
        <v>0</v>
      </c>
      <c r="G1340">
        <v>0</v>
      </c>
      <c r="H1340">
        <v>0</v>
      </c>
    </row>
    <row r="1341" spans="1:8">
      <c r="A1341">
        <v>2021</v>
      </c>
      <c r="C1341" t="s">
        <v>93</v>
      </c>
      <c r="D1341" t="s">
        <v>45</v>
      </c>
      <c r="F1341">
        <v>0</v>
      </c>
      <c r="G1341">
        <v>0</v>
      </c>
      <c r="H1341">
        <v>0</v>
      </c>
    </row>
    <row r="1342" spans="1:8">
      <c r="A1342">
        <v>2022</v>
      </c>
      <c r="C1342" t="s">
        <v>93</v>
      </c>
      <c r="D1342" t="s">
        <v>45</v>
      </c>
      <c r="F1342">
        <v>0</v>
      </c>
      <c r="G1342">
        <v>0</v>
      </c>
      <c r="H1342">
        <v>0</v>
      </c>
    </row>
    <row r="1343" spans="1:8">
      <c r="A1343">
        <v>2023</v>
      </c>
      <c r="C1343" t="s">
        <v>93</v>
      </c>
      <c r="D1343" t="s">
        <v>45</v>
      </c>
      <c r="F1343">
        <v>0</v>
      </c>
      <c r="G1343">
        <v>0</v>
      </c>
      <c r="H1343">
        <v>0</v>
      </c>
    </row>
    <row r="1344" spans="1:8">
      <c r="A1344">
        <v>2024</v>
      </c>
      <c r="C1344" t="s">
        <v>93</v>
      </c>
      <c r="D1344" t="s">
        <v>45</v>
      </c>
      <c r="F1344">
        <v>119</v>
      </c>
      <c r="G1344">
        <v>0</v>
      </c>
      <c r="H1344">
        <v>119</v>
      </c>
    </row>
    <row r="1345" spans="1:8">
      <c r="A1345">
        <v>2025</v>
      </c>
      <c r="C1345" t="s">
        <v>93</v>
      </c>
      <c r="D1345" t="s">
        <v>45</v>
      </c>
      <c r="F1345">
        <v>112</v>
      </c>
      <c r="G1345">
        <v>103</v>
      </c>
      <c r="H1345">
        <v>215</v>
      </c>
    </row>
    <row r="1346" spans="1:8">
      <c r="A1346">
        <v>2020</v>
      </c>
      <c r="C1346" t="s">
        <v>94</v>
      </c>
      <c r="D1346" t="s">
        <v>45</v>
      </c>
      <c r="F1346">
        <v>0</v>
      </c>
      <c r="G1346">
        <v>0</v>
      </c>
      <c r="H1346">
        <v>0</v>
      </c>
    </row>
    <row r="1347" spans="1:8">
      <c r="A1347">
        <v>2021</v>
      </c>
      <c r="C1347" t="s">
        <v>94</v>
      </c>
      <c r="D1347" t="s">
        <v>45</v>
      </c>
      <c r="F1347">
        <v>0</v>
      </c>
      <c r="G1347">
        <v>0</v>
      </c>
      <c r="H1347">
        <v>0</v>
      </c>
    </row>
    <row r="1348" spans="1:8">
      <c r="A1348">
        <v>2022</v>
      </c>
      <c r="C1348" t="s">
        <v>94</v>
      </c>
      <c r="D1348" t="s">
        <v>45</v>
      </c>
      <c r="F1348">
        <v>0</v>
      </c>
      <c r="G1348">
        <v>0</v>
      </c>
      <c r="H1348">
        <v>0</v>
      </c>
    </row>
    <row r="1349" spans="1:8">
      <c r="A1349">
        <v>2023</v>
      </c>
      <c r="C1349" t="s">
        <v>94</v>
      </c>
      <c r="D1349" t="s">
        <v>45</v>
      </c>
      <c r="F1349">
        <v>0</v>
      </c>
      <c r="G1349">
        <v>0</v>
      </c>
      <c r="H1349">
        <v>0</v>
      </c>
    </row>
    <row r="1350" spans="1:8">
      <c r="A1350">
        <v>2024</v>
      </c>
      <c r="C1350" t="s">
        <v>94</v>
      </c>
      <c r="D1350" t="s">
        <v>45</v>
      </c>
      <c r="F1350">
        <v>0</v>
      </c>
      <c r="G1350">
        <v>0</v>
      </c>
      <c r="H1350">
        <v>0</v>
      </c>
    </row>
    <row r="1351" spans="1:8">
      <c r="A1351">
        <v>2025</v>
      </c>
      <c r="C1351" t="s">
        <v>94</v>
      </c>
      <c r="D1351" t="s">
        <v>45</v>
      </c>
      <c r="F1351">
        <v>127</v>
      </c>
      <c r="G1351">
        <v>0</v>
      </c>
      <c r="H1351">
        <v>127</v>
      </c>
    </row>
    <row r="1352" spans="1:8">
      <c r="A1352">
        <v>2020</v>
      </c>
      <c r="C1352" t="s">
        <v>95</v>
      </c>
      <c r="D1352" t="s">
        <v>45</v>
      </c>
      <c r="F1352">
        <v>0</v>
      </c>
      <c r="G1352">
        <v>0</v>
      </c>
      <c r="H1352">
        <v>0</v>
      </c>
    </row>
    <row r="1353" spans="1:8">
      <c r="A1353">
        <v>2021</v>
      </c>
      <c r="C1353" t="s">
        <v>95</v>
      </c>
      <c r="D1353" t="s">
        <v>45</v>
      </c>
      <c r="F1353">
        <v>0</v>
      </c>
      <c r="G1353">
        <v>0</v>
      </c>
      <c r="H1353">
        <v>0</v>
      </c>
    </row>
    <row r="1354" spans="1:8">
      <c r="A1354">
        <v>2022</v>
      </c>
      <c r="C1354" t="s">
        <v>95</v>
      </c>
      <c r="D1354" t="s">
        <v>45</v>
      </c>
      <c r="F1354">
        <v>0</v>
      </c>
      <c r="G1354">
        <v>0</v>
      </c>
      <c r="H1354">
        <v>0</v>
      </c>
    </row>
    <row r="1355" spans="1:8">
      <c r="A1355">
        <v>2023</v>
      </c>
      <c r="C1355" t="s">
        <v>95</v>
      </c>
      <c r="D1355" t="s">
        <v>45</v>
      </c>
      <c r="F1355">
        <v>0</v>
      </c>
      <c r="G1355">
        <v>0</v>
      </c>
      <c r="H1355">
        <v>0</v>
      </c>
    </row>
    <row r="1356" spans="1:8">
      <c r="A1356">
        <v>2024</v>
      </c>
      <c r="C1356" t="s">
        <v>95</v>
      </c>
      <c r="D1356" t="s">
        <v>45</v>
      </c>
      <c r="F1356">
        <v>171</v>
      </c>
      <c r="G1356">
        <v>0</v>
      </c>
      <c r="H1356">
        <v>171</v>
      </c>
    </row>
    <row r="1357" spans="1:8">
      <c r="A1357">
        <v>2025</v>
      </c>
      <c r="C1357" t="s">
        <v>95</v>
      </c>
      <c r="D1357" t="s">
        <v>45</v>
      </c>
      <c r="F1357">
        <v>229</v>
      </c>
      <c r="G1357">
        <v>147</v>
      </c>
      <c r="H1357">
        <v>376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0.75" customHeight="1">
      <c r="A1" s="93" t="s">
        <v>107</v>
      </c>
      <c r="B1" s="94"/>
      <c r="C1" s="94"/>
      <c r="D1" s="94"/>
      <c r="E1" s="94"/>
      <c r="F1" s="96"/>
      <c r="G1" s="97"/>
      <c r="H1" s="94"/>
      <c r="I1" s="94"/>
      <c r="J1" s="94"/>
    </row>
    <row r="2" spans="1:10" ht="0.9" customHeight="1">
      <c r="A2" s="95" t="s">
        <v>108</v>
      </c>
      <c r="B2" s="94"/>
      <c r="C2" s="94"/>
      <c r="D2" s="94"/>
      <c r="E2" s="94"/>
      <c r="F2" s="94"/>
      <c r="G2" s="94"/>
      <c r="H2" s="94"/>
      <c r="I2" s="94"/>
      <c r="J2" s="94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0.75" customHeight="1">
      <c r="A1" s="93" t="s">
        <v>113</v>
      </c>
      <c r="B1" s="94"/>
      <c r="C1" s="94"/>
      <c r="D1" s="94"/>
      <c r="E1" s="94"/>
      <c r="F1" s="94"/>
      <c r="G1" s="97"/>
      <c r="H1" s="94"/>
      <c r="I1" s="94"/>
      <c r="J1" s="94"/>
    </row>
    <row r="2" spans="1:10" ht="0.9" customHeight="1">
      <c r="A2" s="95" t="s">
        <v>114</v>
      </c>
      <c r="B2" s="94"/>
      <c r="C2" s="94"/>
      <c r="D2" s="94"/>
      <c r="E2" s="94"/>
      <c r="F2" s="94"/>
      <c r="G2" s="94"/>
      <c r="H2" s="94"/>
      <c r="I2" s="94"/>
      <c r="J2" s="94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0.75" customHeight="1">
      <c r="A1" s="93" t="s">
        <v>120</v>
      </c>
      <c r="B1" s="94"/>
      <c r="C1" s="94"/>
      <c r="D1" s="94"/>
      <c r="E1" s="98"/>
      <c r="F1" s="94"/>
      <c r="G1" s="94"/>
      <c r="H1" s="94"/>
    </row>
    <row r="2" spans="1:8" ht="0.9" customHeight="1">
      <c r="A2" s="95" t="s">
        <v>121</v>
      </c>
      <c r="B2" s="94"/>
      <c r="C2" s="94"/>
      <c r="D2" s="94"/>
      <c r="E2" s="94"/>
      <c r="F2" s="94"/>
      <c r="G2" s="94"/>
      <c r="H2" s="94"/>
    </row>
    <row r="4" spans="1:8" ht="0.9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>
      <selection sqref="A1:I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0.75" customHeight="1">
      <c r="A1" s="93" t="s">
        <v>124</v>
      </c>
      <c r="B1" s="94"/>
      <c r="C1" s="94"/>
      <c r="D1" s="94"/>
      <c r="E1" s="94"/>
      <c r="F1" s="97"/>
      <c r="G1" s="94"/>
      <c r="H1" s="94"/>
      <c r="I1" s="94"/>
    </row>
    <row r="2" spans="1:9" ht="0.9" customHeight="1">
      <c r="A2" s="95" t="s">
        <v>125</v>
      </c>
      <c r="B2" s="94"/>
      <c r="C2" s="94"/>
      <c r="D2" s="94"/>
      <c r="E2" s="94"/>
      <c r="F2" s="94"/>
      <c r="G2" s="94"/>
      <c r="H2" s="94"/>
      <c r="I2" s="94"/>
    </row>
    <row r="4" spans="1:9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sqref="A1:H1"/>
    </sheetView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0.75" customHeight="1">
      <c r="A1" s="93" t="s">
        <v>128</v>
      </c>
      <c r="B1" s="94"/>
      <c r="C1" s="94"/>
      <c r="D1" s="94"/>
      <c r="E1" s="94"/>
      <c r="F1" s="94"/>
      <c r="G1" s="94"/>
      <c r="H1" s="94"/>
    </row>
    <row r="2" spans="1:8" ht="0.9" customHeight="1">
      <c r="A2" s="95" t="s">
        <v>129</v>
      </c>
      <c r="B2" s="94"/>
      <c r="C2" s="94"/>
      <c r="D2" s="94"/>
      <c r="E2" s="94"/>
      <c r="F2" s="94"/>
      <c r="G2" s="94"/>
      <c r="H2" s="94"/>
    </row>
    <row r="4" spans="1:8" ht="0.9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>
      <selection sqref="A1:C1"/>
    </sheetView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0.65" customHeight="1">
      <c r="A1" s="99" t="s">
        <v>145</v>
      </c>
      <c r="B1" s="100"/>
      <c r="C1" s="100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0.65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0.65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0.65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0.65" customHeight="1">
      <c r="A6" s="19" t="s">
        <v>163</v>
      </c>
      <c r="B6" s="21">
        <v>4</v>
      </c>
      <c r="C6" s="19" t="s">
        <v>164</v>
      </c>
    </row>
    <row r="7" spans="1:7" ht="0.65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0.65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0.65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>
      <selection sqref="A1:F1"/>
    </sheetView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0.65" customHeight="1">
      <c r="A1" s="101" t="s">
        <v>240</v>
      </c>
      <c r="B1" s="94"/>
      <c r="C1" s="94"/>
      <c r="D1" s="94"/>
      <c r="E1" s="94"/>
      <c r="F1" s="94"/>
    </row>
    <row r="3" spans="1:6" ht="0.65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1.1499999999999999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>
      <selection sqref="A1:F1"/>
    </sheetView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0.65" customHeight="1">
      <c r="A1" s="101" t="s">
        <v>413</v>
      </c>
      <c r="B1" s="94"/>
      <c r="C1" s="94"/>
      <c r="D1" s="94"/>
      <c r="E1" s="94"/>
      <c r="F1" s="94"/>
    </row>
    <row r="3" spans="1:6" ht="0.65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0.65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>
      <selection sqref="A1:F1"/>
    </sheetView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0.65" customHeight="1">
      <c r="A1" s="101" t="s">
        <v>423</v>
      </c>
      <c r="B1" s="94"/>
      <c r="C1" s="94"/>
      <c r="D1" s="94"/>
      <c r="E1" s="94"/>
      <c r="F1" s="94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0.65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0.65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>
      <selection sqref="A1:I1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0.65" customHeight="1">
      <c r="A1" s="101" t="s">
        <v>687</v>
      </c>
      <c r="B1" s="94"/>
      <c r="C1" s="94"/>
      <c r="D1" s="94"/>
      <c r="E1" s="94"/>
      <c r="F1" s="94"/>
      <c r="G1" s="94"/>
      <c r="H1" s="94"/>
      <c r="I1" s="94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0.65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>
      <selection sqref="A1:J1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102" t="s">
        <v>718</v>
      </c>
      <c r="B1" s="94"/>
      <c r="C1" s="94"/>
      <c r="D1" s="94"/>
      <c r="E1" s="94"/>
      <c r="F1" s="94"/>
      <c r="G1" s="94"/>
      <c r="H1" s="94"/>
      <c r="I1" s="94"/>
      <c r="J1" s="94"/>
    </row>
    <row r="2" spans="1:10" ht="4.1500000000000004" customHeight="1">
      <c r="A2" s="103" t="s">
        <v>719</v>
      </c>
      <c r="B2" s="103"/>
      <c r="C2" s="103"/>
      <c r="D2" s="103"/>
      <c r="E2" s="103"/>
      <c r="F2" s="103"/>
      <c r="G2" s="103"/>
      <c r="H2" s="103"/>
      <c r="I2" s="103"/>
      <c r="J2" s="103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/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1"/>
  <sheetViews>
    <sheetView workbookViewId="0"/>
  </sheetViews>
  <sheetFormatPr baseColWidth="10" defaultColWidth="8.6640625" defaultRowHeight="14"/>
  <cols>
    <col min="1" max="3" width="24" customWidth="1"/>
    <col min="4" max="5" width="52" customWidth="1"/>
  </cols>
  <sheetData>
    <row r="1" spans="1:5">
      <c r="A1" s="47" t="s">
        <v>150</v>
      </c>
      <c r="B1" s="47" t="s">
        <v>151</v>
      </c>
      <c r="C1" s="47" t="s">
        <v>736</v>
      </c>
      <c r="D1" s="47" t="s">
        <v>737</v>
      </c>
      <c r="E1" s="47" t="s">
        <v>738</v>
      </c>
    </row>
    <row r="2" spans="1:5">
      <c r="A2" s="19" t="s">
        <v>739</v>
      </c>
      <c r="B2" s="19">
        <v>43000</v>
      </c>
      <c r="C2" s="19" t="s">
        <v>740</v>
      </c>
      <c r="D2" s="18" t="s">
        <v>741</v>
      </c>
      <c r="E2" s="18" t="s">
        <v>742</v>
      </c>
    </row>
    <row r="3" spans="1:5">
      <c r="A3" s="19" t="s">
        <v>743</v>
      </c>
      <c r="B3" s="19">
        <v>2036</v>
      </c>
      <c r="C3" s="19" t="s">
        <v>744</v>
      </c>
      <c r="D3" s="18" t="s">
        <v>745</v>
      </c>
      <c r="E3" s="18" t="s">
        <v>746</v>
      </c>
    </row>
    <row r="4" spans="1:5">
      <c r="A4" s="19" t="s">
        <v>747</v>
      </c>
      <c r="B4" s="19">
        <v>2045</v>
      </c>
      <c r="C4" s="19" t="s">
        <v>748</v>
      </c>
      <c r="D4" s="18" t="s">
        <v>749</v>
      </c>
      <c r="E4" s="18" t="s">
        <v>750</v>
      </c>
    </row>
    <row r="5" spans="1:5" ht="28">
      <c r="A5" s="19" t="s">
        <v>751</v>
      </c>
      <c r="B5" s="19">
        <v>2029</v>
      </c>
      <c r="C5" s="19" t="s">
        <v>752</v>
      </c>
      <c r="D5" s="18" t="s">
        <v>753</v>
      </c>
      <c r="E5" s="18" t="s">
        <v>754</v>
      </c>
    </row>
    <row r="6" spans="1:5">
      <c r="A6" s="19" t="s">
        <v>755</v>
      </c>
      <c r="B6" s="19">
        <v>2028</v>
      </c>
      <c r="C6" s="19" t="s">
        <v>756</v>
      </c>
      <c r="D6" s="18" t="s">
        <v>757</v>
      </c>
      <c r="E6" s="18" t="s">
        <v>758</v>
      </c>
    </row>
    <row r="7" spans="1:5" ht="28">
      <c r="A7" s="19" t="s">
        <v>759</v>
      </c>
      <c r="B7" s="19">
        <v>2029</v>
      </c>
      <c r="C7" s="19" t="s">
        <v>760</v>
      </c>
      <c r="D7" s="18" t="s">
        <v>761</v>
      </c>
      <c r="E7" s="18" t="s">
        <v>762</v>
      </c>
    </row>
    <row r="8" spans="1:5" ht="28">
      <c r="A8" s="19" t="s">
        <v>763</v>
      </c>
      <c r="B8" s="19" t="s">
        <v>764</v>
      </c>
      <c r="C8" s="19" t="s">
        <v>765</v>
      </c>
      <c r="D8" s="18" t="s">
        <v>766</v>
      </c>
      <c r="E8" s="18" t="s">
        <v>767</v>
      </c>
    </row>
    <row r="9" spans="1:5" ht="28">
      <c r="A9" s="19" t="s">
        <v>768</v>
      </c>
      <c r="B9" s="20" t="s">
        <v>769</v>
      </c>
      <c r="C9" s="19" t="s">
        <v>765</v>
      </c>
      <c r="D9" s="18" t="s">
        <v>770</v>
      </c>
      <c r="E9" s="18" t="s">
        <v>771</v>
      </c>
    </row>
    <row r="10" spans="1:5" ht="28">
      <c r="A10" s="19" t="s">
        <v>772</v>
      </c>
      <c r="B10" s="20">
        <v>0</v>
      </c>
      <c r="C10" s="19" t="s">
        <v>773</v>
      </c>
      <c r="D10" s="18" t="s">
        <v>774</v>
      </c>
      <c r="E10" s="18" t="s">
        <v>775</v>
      </c>
    </row>
    <row r="11" spans="1:5" ht="28">
      <c r="A11" s="18" t="s">
        <v>776</v>
      </c>
      <c r="B11" s="49">
        <v>0</v>
      </c>
      <c r="C11" s="18" t="s">
        <v>773</v>
      </c>
      <c r="D11" s="18" t="s">
        <v>777</v>
      </c>
      <c r="E11" s="18" t="s">
        <v>775</v>
      </c>
    </row>
    <row r="12" spans="1:5" ht="28">
      <c r="A12" s="18" t="s">
        <v>778</v>
      </c>
      <c r="B12" s="49"/>
      <c r="C12" s="18" t="s">
        <v>773</v>
      </c>
      <c r="D12" s="18" t="s">
        <v>779</v>
      </c>
      <c r="E12" s="18" t="s">
        <v>780</v>
      </c>
    </row>
    <row r="13" spans="1:5" ht="28">
      <c r="A13" s="18" t="s">
        <v>781</v>
      </c>
      <c r="B13" s="49"/>
      <c r="C13" s="18" t="s">
        <v>773</v>
      </c>
      <c r="D13" s="18" t="s">
        <v>779</v>
      </c>
      <c r="E13" s="18" t="s">
        <v>780</v>
      </c>
    </row>
    <row r="14" spans="1:5" ht="28">
      <c r="A14" s="18" t="s">
        <v>782</v>
      </c>
      <c r="B14" s="18" t="s">
        <v>7</v>
      </c>
      <c r="C14" s="18" t="s">
        <v>783</v>
      </c>
      <c r="D14" s="18" t="s">
        <v>784</v>
      </c>
      <c r="E14" s="18" t="s">
        <v>785</v>
      </c>
    </row>
    <row r="35" spans="1:5">
      <c r="A35" s="54" t="s">
        <v>150</v>
      </c>
      <c r="B35" s="54" t="s">
        <v>151</v>
      </c>
      <c r="C35" s="54" t="s">
        <v>786</v>
      </c>
      <c r="D35" s="54" t="s">
        <v>152</v>
      </c>
      <c r="E35" s="54" t="s">
        <v>738</v>
      </c>
    </row>
    <row r="36" spans="1:5" ht="28">
      <c r="A36" s="18" t="s">
        <v>787</v>
      </c>
      <c r="B36" s="18">
        <v>2029</v>
      </c>
      <c r="C36" s="18" t="s">
        <v>788</v>
      </c>
      <c r="D36" s="18" t="s">
        <v>789</v>
      </c>
      <c r="E36" s="18" t="s">
        <v>790</v>
      </c>
    </row>
    <row r="37" spans="1:5" ht="28">
      <c r="A37" s="18" t="s">
        <v>791</v>
      </c>
      <c r="B37" s="18" t="s">
        <v>792</v>
      </c>
      <c r="C37" s="18" t="s">
        <v>788</v>
      </c>
      <c r="D37" s="18" t="s">
        <v>793</v>
      </c>
      <c r="E37" s="18" t="s">
        <v>794</v>
      </c>
    </row>
    <row r="38" spans="1:5" ht="28">
      <c r="A38" s="18" t="s">
        <v>795</v>
      </c>
      <c r="B38" s="18" t="s">
        <v>792</v>
      </c>
      <c r="C38" s="18" t="s">
        <v>788</v>
      </c>
      <c r="D38" s="18" t="s">
        <v>796</v>
      </c>
      <c r="E38" s="18" t="s">
        <v>794</v>
      </c>
    </row>
    <row r="39" spans="1:5" ht="28">
      <c r="A39" s="18" t="s">
        <v>797</v>
      </c>
      <c r="B39" s="49" t="s">
        <v>798</v>
      </c>
      <c r="C39" s="18" t="s">
        <v>788</v>
      </c>
      <c r="D39" s="18" t="s">
        <v>799</v>
      </c>
      <c r="E39" s="18" t="s">
        <v>800</v>
      </c>
    </row>
    <row r="40" spans="1:5" ht="28">
      <c r="A40" s="18" t="s">
        <v>801</v>
      </c>
      <c r="B40" s="49" t="s">
        <v>798</v>
      </c>
      <c r="C40" s="18" t="s">
        <v>788</v>
      </c>
      <c r="D40" s="18" t="s">
        <v>802</v>
      </c>
      <c r="E40" s="18" t="s">
        <v>800</v>
      </c>
    </row>
    <row r="41" spans="1:5" ht="28">
      <c r="A41" s="18" t="s">
        <v>803</v>
      </c>
      <c r="B41" s="18">
        <v>9800</v>
      </c>
      <c r="C41" s="18" t="s">
        <v>788</v>
      </c>
      <c r="D41" s="18" t="s">
        <v>804</v>
      </c>
      <c r="E41" s="18" t="s">
        <v>805</v>
      </c>
    </row>
    <row r="42" spans="1:5" ht="28">
      <c r="A42" s="18" t="s">
        <v>806</v>
      </c>
      <c r="B42" s="18">
        <v>5000</v>
      </c>
      <c r="C42" s="18" t="s">
        <v>788</v>
      </c>
      <c r="D42" s="18" t="s">
        <v>807</v>
      </c>
      <c r="E42" s="18" t="s">
        <v>808</v>
      </c>
    </row>
    <row r="43" spans="1:5" ht="28">
      <c r="A43" s="18" t="s">
        <v>809</v>
      </c>
      <c r="B43" s="18">
        <v>6100</v>
      </c>
      <c r="C43" s="18" t="s">
        <v>788</v>
      </c>
      <c r="D43" s="18" t="s">
        <v>810</v>
      </c>
      <c r="E43" s="18" t="s">
        <v>811</v>
      </c>
    </row>
    <row r="44" spans="1:5" ht="28">
      <c r="A44" s="18" t="s">
        <v>812</v>
      </c>
      <c r="B44" s="18">
        <v>1200</v>
      </c>
      <c r="C44" s="18" t="s">
        <v>788</v>
      </c>
      <c r="D44" s="18" t="s">
        <v>813</v>
      </c>
      <c r="E44" s="18" t="s">
        <v>814</v>
      </c>
    </row>
    <row r="47" spans="1:5">
      <c r="A47" s="68" t="s">
        <v>150</v>
      </c>
      <c r="B47" s="68" t="s">
        <v>151</v>
      </c>
      <c r="C47" s="68" t="s">
        <v>786</v>
      </c>
      <c r="D47" s="68" t="s">
        <v>152</v>
      </c>
      <c r="E47" s="68" t="s">
        <v>738</v>
      </c>
    </row>
    <row r="48" spans="1:5">
      <c r="A48" s="18" t="s">
        <v>815</v>
      </c>
      <c r="B48" s="18">
        <v>2036</v>
      </c>
      <c r="C48" s="18" t="s">
        <v>788</v>
      </c>
      <c r="D48" s="18" t="s">
        <v>816</v>
      </c>
      <c r="E48" s="18" t="s">
        <v>817</v>
      </c>
    </row>
    <row r="49" spans="1:5">
      <c r="A49" s="18" t="s">
        <v>818</v>
      </c>
      <c r="B49" s="49">
        <v>43000</v>
      </c>
      <c r="C49" s="18" t="s">
        <v>788</v>
      </c>
      <c r="D49" s="18" t="s">
        <v>819</v>
      </c>
      <c r="E49" s="18" t="s">
        <v>820</v>
      </c>
    </row>
    <row r="50" spans="1:5" ht="28">
      <c r="A50" s="18" t="s">
        <v>821</v>
      </c>
      <c r="B50" s="18" t="s">
        <v>1252</v>
      </c>
      <c r="C50" s="18" t="s">
        <v>822</v>
      </c>
      <c r="D50" s="18" t="s">
        <v>823</v>
      </c>
      <c r="E50" s="18" t="s">
        <v>824</v>
      </c>
    </row>
    <row r="51" spans="1:5" ht="28">
      <c r="A51" s="18" t="s">
        <v>825</v>
      </c>
      <c r="B51" s="49" t="s">
        <v>826</v>
      </c>
      <c r="C51" s="18" t="s">
        <v>827</v>
      </c>
      <c r="D51" s="18" t="s">
        <v>828</v>
      </c>
      <c r="E51" s="18" t="s">
        <v>829</v>
      </c>
    </row>
    <row r="53" spans="1:5">
      <c r="A53" s="18"/>
      <c r="B53" s="18"/>
      <c r="C53" s="18"/>
      <c r="D53" s="18"/>
      <c r="E53" s="18"/>
    </row>
    <row r="54" spans="1:5">
      <c r="A54" s="18"/>
      <c r="B54" s="18"/>
      <c r="C54" s="18"/>
      <c r="D54" s="18"/>
      <c r="E54" s="18"/>
    </row>
    <row r="55" spans="1:5">
      <c r="A55" s="18"/>
      <c r="B55" s="18"/>
      <c r="C55" s="18"/>
      <c r="D55" s="18"/>
      <c r="E55" s="18"/>
    </row>
    <row r="56" spans="1:5">
      <c r="A56" s="18"/>
      <c r="B56" s="49"/>
      <c r="C56" s="18"/>
      <c r="D56" s="18"/>
      <c r="E56" s="18"/>
    </row>
    <row r="57" spans="1:5">
      <c r="A57" s="18"/>
      <c r="B57" s="49"/>
      <c r="C57" s="18"/>
      <c r="D57" s="18"/>
      <c r="E57" s="18"/>
    </row>
    <row r="58" spans="1:5">
      <c r="A58" s="18"/>
      <c r="B58" s="18"/>
      <c r="C58" s="18"/>
      <c r="D58" s="18"/>
      <c r="E58" s="18"/>
    </row>
    <row r="60" spans="1:5" ht="28">
      <c r="A60" s="18" t="s">
        <v>830</v>
      </c>
      <c r="B60" s="18" t="s">
        <v>831</v>
      </c>
      <c r="C60" s="18" t="s">
        <v>832</v>
      </c>
      <c r="D60" s="18" t="s">
        <v>833</v>
      </c>
      <c r="E60" s="18" t="s">
        <v>834</v>
      </c>
    </row>
    <row r="61" spans="1:5" ht="28">
      <c r="A61" s="18" t="s">
        <v>835</v>
      </c>
      <c r="B61" s="18" t="s">
        <v>836</v>
      </c>
      <c r="C61" s="18" t="s">
        <v>837</v>
      </c>
      <c r="D61" s="18" t="s">
        <v>838</v>
      </c>
      <c r="E61" s="18" t="s">
        <v>839</v>
      </c>
    </row>
  </sheetData>
  <dataValidations count="3">
    <dataValidation type="list" sqref="B7" xr:uid="{00000000-0002-0000-1000-000000000000}">
      <formula1>"Nunca,2030,2031,2032,2033,2034,2035,2036,2037,2038,2039,2040,2041,2042,2043,2044,2045"</formula1>
    </dataValidation>
    <dataValidation type="list" sqref="B8" xr:uid="{00000000-0002-0000-1000-000001000000}">
      <formula1>"Resolver meta,Crecimiento manual"</formula1>
    </dataValidation>
    <dataValidation type="list" sqref="B14" xr:uid="{00000000-0002-0000-1000-000002000000}">
      <formula1>"Sí,No"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86"/>
  <sheetViews>
    <sheetView workbookViewId="0">
      <selection activeCell="F87" sqref="F87"/>
    </sheetView>
  </sheetViews>
  <sheetFormatPr baseColWidth="10" defaultColWidth="8.6640625" defaultRowHeight="14"/>
  <cols>
    <col min="1" max="1" width="16" customWidth="1"/>
    <col min="2" max="2" width="14" customWidth="1"/>
    <col min="3" max="5" width="16" customWidth="1"/>
    <col min="6" max="6" width="14" customWidth="1"/>
  </cols>
  <sheetData>
    <row r="1" spans="1:6">
      <c r="A1" s="44" t="s">
        <v>840</v>
      </c>
      <c r="B1" s="44" t="s">
        <v>39</v>
      </c>
      <c r="C1" s="44" t="s">
        <v>841</v>
      </c>
      <c r="D1" s="44" t="s">
        <v>37</v>
      </c>
      <c r="E1" s="44" t="s">
        <v>38</v>
      </c>
      <c r="F1" s="44" t="s">
        <v>842</v>
      </c>
    </row>
    <row r="2" spans="1:6">
      <c r="A2" s="21">
        <v>2026</v>
      </c>
      <c r="B2" s="21" t="s">
        <v>843</v>
      </c>
      <c r="C2" s="21">
        <v>2026</v>
      </c>
      <c r="D2" s="21" t="s">
        <v>105</v>
      </c>
      <c r="E2" s="19" t="s">
        <v>844</v>
      </c>
      <c r="F2" s="21">
        <v>1866</v>
      </c>
    </row>
    <row r="3" spans="1:6">
      <c r="A3" s="21">
        <v>2026</v>
      </c>
      <c r="B3" s="21" t="s">
        <v>845</v>
      </c>
      <c r="C3" s="21">
        <v>2026</v>
      </c>
      <c r="D3" s="21" t="s">
        <v>105</v>
      </c>
      <c r="E3" s="19" t="s">
        <v>844</v>
      </c>
      <c r="F3" s="21">
        <v>1660</v>
      </c>
    </row>
    <row r="4" spans="1:6">
      <c r="A4" s="21">
        <v>2026</v>
      </c>
      <c r="B4" s="21" t="s">
        <v>846</v>
      </c>
      <c r="C4" s="21">
        <v>2027</v>
      </c>
      <c r="D4" s="21" t="s">
        <v>105</v>
      </c>
      <c r="E4" s="19" t="s">
        <v>844</v>
      </c>
      <c r="F4" s="21">
        <v>2062</v>
      </c>
    </row>
    <row r="5" spans="1:6">
      <c r="A5" s="21">
        <v>2026</v>
      </c>
      <c r="B5" s="21" t="s">
        <v>847</v>
      </c>
      <c r="C5" s="21">
        <v>2027</v>
      </c>
      <c r="D5" s="21" t="s">
        <v>105</v>
      </c>
      <c r="E5" s="19" t="s">
        <v>844</v>
      </c>
      <c r="F5" s="21">
        <v>1513</v>
      </c>
    </row>
    <row r="6" spans="1:6">
      <c r="A6" s="21">
        <v>2026</v>
      </c>
      <c r="B6" s="21" t="s">
        <v>848</v>
      </c>
      <c r="C6" s="21">
        <v>2027</v>
      </c>
      <c r="D6" s="21" t="s">
        <v>105</v>
      </c>
      <c r="E6" s="19" t="s">
        <v>844</v>
      </c>
      <c r="F6" s="21">
        <v>2245</v>
      </c>
    </row>
    <row r="7" spans="1:6">
      <c r="A7" s="21">
        <v>2026</v>
      </c>
      <c r="B7" s="21" t="s">
        <v>843</v>
      </c>
      <c r="C7" s="21">
        <v>2026</v>
      </c>
      <c r="D7" s="21" t="s">
        <v>105</v>
      </c>
      <c r="E7" s="19" t="s">
        <v>849</v>
      </c>
      <c r="F7" s="21">
        <v>0</v>
      </c>
    </row>
    <row r="8" spans="1:6">
      <c r="A8" s="21">
        <v>2026</v>
      </c>
      <c r="B8" s="21" t="s">
        <v>845</v>
      </c>
      <c r="C8" s="21">
        <v>2026</v>
      </c>
      <c r="D8" s="21" t="s">
        <v>105</v>
      </c>
      <c r="E8" s="19" t="s">
        <v>849</v>
      </c>
      <c r="F8" s="21">
        <v>0</v>
      </c>
    </row>
    <row r="9" spans="1:6">
      <c r="A9" s="21">
        <v>2026</v>
      </c>
      <c r="B9" s="21" t="s">
        <v>846</v>
      </c>
      <c r="C9" s="21">
        <v>2027</v>
      </c>
      <c r="D9" s="21" t="s">
        <v>105</v>
      </c>
      <c r="E9" s="19" t="s">
        <v>849</v>
      </c>
      <c r="F9" s="21">
        <v>0</v>
      </c>
    </row>
    <row r="10" spans="1:6">
      <c r="A10" s="21">
        <v>2026</v>
      </c>
      <c r="B10" s="21" t="s">
        <v>847</v>
      </c>
      <c r="C10" s="21">
        <v>2027</v>
      </c>
      <c r="D10" s="21" t="s">
        <v>105</v>
      </c>
      <c r="E10" s="19" t="s">
        <v>849</v>
      </c>
      <c r="F10" s="21">
        <v>0</v>
      </c>
    </row>
    <row r="11" spans="1:6">
      <c r="A11" s="21">
        <v>2026</v>
      </c>
      <c r="B11" s="21" t="s">
        <v>848</v>
      </c>
      <c r="C11" s="21">
        <v>2027</v>
      </c>
      <c r="D11" s="21" t="s">
        <v>105</v>
      </c>
      <c r="E11" s="19" t="s">
        <v>849</v>
      </c>
      <c r="F11" s="21">
        <v>0</v>
      </c>
    </row>
    <row r="12" spans="1:6">
      <c r="A12" s="21">
        <v>2026</v>
      </c>
      <c r="B12" s="21" t="s">
        <v>843</v>
      </c>
      <c r="C12" s="21">
        <v>2026</v>
      </c>
      <c r="D12" s="21" t="s">
        <v>106</v>
      </c>
      <c r="E12" s="19" t="s">
        <v>844</v>
      </c>
      <c r="F12" s="21">
        <v>952</v>
      </c>
    </row>
    <row r="13" spans="1:6">
      <c r="A13" s="21">
        <v>2026</v>
      </c>
      <c r="B13" s="21" t="s">
        <v>845</v>
      </c>
      <c r="C13" s="21">
        <v>2026</v>
      </c>
      <c r="D13" s="21" t="s">
        <v>106</v>
      </c>
      <c r="E13" s="19" t="s">
        <v>844</v>
      </c>
      <c r="F13" s="21">
        <v>867</v>
      </c>
    </row>
    <row r="14" spans="1:6">
      <c r="A14" s="21">
        <v>2026</v>
      </c>
      <c r="B14" s="21" t="s">
        <v>846</v>
      </c>
      <c r="C14" s="21">
        <v>2027</v>
      </c>
      <c r="D14" s="21" t="s">
        <v>106</v>
      </c>
      <c r="E14" s="19" t="s">
        <v>844</v>
      </c>
      <c r="F14" s="21">
        <v>1020</v>
      </c>
    </row>
    <row r="15" spans="1:6">
      <c r="A15" s="21">
        <v>2026</v>
      </c>
      <c r="B15" s="21" t="s">
        <v>847</v>
      </c>
      <c r="C15" s="21">
        <v>2027</v>
      </c>
      <c r="D15" s="21" t="s">
        <v>106</v>
      </c>
      <c r="E15" s="19" t="s">
        <v>844</v>
      </c>
      <c r="F15" s="21">
        <v>778</v>
      </c>
    </row>
    <row r="16" spans="1:6">
      <c r="A16" s="21">
        <v>2026</v>
      </c>
      <c r="B16" s="21" t="s">
        <v>848</v>
      </c>
      <c r="C16" s="21">
        <v>2027</v>
      </c>
      <c r="D16" s="21" t="s">
        <v>106</v>
      </c>
      <c r="E16" s="19" t="s">
        <v>844</v>
      </c>
      <c r="F16" s="21">
        <v>1016</v>
      </c>
    </row>
    <row r="17" spans="1:6">
      <c r="A17" s="21">
        <v>2026</v>
      </c>
      <c r="B17" s="21" t="s">
        <v>843</v>
      </c>
      <c r="C17" s="21">
        <v>2026</v>
      </c>
      <c r="D17" s="21" t="s">
        <v>106</v>
      </c>
      <c r="E17" s="19" t="s">
        <v>849</v>
      </c>
      <c r="F17" s="21">
        <v>0</v>
      </c>
    </row>
    <row r="18" spans="1:6">
      <c r="A18" s="21">
        <v>2026</v>
      </c>
      <c r="B18" s="21" t="s">
        <v>845</v>
      </c>
      <c r="C18" s="21">
        <v>2026</v>
      </c>
      <c r="D18" s="21" t="s">
        <v>106</v>
      </c>
      <c r="E18" s="19" t="s">
        <v>849</v>
      </c>
      <c r="F18" s="21">
        <v>0</v>
      </c>
    </row>
    <row r="19" spans="1:6">
      <c r="A19" s="21">
        <v>2026</v>
      </c>
      <c r="B19" s="21" t="s">
        <v>846</v>
      </c>
      <c r="C19" s="21">
        <v>2027</v>
      </c>
      <c r="D19" s="21" t="s">
        <v>106</v>
      </c>
      <c r="E19" s="19" t="s">
        <v>849</v>
      </c>
      <c r="F19" s="21">
        <v>0</v>
      </c>
    </row>
    <row r="20" spans="1:6">
      <c r="A20" s="21">
        <v>2026</v>
      </c>
      <c r="B20" s="21" t="s">
        <v>847</v>
      </c>
      <c r="C20" s="21">
        <v>2027</v>
      </c>
      <c r="D20" s="21" t="s">
        <v>106</v>
      </c>
      <c r="E20" s="19" t="s">
        <v>849</v>
      </c>
      <c r="F20" s="21">
        <v>0</v>
      </c>
    </row>
    <row r="21" spans="1:6">
      <c r="A21" s="21">
        <v>2026</v>
      </c>
      <c r="B21" s="21" t="s">
        <v>848</v>
      </c>
      <c r="C21" s="21">
        <v>2027</v>
      </c>
      <c r="D21" s="21" t="s">
        <v>106</v>
      </c>
      <c r="E21" s="19" t="s">
        <v>849</v>
      </c>
      <c r="F21" s="21">
        <v>0</v>
      </c>
    </row>
    <row r="22" spans="1:6">
      <c r="A22" s="21">
        <v>2027</v>
      </c>
      <c r="B22" s="21" t="s">
        <v>843</v>
      </c>
      <c r="C22" s="21">
        <v>2027</v>
      </c>
      <c r="D22" s="21" t="s">
        <v>105</v>
      </c>
      <c r="E22" s="19" t="s">
        <v>844</v>
      </c>
      <c r="F22" s="21">
        <v>1898</v>
      </c>
    </row>
    <row r="23" spans="1:6">
      <c r="A23" s="21">
        <v>2027</v>
      </c>
      <c r="B23" s="21" t="s">
        <v>845</v>
      </c>
      <c r="C23" s="21">
        <v>2027</v>
      </c>
      <c r="D23" s="21" t="s">
        <v>105</v>
      </c>
      <c r="E23" s="19" t="s">
        <v>844</v>
      </c>
      <c r="F23" s="21">
        <v>1898</v>
      </c>
    </row>
    <row r="24" spans="1:6">
      <c r="A24" s="21">
        <v>2027</v>
      </c>
      <c r="B24" s="21" t="s">
        <v>846</v>
      </c>
      <c r="C24" s="21">
        <v>2028</v>
      </c>
      <c r="D24" s="21" t="s">
        <v>105</v>
      </c>
      <c r="E24" s="19" t="s">
        <v>844</v>
      </c>
      <c r="F24" s="21">
        <v>2338</v>
      </c>
    </row>
    <row r="25" spans="1:6">
      <c r="A25" s="21">
        <v>2027</v>
      </c>
      <c r="B25" s="21" t="s">
        <v>847</v>
      </c>
      <c r="C25" s="21">
        <v>2028</v>
      </c>
      <c r="D25" s="21" t="s">
        <v>105</v>
      </c>
      <c r="E25" s="19" t="s">
        <v>844</v>
      </c>
      <c r="F25" s="21">
        <v>1713</v>
      </c>
    </row>
    <row r="26" spans="1:6">
      <c r="A26" s="21">
        <v>2027</v>
      </c>
      <c r="B26" s="21" t="s">
        <v>848</v>
      </c>
      <c r="C26" s="21">
        <v>2028</v>
      </c>
      <c r="D26" s="21" t="s">
        <v>105</v>
      </c>
      <c r="E26" s="19" t="s">
        <v>844</v>
      </c>
      <c r="F26" s="21">
        <v>2542</v>
      </c>
    </row>
    <row r="27" spans="1:6">
      <c r="A27" s="21">
        <v>2027</v>
      </c>
      <c r="B27" s="21" t="s">
        <v>843</v>
      </c>
      <c r="C27" s="21">
        <v>2027</v>
      </c>
      <c r="D27" s="21" t="s">
        <v>105</v>
      </c>
      <c r="E27" s="19" t="s">
        <v>849</v>
      </c>
      <c r="F27" s="21">
        <v>0</v>
      </c>
    </row>
    <row r="28" spans="1:6">
      <c r="A28" s="21">
        <v>2027</v>
      </c>
      <c r="B28" s="21" t="s">
        <v>845</v>
      </c>
      <c r="C28" s="21">
        <v>2027</v>
      </c>
      <c r="D28" s="21" t="s">
        <v>105</v>
      </c>
      <c r="E28" s="19" t="s">
        <v>849</v>
      </c>
      <c r="F28" s="21">
        <v>0</v>
      </c>
    </row>
    <row r="29" spans="1:6">
      <c r="A29" s="21">
        <v>2027</v>
      </c>
      <c r="B29" s="21" t="s">
        <v>846</v>
      </c>
      <c r="C29" s="21">
        <v>2028</v>
      </c>
      <c r="D29" s="21" t="s">
        <v>105</v>
      </c>
      <c r="E29" s="19" t="s">
        <v>849</v>
      </c>
      <c r="F29" s="21">
        <v>0</v>
      </c>
    </row>
    <row r="30" spans="1:6">
      <c r="A30" s="21">
        <v>2027</v>
      </c>
      <c r="B30" s="21" t="s">
        <v>847</v>
      </c>
      <c r="C30" s="21">
        <v>2028</v>
      </c>
      <c r="D30" s="21" t="s">
        <v>105</v>
      </c>
      <c r="E30" s="19" t="s">
        <v>849</v>
      </c>
      <c r="F30" s="21">
        <v>0</v>
      </c>
    </row>
    <row r="31" spans="1:6">
      <c r="A31" s="21">
        <v>2027</v>
      </c>
      <c r="B31" s="21" t="s">
        <v>848</v>
      </c>
      <c r="C31" s="21">
        <v>2028</v>
      </c>
      <c r="D31" s="21" t="s">
        <v>105</v>
      </c>
      <c r="E31" s="19" t="s">
        <v>849</v>
      </c>
      <c r="F31" s="21">
        <v>0</v>
      </c>
    </row>
    <row r="32" spans="1:6">
      <c r="A32" s="21">
        <v>2027</v>
      </c>
      <c r="B32" s="21" t="s">
        <v>843</v>
      </c>
      <c r="C32" s="21">
        <v>2027</v>
      </c>
      <c r="D32" s="21" t="s">
        <v>106</v>
      </c>
      <c r="E32" s="19" t="s">
        <v>844</v>
      </c>
      <c r="F32" s="21">
        <v>1159</v>
      </c>
    </row>
    <row r="33" spans="1:6">
      <c r="A33" s="21">
        <v>2027</v>
      </c>
      <c r="B33" s="21" t="s">
        <v>845</v>
      </c>
      <c r="C33" s="21">
        <v>2027</v>
      </c>
      <c r="D33" s="21" t="s">
        <v>106</v>
      </c>
      <c r="E33" s="19" t="s">
        <v>844</v>
      </c>
      <c r="F33" s="21">
        <v>1045</v>
      </c>
    </row>
    <row r="34" spans="1:6">
      <c r="A34" s="21">
        <v>2027</v>
      </c>
      <c r="B34" s="21" t="s">
        <v>846</v>
      </c>
      <c r="C34" s="21">
        <v>2028</v>
      </c>
      <c r="D34" s="21" t="s">
        <v>106</v>
      </c>
      <c r="E34" s="19" t="s">
        <v>844</v>
      </c>
      <c r="F34" s="21">
        <v>1105</v>
      </c>
    </row>
    <row r="35" spans="1:6">
      <c r="A35" s="21">
        <v>2027</v>
      </c>
      <c r="B35" s="21" t="s">
        <v>847</v>
      </c>
      <c r="C35" s="21">
        <v>2028</v>
      </c>
      <c r="D35" s="21" t="s">
        <v>106</v>
      </c>
      <c r="E35" s="19" t="s">
        <v>844</v>
      </c>
      <c r="F35" s="21">
        <v>872</v>
      </c>
    </row>
    <row r="36" spans="1:6">
      <c r="A36" s="21">
        <v>2027</v>
      </c>
      <c r="B36" s="21" t="s">
        <v>848</v>
      </c>
      <c r="C36" s="21">
        <v>2028</v>
      </c>
      <c r="D36" s="21" t="s">
        <v>106</v>
      </c>
      <c r="E36" s="19" t="s">
        <v>844</v>
      </c>
      <c r="F36" s="21">
        <v>1131</v>
      </c>
    </row>
    <row r="37" spans="1:6">
      <c r="A37" s="21">
        <v>2027</v>
      </c>
      <c r="B37" s="21" t="s">
        <v>843</v>
      </c>
      <c r="C37" s="21">
        <v>2027</v>
      </c>
      <c r="D37" s="21" t="s">
        <v>106</v>
      </c>
      <c r="E37" s="19" t="s">
        <v>849</v>
      </c>
      <c r="F37" s="21">
        <v>0</v>
      </c>
    </row>
    <row r="38" spans="1:6">
      <c r="A38" s="21">
        <v>2027</v>
      </c>
      <c r="B38" s="21" t="s">
        <v>845</v>
      </c>
      <c r="C38" s="21">
        <v>2027</v>
      </c>
      <c r="D38" s="21" t="s">
        <v>106</v>
      </c>
      <c r="E38" s="19" t="s">
        <v>849</v>
      </c>
      <c r="F38" s="21">
        <v>0</v>
      </c>
    </row>
    <row r="39" spans="1:6">
      <c r="A39" s="21">
        <v>2027</v>
      </c>
      <c r="B39" s="21" t="s">
        <v>846</v>
      </c>
      <c r="C39" s="21">
        <v>2028</v>
      </c>
      <c r="D39" s="21" t="s">
        <v>106</v>
      </c>
      <c r="E39" s="19" t="s">
        <v>849</v>
      </c>
      <c r="F39" s="21">
        <v>0</v>
      </c>
    </row>
    <row r="40" spans="1:6">
      <c r="A40" s="21">
        <v>2027</v>
      </c>
      <c r="B40" s="21" t="s">
        <v>847</v>
      </c>
      <c r="C40" s="21">
        <v>2028</v>
      </c>
      <c r="D40" s="21" t="s">
        <v>106</v>
      </c>
      <c r="E40" s="19" t="s">
        <v>849</v>
      </c>
      <c r="F40" s="21">
        <v>0</v>
      </c>
    </row>
    <row r="41" spans="1:6">
      <c r="A41" s="21">
        <v>2027</v>
      </c>
      <c r="B41" s="21" t="s">
        <v>848</v>
      </c>
      <c r="C41" s="21">
        <v>2028</v>
      </c>
      <c r="D41" s="21" t="s">
        <v>106</v>
      </c>
      <c r="E41" s="19" t="s">
        <v>849</v>
      </c>
      <c r="F41" s="21">
        <v>0</v>
      </c>
    </row>
    <row r="42" spans="1:6">
      <c r="A42" s="21">
        <v>2028</v>
      </c>
      <c r="B42" s="21" t="s">
        <v>843</v>
      </c>
      <c r="C42" s="21">
        <v>2028</v>
      </c>
      <c r="D42" s="21" t="s">
        <v>105</v>
      </c>
      <c r="E42" s="19" t="s">
        <v>844</v>
      </c>
      <c r="F42" s="21">
        <v>2056</v>
      </c>
    </row>
    <row r="43" spans="1:6">
      <c r="A43" s="21">
        <v>2028</v>
      </c>
      <c r="B43" s="21" t="s">
        <v>845</v>
      </c>
      <c r="C43" s="21">
        <v>2028</v>
      </c>
      <c r="D43" s="21" t="s">
        <v>105</v>
      </c>
      <c r="E43" s="19" t="s">
        <v>844</v>
      </c>
      <c r="F43" s="21">
        <v>2020</v>
      </c>
    </row>
    <row r="44" spans="1:6">
      <c r="A44" s="21">
        <v>2028</v>
      </c>
      <c r="B44" s="21" t="s">
        <v>846</v>
      </c>
      <c r="C44" s="21">
        <v>2029</v>
      </c>
      <c r="D44" s="21" t="s">
        <v>105</v>
      </c>
      <c r="E44" s="19" t="s">
        <v>844</v>
      </c>
      <c r="F44" s="21">
        <v>2374</v>
      </c>
    </row>
    <row r="45" spans="1:6">
      <c r="A45" s="21">
        <v>2028</v>
      </c>
      <c r="B45" s="21" t="s">
        <v>847</v>
      </c>
      <c r="C45" s="21">
        <v>2029</v>
      </c>
      <c r="D45" s="21" t="s">
        <v>105</v>
      </c>
      <c r="E45" s="19" t="s">
        <v>844</v>
      </c>
      <c r="F45" s="21">
        <v>1751</v>
      </c>
    </row>
    <row r="46" spans="1:6">
      <c r="A46" s="21">
        <v>2028</v>
      </c>
      <c r="B46" s="21" t="s">
        <v>848</v>
      </c>
      <c r="C46" s="21">
        <v>2029</v>
      </c>
      <c r="D46" s="21" t="s">
        <v>105</v>
      </c>
      <c r="E46" s="19" t="s">
        <v>844</v>
      </c>
      <c r="F46" s="21">
        <v>2593</v>
      </c>
    </row>
    <row r="47" spans="1:6">
      <c r="A47" s="21">
        <v>2028</v>
      </c>
      <c r="B47" s="21" t="s">
        <v>843</v>
      </c>
      <c r="C47" s="21">
        <v>2028</v>
      </c>
      <c r="D47" s="21" t="s">
        <v>105</v>
      </c>
      <c r="E47" s="19" t="s">
        <v>849</v>
      </c>
      <c r="F47" s="21">
        <v>0</v>
      </c>
    </row>
    <row r="48" spans="1:6">
      <c r="A48" s="21">
        <v>2028</v>
      </c>
      <c r="B48" s="21" t="s">
        <v>845</v>
      </c>
      <c r="C48" s="21">
        <v>2028</v>
      </c>
      <c r="D48" s="21" t="s">
        <v>105</v>
      </c>
      <c r="E48" s="19" t="s">
        <v>849</v>
      </c>
      <c r="F48" s="21">
        <v>35</v>
      </c>
    </row>
    <row r="49" spans="1:6">
      <c r="A49" s="21">
        <v>2028</v>
      </c>
      <c r="B49" s="21" t="s">
        <v>846</v>
      </c>
      <c r="C49" s="21">
        <v>2029</v>
      </c>
      <c r="D49" s="21" t="s">
        <v>105</v>
      </c>
      <c r="E49" s="19" t="s">
        <v>849</v>
      </c>
      <c r="F49" s="21">
        <v>103</v>
      </c>
    </row>
    <row r="50" spans="1:6">
      <c r="A50" s="21">
        <v>2028</v>
      </c>
      <c r="B50" s="21" t="s">
        <v>847</v>
      </c>
      <c r="C50" s="21">
        <v>2029</v>
      </c>
      <c r="D50" s="21" t="s">
        <v>105</v>
      </c>
      <c r="E50" s="19" t="s">
        <v>849</v>
      </c>
      <c r="F50" s="21">
        <v>63</v>
      </c>
    </row>
    <row r="51" spans="1:6">
      <c r="A51" s="21">
        <v>2028</v>
      </c>
      <c r="B51" s="21" t="s">
        <v>848</v>
      </c>
      <c r="C51" s="21">
        <v>2029</v>
      </c>
      <c r="D51" s="21" t="s">
        <v>105</v>
      </c>
      <c r="E51" s="19" t="s">
        <v>849</v>
      </c>
      <c r="F51" s="21">
        <v>101</v>
      </c>
    </row>
    <row r="52" spans="1:6">
      <c r="A52" s="21">
        <v>2028</v>
      </c>
      <c r="B52" s="21" t="s">
        <v>843</v>
      </c>
      <c r="C52" s="21">
        <v>2028</v>
      </c>
      <c r="D52" s="21" t="s">
        <v>106</v>
      </c>
      <c r="E52" s="19" t="s">
        <v>844</v>
      </c>
      <c r="F52" s="21">
        <v>1254</v>
      </c>
    </row>
    <row r="53" spans="1:6">
      <c r="A53" s="21">
        <v>2028</v>
      </c>
      <c r="B53" s="21" t="s">
        <v>845</v>
      </c>
      <c r="C53" s="21">
        <v>2028</v>
      </c>
      <c r="D53" s="21" t="s">
        <v>106</v>
      </c>
      <c r="E53" s="19" t="s">
        <v>844</v>
      </c>
      <c r="F53" s="21">
        <v>1086</v>
      </c>
    </row>
    <row r="54" spans="1:6">
      <c r="A54" s="21">
        <v>2028</v>
      </c>
      <c r="B54" s="21" t="s">
        <v>846</v>
      </c>
      <c r="C54" s="21">
        <v>2029</v>
      </c>
      <c r="D54" s="21" t="s">
        <v>106</v>
      </c>
      <c r="E54" s="19" t="s">
        <v>844</v>
      </c>
      <c r="F54" s="21">
        <v>1220</v>
      </c>
    </row>
    <row r="55" spans="1:6">
      <c r="A55" s="21">
        <v>2028</v>
      </c>
      <c r="B55" s="21" t="s">
        <v>847</v>
      </c>
      <c r="C55" s="21">
        <v>2029</v>
      </c>
      <c r="D55" s="21" t="s">
        <v>106</v>
      </c>
      <c r="E55" s="19" t="s">
        <v>844</v>
      </c>
      <c r="F55" s="21">
        <v>970</v>
      </c>
    </row>
    <row r="56" spans="1:6">
      <c r="A56" s="21">
        <v>2028</v>
      </c>
      <c r="B56" s="21" t="s">
        <v>848</v>
      </c>
      <c r="C56" s="21">
        <v>2029</v>
      </c>
      <c r="D56" s="21" t="s">
        <v>106</v>
      </c>
      <c r="E56" s="19" t="s">
        <v>844</v>
      </c>
      <c r="F56" s="21">
        <v>1248</v>
      </c>
    </row>
    <row r="57" spans="1:6">
      <c r="A57" s="21">
        <v>2028</v>
      </c>
      <c r="B57" s="21" t="s">
        <v>843</v>
      </c>
      <c r="C57" s="21">
        <v>2028</v>
      </c>
      <c r="D57" s="21" t="s">
        <v>106</v>
      </c>
      <c r="E57" s="19" t="s">
        <v>849</v>
      </c>
      <c r="F57" s="21">
        <v>36</v>
      </c>
    </row>
    <row r="58" spans="1:6">
      <c r="A58" s="21">
        <v>2028</v>
      </c>
      <c r="B58" s="21" t="s">
        <v>845</v>
      </c>
      <c r="C58" s="21">
        <v>2028</v>
      </c>
      <c r="D58" s="21" t="s">
        <v>106</v>
      </c>
      <c r="E58" s="19" t="s">
        <v>849</v>
      </c>
      <c r="F58" s="21">
        <v>31</v>
      </c>
    </row>
    <row r="59" spans="1:6">
      <c r="A59" s="21">
        <v>2028</v>
      </c>
      <c r="B59" s="21" t="s">
        <v>846</v>
      </c>
      <c r="C59" s="21">
        <v>2029</v>
      </c>
      <c r="D59" s="21" t="s">
        <v>106</v>
      </c>
      <c r="E59" s="19" t="s">
        <v>849</v>
      </c>
      <c r="F59" s="21">
        <v>33</v>
      </c>
    </row>
    <row r="60" spans="1:6">
      <c r="A60" s="21">
        <v>2028</v>
      </c>
      <c r="B60" s="21" t="s">
        <v>847</v>
      </c>
      <c r="C60" s="21">
        <v>2029</v>
      </c>
      <c r="D60" s="21" t="s">
        <v>106</v>
      </c>
      <c r="E60" s="19" t="s">
        <v>849</v>
      </c>
      <c r="F60" s="21">
        <v>28</v>
      </c>
    </row>
    <row r="61" spans="1:6">
      <c r="A61" s="21">
        <v>2028</v>
      </c>
      <c r="B61" s="21" t="s">
        <v>848</v>
      </c>
      <c r="C61" s="21">
        <v>2029</v>
      </c>
      <c r="D61" s="21" t="s">
        <v>106</v>
      </c>
      <c r="E61" s="19" t="s">
        <v>849</v>
      </c>
      <c r="F61" s="21">
        <v>36</v>
      </c>
    </row>
    <row r="62" spans="1:6">
      <c r="A62" s="21">
        <v>2029</v>
      </c>
      <c r="B62" s="21" t="s">
        <v>843</v>
      </c>
      <c r="C62" s="21">
        <v>2029</v>
      </c>
      <c r="D62" s="21" t="s">
        <v>105</v>
      </c>
      <c r="E62" s="19" t="s">
        <v>844</v>
      </c>
      <c r="F62" s="21">
        <v>2178</v>
      </c>
    </row>
    <row r="63" spans="1:6">
      <c r="A63" s="21">
        <v>2029</v>
      </c>
      <c r="B63" s="21" t="s">
        <v>845</v>
      </c>
      <c r="C63" s="21">
        <v>2029</v>
      </c>
      <c r="D63" s="21" t="s">
        <v>105</v>
      </c>
      <c r="E63" s="19" t="s">
        <v>844</v>
      </c>
      <c r="F63" s="21">
        <v>2177</v>
      </c>
    </row>
    <row r="64" spans="1:6">
      <c r="A64" s="21">
        <v>2029</v>
      </c>
      <c r="B64" s="21" t="s">
        <v>846</v>
      </c>
      <c r="C64" s="21">
        <v>2030</v>
      </c>
      <c r="D64" s="21" t="s">
        <v>105</v>
      </c>
      <c r="E64" s="19" t="s">
        <v>844</v>
      </c>
      <c r="F64" s="21">
        <v>2445</v>
      </c>
    </row>
    <row r="65" spans="1:6">
      <c r="A65" s="21">
        <v>2029</v>
      </c>
      <c r="B65" s="21" t="s">
        <v>847</v>
      </c>
      <c r="C65" s="21">
        <v>2030</v>
      </c>
      <c r="D65" s="21" t="s">
        <v>105</v>
      </c>
      <c r="E65" s="19" t="s">
        <v>844</v>
      </c>
      <c r="F65" s="21">
        <v>1813</v>
      </c>
    </row>
    <row r="66" spans="1:6">
      <c r="A66" s="21">
        <v>2029</v>
      </c>
      <c r="B66" s="21" t="s">
        <v>848</v>
      </c>
      <c r="C66" s="21">
        <v>2030</v>
      </c>
      <c r="D66" s="21" t="s">
        <v>105</v>
      </c>
      <c r="E66" s="19" t="s">
        <v>844</v>
      </c>
      <c r="F66" s="21">
        <v>2647</v>
      </c>
    </row>
    <row r="67" spans="1:6">
      <c r="A67" s="21">
        <v>2029</v>
      </c>
      <c r="B67" s="21" t="s">
        <v>843</v>
      </c>
      <c r="C67" s="21">
        <v>2029</v>
      </c>
      <c r="D67" s="21" t="s">
        <v>105</v>
      </c>
      <c r="E67" s="19" t="s">
        <v>849</v>
      </c>
      <c r="F67" s="21">
        <v>61</v>
      </c>
    </row>
    <row r="68" spans="1:6">
      <c r="A68" s="21">
        <v>2029</v>
      </c>
      <c r="B68" s="21" t="s">
        <v>845</v>
      </c>
      <c r="C68" s="21">
        <v>2029</v>
      </c>
      <c r="D68" s="21" t="s">
        <v>105</v>
      </c>
      <c r="E68" s="19" t="s">
        <v>849</v>
      </c>
      <c r="F68" s="21">
        <v>61</v>
      </c>
    </row>
    <row r="69" spans="1:6">
      <c r="A69" s="21">
        <v>2029</v>
      </c>
      <c r="B69" s="21" t="s">
        <v>846</v>
      </c>
      <c r="C69" s="21">
        <v>2030</v>
      </c>
      <c r="D69" s="21" t="s">
        <v>105</v>
      </c>
      <c r="E69" s="19" t="s">
        <v>849</v>
      </c>
      <c r="F69" s="21">
        <v>109</v>
      </c>
    </row>
    <row r="70" spans="1:6">
      <c r="A70" s="21">
        <v>2029</v>
      </c>
      <c r="B70" s="21" t="s">
        <v>847</v>
      </c>
      <c r="C70" s="21">
        <v>2030</v>
      </c>
      <c r="D70" s="21" t="s">
        <v>105</v>
      </c>
      <c r="E70" s="19" t="s">
        <v>849</v>
      </c>
      <c r="F70" s="21">
        <v>70</v>
      </c>
    </row>
    <row r="71" spans="1:6">
      <c r="A71" s="21">
        <v>2029</v>
      </c>
      <c r="B71" s="21" t="s">
        <v>848</v>
      </c>
      <c r="C71" s="21">
        <v>2030</v>
      </c>
      <c r="D71" s="21" t="s">
        <v>105</v>
      </c>
      <c r="E71" s="19" t="s">
        <v>849</v>
      </c>
      <c r="F71" s="21">
        <v>110</v>
      </c>
    </row>
    <row r="72" spans="1:6">
      <c r="A72" s="21">
        <v>2029</v>
      </c>
      <c r="B72" s="21" t="s">
        <v>843</v>
      </c>
      <c r="C72" s="21">
        <v>2029</v>
      </c>
      <c r="D72" s="21" t="s">
        <v>106</v>
      </c>
      <c r="E72" s="19" t="s">
        <v>844</v>
      </c>
      <c r="F72" s="21">
        <v>1310</v>
      </c>
    </row>
    <row r="73" spans="1:6">
      <c r="A73" s="21">
        <v>2029</v>
      </c>
      <c r="B73" s="21" t="s">
        <v>845</v>
      </c>
      <c r="C73" s="21">
        <v>2029</v>
      </c>
      <c r="D73" s="21" t="s">
        <v>106</v>
      </c>
      <c r="E73" s="19" t="s">
        <v>844</v>
      </c>
      <c r="F73" s="21">
        <v>1207</v>
      </c>
    </row>
    <row r="74" spans="1:6">
      <c r="A74" s="21">
        <v>2029</v>
      </c>
      <c r="B74" s="21" t="s">
        <v>846</v>
      </c>
      <c r="C74" s="21">
        <v>2030</v>
      </c>
      <c r="D74" s="21" t="s">
        <v>106</v>
      </c>
      <c r="E74" s="19" t="s">
        <v>844</v>
      </c>
      <c r="F74" s="21">
        <v>1305</v>
      </c>
    </row>
    <row r="75" spans="1:6">
      <c r="A75" s="21">
        <v>2029</v>
      </c>
      <c r="B75" s="21" t="s">
        <v>847</v>
      </c>
      <c r="C75" s="21">
        <v>2030</v>
      </c>
      <c r="D75" s="21" t="s">
        <v>106</v>
      </c>
      <c r="E75" s="19" t="s">
        <v>844</v>
      </c>
      <c r="F75" s="21">
        <v>1096</v>
      </c>
    </row>
    <row r="76" spans="1:6">
      <c r="A76" s="21">
        <v>2029</v>
      </c>
      <c r="B76" s="21" t="s">
        <v>848</v>
      </c>
      <c r="C76" s="21">
        <v>2030</v>
      </c>
      <c r="D76" s="21" t="s">
        <v>106</v>
      </c>
      <c r="E76" s="19" t="s">
        <v>844</v>
      </c>
      <c r="F76" s="21">
        <v>1399</v>
      </c>
    </row>
    <row r="77" spans="1:6">
      <c r="A77" s="21">
        <v>2029</v>
      </c>
      <c r="B77" s="21" t="s">
        <v>843</v>
      </c>
      <c r="C77" s="21">
        <v>2029</v>
      </c>
      <c r="D77" s="21" t="s">
        <v>106</v>
      </c>
      <c r="E77" s="19" t="s">
        <v>849</v>
      </c>
      <c r="F77" s="21">
        <v>49</v>
      </c>
    </row>
    <row r="78" spans="1:6">
      <c r="A78" s="21">
        <v>2029</v>
      </c>
      <c r="B78" s="21" t="s">
        <v>845</v>
      </c>
      <c r="C78" s="21">
        <v>2029</v>
      </c>
      <c r="D78" s="21" t="s">
        <v>106</v>
      </c>
      <c r="E78" s="19" t="s">
        <v>849</v>
      </c>
      <c r="F78" s="21">
        <v>43</v>
      </c>
    </row>
    <row r="79" spans="1:6">
      <c r="A79" s="21">
        <v>2029</v>
      </c>
      <c r="B79" s="21" t="s">
        <v>846</v>
      </c>
      <c r="C79" s="21">
        <v>2030</v>
      </c>
      <c r="D79" s="21" t="s">
        <v>106</v>
      </c>
      <c r="E79" s="19" t="s">
        <v>849</v>
      </c>
      <c r="F79" s="21">
        <v>45</v>
      </c>
    </row>
    <row r="80" spans="1:6">
      <c r="A80" s="21">
        <v>2029</v>
      </c>
      <c r="B80" s="21" t="s">
        <v>847</v>
      </c>
      <c r="C80" s="21">
        <v>2030</v>
      </c>
      <c r="D80" s="21" t="s">
        <v>106</v>
      </c>
      <c r="E80" s="19" t="s">
        <v>849</v>
      </c>
      <c r="F80" s="21">
        <v>41</v>
      </c>
    </row>
    <row r="81" spans="1:6">
      <c r="A81" s="21">
        <v>2029</v>
      </c>
      <c r="B81" s="21" t="s">
        <v>848</v>
      </c>
      <c r="C81" s="21">
        <v>2030</v>
      </c>
      <c r="D81" s="21" t="s">
        <v>106</v>
      </c>
      <c r="E81" s="19" t="s">
        <v>849</v>
      </c>
      <c r="F81" s="21">
        <v>49</v>
      </c>
    </row>
    <row r="82" spans="1:6">
      <c r="A82" s="21">
        <v>2025</v>
      </c>
      <c r="B82" s="21" t="s">
        <v>843</v>
      </c>
      <c r="C82" s="21">
        <v>2025</v>
      </c>
      <c r="D82" s="21" t="s">
        <v>106</v>
      </c>
      <c r="E82" s="19" t="s">
        <v>844</v>
      </c>
      <c r="F82" s="21">
        <v>1070</v>
      </c>
    </row>
    <row r="83" spans="1:6">
      <c r="A83" s="21">
        <v>2025</v>
      </c>
      <c r="B83" s="21" t="s">
        <v>845</v>
      </c>
      <c r="C83" s="21">
        <v>2025</v>
      </c>
      <c r="D83" s="21" t="s">
        <v>106</v>
      </c>
      <c r="E83" s="19" t="s">
        <v>844</v>
      </c>
      <c r="F83" s="21">
        <v>802</v>
      </c>
    </row>
    <row r="84" spans="1:6">
      <c r="A84" s="21">
        <v>2025</v>
      </c>
      <c r="B84" s="21" t="s">
        <v>846</v>
      </c>
      <c r="C84" s="21">
        <v>2026</v>
      </c>
      <c r="D84" s="21" t="s">
        <v>106</v>
      </c>
      <c r="E84" s="19" t="s">
        <v>844</v>
      </c>
      <c r="F84" s="21">
        <v>814</v>
      </c>
    </row>
    <row r="85" spans="1:6">
      <c r="A85" s="21">
        <v>2025</v>
      </c>
      <c r="B85" s="21" t="s">
        <v>847</v>
      </c>
      <c r="C85" s="21">
        <v>2026</v>
      </c>
      <c r="D85" s="21" t="s">
        <v>106</v>
      </c>
      <c r="E85" s="19" t="s">
        <v>844</v>
      </c>
      <c r="F85" s="21">
        <v>521</v>
      </c>
    </row>
    <row r="86" spans="1:6">
      <c r="A86" s="21">
        <v>2025</v>
      </c>
      <c r="B86" s="21" t="s">
        <v>848</v>
      </c>
      <c r="C86" s="21">
        <v>2026</v>
      </c>
      <c r="D86" s="21" t="s">
        <v>106</v>
      </c>
      <c r="E86" s="19" t="s">
        <v>844</v>
      </c>
      <c r="F86" s="21">
        <v>785</v>
      </c>
    </row>
  </sheetData>
  <autoFilter ref="A1:F86" xr:uid="{00000000-0001-0000-1100-000000000000}"/>
  <dataValidations count="3">
    <dataValidation type="list" sqref="B2:B500" xr:uid="{00000000-0002-0000-1100-000000000000}">
      <formula1>"Agosto,Octubre,Enero,Marzo,Junio"</formula1>
    </dataValidation>
    <dataValidation type="list" sqref="D2:D500" xr:uid="{00000000-0002-0000-1100-000001000000}">
      <formula1>"Posgrado,Ejecutivo"</formula1>
    </dataValidation>
    <dataValidation type="list" sqref="E2:E500" xr:uid="{00000000-0002-0000-1100-000002000000}">
      <formula1>"Síncrono,Asíncrono"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5"/>
  <sheetViews>
    <sheetView workbookViewId="0"/>
  </sheetViews>
  <sheetFormatPr baseColWidth="10" defaultColWidth="8.6640625" defaultRowHeight="14"/>
  <cols>
    <col min="1" max="3" width="16" customWidth="1"/>
    <col min="4" max="5" width="18" customWidth="1"/>
    <col min="6" max="6" width="20" customWidth="1"/>
    <col min="7" max="7" width="60" customWidth="1"/>
  </cols>
  <sheetData>
    <row r="1" spans="1:7" ht="28">
      <c r="A1" s="47" t="s">
        <v>840</v>
      </c>
      <c r="B1" s="47" t="s">
        <v>37</v>
      </c>
      <c r="C1" s="47" t="s">
        <v>38</v>
      </c>
      <c r="D1" s="51" t="s">
        <v>850</v>
      </c>
      <c r="E1" s="47" t="s">
        <v>851</v>
      </c>
      <c r="F1" s="47" t="s">
        <v>852</v>
      </c>
      <c r="G1" s="47" t="s">
        <v>738</v>
      </c>
    </row>
    <row r="2" spans="1:7" ht="28">
      <c r="A2" s="21">
        <v>2030</v>
      </c>
      <c r="B2" s="21" t="s">
        <v>105</v>
      </c>
      <c r="C2" s="19" t="s">
        <v>844</v>
      </c>
      <c r="D2" s="45">
        <v>0.03</v>
      </c>
      <c r="E2" s="19" t="s">
        <v>7</v>
      </c>
      <c r="F2" s="19" t="s">
        <v>844</v>
      </c>
      <c r="G2" s="18" t="s">
        <v>853</v>
      </c>
    </row>
    <row r="3" spans="1:7" ht="28">
      <c r="A3" s="21">
        <v>2030</v>
      </c>
      <c r="B3" s="21" t="s">
        <v>105</v>
      </c>
      <c r="C3" s="19" t="s">
        <v>849</v>
      </c>
      <c r="D3" s="45"/>
      <c r="E3" s="19" t="s">
        <v>7</v>
      </c>
      <c r="F3" s="19" t="s">
        <v>854</v>
      </c>
      <c r="G3" s="18" t="s">
        <v>855</v>
      </c>
    </row>
    <row r="4" spans="1:7" ht="28">
      <c r="A4" s="21">
        <v>2030</v>
      </c>
      <c r="B4" s="21" t="s">
        <v>106</v>
      </c>
      <c r="C4" s="19" t="s">
        <v>844</v>
      </c>
      <c r="D4" s="45">
        <v>0.03</v>
      </c>
      <c r="E4" s="19" t="s">
        <v>7</v>
      </c>
      <c r="F4" s="19" t="s">
        <v>844</v>
      </c>
      <c r="G4" s="18" t="s">
        <v>853</v>
      </c>
    </row>
    <row r="5" spans="1:7" ht="28">
      <c r="A5" s="21">
        <v>2030</v>
      </c>
      <c r="B5" s="21" t="s">
        <v>106</v>
      </c>
      <c r="C5" s="19" t="s">
        <v>849</v>
      </c>
      <c r="D5" s="45"/>
      <c r="E5" s="19" t="s">
        <v>7</v>
      </c>
      <c r="F5" s="19" t="s">
        <v>854</v>
      </c>
      <c r="G5" s="18" t="s">
        <v>855</v>
      </c>
    </row>
    <row r="6" spans="1:7" ht="28">
      <c r="A6" s="21">
        <v>2031</v>
      </c>
      <c r="B6" s="21" t="s">
        <v>105</v>
      </c>
      <c r="C6" s="19" t="s">
        <v>844</v>
      </c>
      <c r="D6" s="45">
        <v>0.03</v>
      </c>
      <c r="E6" s="19" t="s">
        <v>7</v>
      </c>
      <c r="F6" s="19" t="s">
        <v>844</v>
      </c>
      <c r="G6" s="18" t="s">
        <v>853</v>
      </c>
    </row>
    <row r="7" spans="1:7" ht="28">
      <c r="A7" s="21">
        <v>2031</v>
      </c>
      <c r="B7" s="21" t="s">
        <v>105</v>
      </c>
      <c r="C7" s="19" t="s">
        <v>849</v>
      </c>
      <c r="D7" s="45"/>
      <c r="E7" s="19" t="s">
        <v>7</v>
      </c>
      <c r="F7" s="19" t="s">
        <v>854</v>
      </c>
      <c r="G7" s="18" t="s">
        <v>855</v>
      </c>
    </row>
    <row r="8" spans="1:7" ht="28">
      <c r="A8" s="21">
        <v>2031</v>
      </c>
      <c r="B8" s="21" t="s">
        <v>106</v>
      </c>
      <c r="C8" s="19" t="s">
        <v>844</v>
      </c>
      <c r="D8" s="45">
        <v>0.03</v>
      </c>
      <c r="E8" s="19" t="s">
        <v>7</v>
      </c>
      <c r="F8" s="19" t="s">
        <v>844</v>
      </c>
      <c r="G8" s="18" t="s">
        <v>853</v>
      </c>
    </row>
    <row r="9" spans="1:7" ht="28">
      <c r="A9" s="21">
        <v>2031</v>
      </c>
      <c r="B9" s="21" t="s">
        <v>106</v>
      </c>
      <c r="C9" s="19" t="s">
        <v>849</v>
      </c>
      <c r="D9" s="45"/>
      <c r="E9" s="19" t="s">
        <v>7</v>
      </c>
      <c r="F9" s="19" t="s">
        <v>854</v>
      </c>
      <c r="G9" s="18" t="s">
        <v>855</v>
      </c>
    </row>
    <row r="10" spans="1:7" ht="28">
      <c r="A10" s="21">
        <v>2032</v>
      </c>
      <c r="B10" s="21" t="s">
        <v>105</v>
      </c>
      <c r="C10" s="19" t="s">
        <v>844</v>
      </c>
      <c r="D10" s="45">
        <v>0.03</v>
      </c>
      <c r="E10" s="19" t="s">
        <v>7</v>
      </c>
      <c r="F10" s="19" t="s">
        <v>844</v>
      </c>
      <c r="G10" s="18" t="s">
        <v>853</v>
      </c>
    </row>
    <row r="11" spans="1:7" ht="28">
      <c r="A11" s="21">
        <v>2032</v>
      </c>
      <c r="B11" s="21" t="s">
        <v>105</v>
      </c>
      <c r="C11" s="19" t="s">
        <v>849</v>
      </c>
      <c r="D11" s="45"/>
      <c r="E11" s="19" t="s">
        <v>7</v>
      </c>
      <c r="F11" s="19" t="s">
        <v>854</v>
      </c>
      <c r="G11" s="18" t="s">
        <v>855</v>
      </c>
    </row>
    <row r="12" spans="1:7" ht="28">
      <c r="A12" s="21">
        <v>2032</v>
      </c>
      <c r="B12" s="21" t="s">
        <v>106</v>
      </c>
      <c r="C12" s="19" t="s">
        <v>844</v>
      </c>
      <c r="D12" s="45">
        <v>0.03</v>
      </c>
      <c r="E12" s="19" t="s">
        <v>7</v>
      </c>
      <c r="F12" s="19" t="s">
        <v>844</v>
      </c>
      <c r="G12" s="18" t="s">
        <v>853</v>
      </c>
    </row>
    <row r="13" spans="1:7" ht="28">
      <c r="A13" s="21">
        <v>2032</v>
      </c>
      <c r="B13" s="21" t="s">
        <v>106</v>
      </c>
      <c r="C13" s="19" t="s">
        <v>849</v>
      </c>
      <c r="D13" s="45"/>
      <c r="E13" s="19" t="s">
        <v>7</v>
      </c>
      <c r="F13" s="19" t="s">
        <v>854</v>
      </c>
      <c r="G13" s="18" t="s">
        <v>855</v>
      </c>
    </row>
    <row r="14" spans="1:7" ht="28">
      <c r="A14" s="21">
        <v>2033</v>
      </c>
      <c r="B14" s="21" t="s">
        <v>105</v>
      </c>
      <c r="C14" s="19" t="s">
        <v>844</v>
      </c>
      <c r="D14" s="45">
        <v>0.03</v>
      </c>
      <c r="E14" s="19" t="s">
        <v>7</v>
      </c>
      <c r="F14" s="19" t="s">
        <v>844</v>
      </c>
      <c r="G14" s="18" t="s">
        <v>853</v>
      </c>
    </row>
    <row r="15" spans="1:7" ht="28">
      <c r="A15" s="21">
        <v>2033</v>
      </c>
      <c r="B15" s="21" t="s">
        <v>105</v>
      </c>
      <c r="C15" s="19" t="s">
        <v>849</v>
      </c>
      <c r="D15" s="45"/>
      <c r="E15" s="19" t="s">
        <v>7</v>
      </c>
      <c r="F15" s="19" t="s">
        <v>854</v>
      </c>
      <c r="G15" s="18" t="s">
        <v>855</v>
      </c>
    </row>
    <row r="16" spans="1:7" ht="28">
      <c r="A16" s="21">
        <v>2033</v>
      </c>
      <c r="B16" s="21" t="s">
        <v>106</v>
      </c>
      <c r="C16" s="19" t="s">
        <v>844</v>
      </c>
      <c r="D16" s="45">
        <v>0.03</v>
      </c>
      <c r="E16" s="19" t="s">
        <v>7</v>
      </c>
      <c r="F16" s="19" t="s">
        <v>844</v>
      </c>
      <c r="G16" s="18" t="s">
        <v>853</v>
      </c>
    </row>
    <row r="17" spans="1:7" ht="28">
      <c r="A17" s="21">
        <v>2033</v>
      </c>
      <c r="B17" s="21" t="s">
        <v>106</v>
      </c>
      <c r="C17" s="19" t="s">
        <v>849</v>
      </c>
      <c r="D17" s="45"/>
      <c r="E17" s="19" t="s">
        <v>7</v>
      </c>
      <c r="F17" s="19" t="s">
        <v>854</v>
      </c>
      <c r="G17" s="18" t="s">
        <v>855</v>
      </c>
    </row>
    <row r="18" spans="1:7" ht="28">
      <c r="A18" s="21">
        <v>2034</v>
      </c>
      <c r="B18" s="21" t="s">
        <v>105</v>
      </c>
      <c r="C18" s="19" t="s">
        <v>844</v>
      </c>
      <c r="D18" s="45">
        <v>0.03</v>
      </c>
      <c r="E18" s="19" t="s">
        <v>7</v>
      </c>
      <c r="F18" s="19" t="s">
        <v>844</v>
      </c>
      <c r="G18" s="18" t="s">
        <v>853</v>
      </c>
    </row>
    <row r="19" spans="1:7" ht="28">
      <c r="A19" s="21">
        <v>2034</v>
      </c>
      <c r="B19" s="21" t="s">
        <v>105</v>
      </c>
      <c r="C19" s="19" t="s">
        <v>849</v>
      </c>
      <c r="D19" s="45"/>
      <c r="E19" s="19" t="s">
        <v>7</v>
      </c>
      <c r="F19" s="19" t="s">
        <v>854</v>
      </c>
      <c r="G19" s="18" t="s">
        <v>855</v>
      </c>
    </row>
    <row r="20" spans="1:7" ht="28">
      <c r="A20" s="21">
        <v>2034</v>
      </c>
      <c r="B20" s="21" t="s">
        <v>106</v>
      </c>
      <c r="C20" s="19" t="s">
        <v>844</v>
      </c>
      <c r="D20" s="45">
        <v>0.03</v>
      </c>
      <c r="E20" s="19" t="s">
        <v>7</v>
      </c>
      <c r="F20" s="19" t="s">
        <v>844</v>
      </c>
      <c r="G20" s="18" t="s">
        <v>853</v>
      </c>
    </row>
    <row r="21" spans="1:7" ht="28">
      <c r="A21" s="21">
        <v>2034</v>
      </c>
      <c r="B21" s="21" t="s">
        <v>106</v>
      </c>
      <c r="C21" s="19" t="s">
        <v>849</v>
      </c>
      <c r="D21" s="45"/>
      <c r="E21" s="19" t="s">
        <v>7</v>
      </c>
      <c r="F21" s="19" t="s">
        <v>854</v>
      </c>
      <c r="G21" s="18" t="s">
        <v>855</v>
      </c>
    </row>
    <row r="22" spans="1:7" ht="28">
      <c r="A22" s="21">
        <v>2035</v>
      </c>
      <c r="B22" s="21" t="s">
        <v>105</v>
      </c>
      <c r="C22" s="19" t="s">
        <v>844</v>
      </c>
      <c r="D22" s="45">
        <v>0.03</v>
      </c>
      <c r="E22" s="19" t="s">
        <v>7</v>
      </c>
      <c r="F22" s="19" t="s">
        <v>844</v>
      </c>
      <c r="G22" s="18" t="s">
        <v>853</v>
      </c>
    </row>
    <row r="23" spans="1:7" ht="28">
      <c r="A23" s="21">
        <v>2035</v>
      </c>
      <c r="B23" s="21" t="s">
        <v>105</v>
      </c>
      <c r="C23" s="19" t="s">
        <v>849</v>
      </c>
      <c r="D23" s="45"/>
      <c r="E23" s="19" t="s">
        <v>7</v>
      </c>
      <c r="F23" s="19" t="s">
        <v>854</v>
      </c>
      <c r="G23" s="18" t="s">
        <v>855</v>
      </c>
    </row>
    <row r="24" spans="1:7" ht="28">
      <c r="A24" s="21">
        <v>2035</v>
      </c>
      <c r="B24" s="21" t="s">
        <v>106</v>
      </c>
      <c r="C24" s="19" t="s">
        <v>844</v>
      </c>
      <c r="D24" s="45">
        <v>0.03</v>
      </c>
      <c r="E24" s="19" t="s">
        <v>7</v>
      </c>
      <c r="F24" s="19" t="s">
        <v>844</v>
      </c>
      <c r="G24" s="18" t="s">
        <v>853</v>
      </c>
    </row>
    <row r="25" spans="1:7" ht="28">
      <c r="A25" s="21">
        <v>2035</v>
      </c>
      <c r="B25" s="21" t="s">
        <v>106</v>
      </c>
      <c r="C25" s="19" t="s">
        <v>849</v>
      </c>
      <c r="D25" s="45"/>
      <c r="E25" s="19" t="s">
        <v>7</v>
      </c>
      <c r="F25" s="19" t="s">
        <v>854</v>
      </c>
      <c r="G25" s="18" t="s">
        <v>855</v>
      </c>
    </row>
    <row r="26" spans="1:7" ht="28">
      <c r="A26" s="21">
        <v>2036</v>
      </c>
      <c r="B26" s="21" t="s">
        <v>105</v>
      </c>
      <c r="C26" s="19" t="s">
        <v>844</v>
      </c>
      <c r="D26" s="45">
        <v>0.03</v>
      </c>
      <c r="E26" s="19" t="s">
        <v>7</v>
      </c>
      <c r="F26" s="19" t="s">
        <v>844</v>
      </c>
      <c r="G26" s="18" t="s">
        <v>853</v>
      </c>
    </row>
    <row r="27" spans="1:7" ht="28">
      <c r="A27" s="21">
        <v>2036</v>
      </c>
      <c r="B27" s="21" t="s">
        <v>105</v>
      </c>
      <c r="C27" s="19" t="s">
        <v>849</v>
      </c>
      <c r="D27" s="45"/>
      <c r="E27" s="19" t="s">
        <v>7</v>
      </c>
      <c r="F27" s="19" t="s">
        <v>854</v>
      </c>
      <c r="G27" s="18" t="s">
        <v>855</v>
      </c>
    </row>
    <row r="28" spans="1:7" ht="28">
      <c r="A28" s="21">
        <v>2036</v>
      </c>
      <c r="B28" s="21" t="s">
        <v>106</v>
      </c>
      <c r="C28" s="19" t="s">
        <v>844</v>
      </c>
      <c r="D28" s="45">
        <v>0.03</v>
      </c>
      <c r="E28" s="19" t="s">
        <v>7</v>
      </c>
      <c r="F28" s="19" t="s">
        <v>844</v>
      </c>
      <c r="G28" s="18" t="s">
        <v>853</v>
      </c>
    </row>
    <row r="29" spans="1:7" ht="28">
      <c r="A29" s="21">
        <v>2036</v>
      </c>
      <c r="B29" s="21" t="s">
        <v>106</v>
      </c>
      <c r="C29" s="19" t="s">
        <v>849</v>
      </c>
      <c r="D29" s="45"/>
      <c r="E29" s="19" t="s">
        <v>7</v>
      </c>
      <c r="F29" s="19" t="s">
        <v>854</v>
      </c>
      <c r="G29" s="18" t="s">
        <v>855</v>
      </c>
    </row>
    <row r="30" spans="1:7" ht="28">
      <c r="A30" s="21">
        <v>2037</v>
      </c>
      <c r="B30" s="21" t="s">
        <v>105</v>
      </c>
      <c r="C30" s="19" t="s">
        <v>844</v>
      </c>
      <c r="D30" s="45">
        <v>0.03</v>
      </c>
      <c r="E30" s="19" t="s">
        <v>7</v>
      </c>
      <c r="F30" s="19" t="s">
        <v>844</v>
      </c>
      <c r="G30" s="18" t="s">
        <v>853</v>
      </c>
    </row>
    <row r="31" spans="1:7" ht="28">
      <c r="A31" s="21">
        <v>2037</v>
      </c>
      <c r="B31" s="21" t="s">
        <v>105</v>
      </c>
      <c r="C31" s="19" t="s">
        <v>849</v>
      </c>
      <c r="D31" s="45"/>
      <c r="E31" s="19" t="s">
        <v>7</v>
      </c>
      <c r="F31" s="19" t="s">
        <v>854</v>
      </c>
      <c r="G31" s="18" t="s">
        <v>855</v>
      </c>
    </row>
    <row r="32" spans="1:7" ht="28">
      <c r="A32" s="21">
        <v>2037</v>
      </c>
      <c r="B32" s="21" t="s">
        <v>106</v>
      </c>
      <c r="C32" s="19" t="s">
        <v>844</v>
      </c>
      <c r="D32" s="45">
        <v>0.03</v>
      </c>
      <c r="E32" s="19" t="s">
        <v>7</v>
      </c>
      <c r="F32" s="19" t="s">
        <v>844</v>
      </c>
      <c r="G32" s="18" t="s">
        <v>853</v>
      </c>
    </row>
    <row r="33" spans="1:7" ht="28">
      <c r="A33" s="21">
        <v>2037</v>
      </c>
      <c r="B33" s="21" t="s">
        <v>106</v>
      </c>
      <c r="C33" s="19" t="s">
        <v>849</v>
      </c>
      <c r="D33" s="45"/>
      <c r="E33" s="19" t="s">
        <v>7</v>
      </c>
      <c r="F33" s="19" t="s">
        <v>854</v>
      </c>
      <c r="G33" s="18" t="s">
        <v>855</v>
      </c>
    </row>
    <row r="34" spans="1:7" ht="28">
      <c r="A34" s="21">
        <v>2038</v>
      </c>
      <c r="B34" s="21" t="s">
        <v>105</v>
      </c>
      <c r="C34" s="19" t="s">
        <v>844</v>
      </c>
      <c r="D34" s="45">
        <v>0.03</v>
      </c>
      <c r="E34" s="19" t="s">
        <v>7</v>
      </c>
      <c r="F34" s="19" t="s">
        <v>844</v>
      </c>
      <c r="G34" s="18" t="s">
        <v>853</v>
      </c>
    </row>
    <row r="35" spans="1:7" ht="28">
      <c r="A35" s="21">
        <v>2038</v>
      </c>
      <c r="B35" s="21" t="s">
        <v>105</v>
      </c>
      <c r="C35" s="19" t="s">
        <v>849</v>
      </c>
      <c r="D35" s="45"/>
      <c r="E35" s="19" t="s">
        <v>7</v>
      </c>
      <c r="F35" s="19" t="s">
        <v>854</v>
      </c>
      <c r="G35" s="18" t="s">
        <v>855</v>
      </c>
    </row>
    <row r="36" spans="1:7" ht="28">
      <c r="A36" s="21">
        <v>2038</v>
      </c>
      <c r="B36" s="21" t="s">
        <v>106</v>
      </c>
      <c r="C36" s="19" t="s">
        <v>844</v>
      </c>
      <c r="D36" s="45">
        <v>0.03</v>
      </c>
      <c r="E36" s="19" t="s">
        <v>7</v>
      </c>
      <c r="F36" s="19" t="s">
        <v>844</v>
      </c>
      <c r="G36" s="18" t="s">
        <v>853</v>
      </c>
    </row>
    <row r="37" spans="1:7" ht="28">
      <c r="A37" s="21">
        <v>2038</v>
      </c>
      <c r="B37" s="21" t="s">
        <v>106</v>
      </c>
      <c r="C37" s="19" t="s">
        <v>849</v>
      </c>
      <c r="D37" s="45"/>
      <c r="E37" s="19" t="s">
        <v>7</v>
      </c>
      <c r="F37" s="19" t="s">
        <v>854</v>
      </c>
      <c r="G37" s="18" t="s">
        <v>855</v>
      </c>
    </row>
    <row r="38" spans="1:7" ht="28">
      <c r="A38" s="21">
        <v>2039</v>
      </c>
      <c r="B38" s="21" t="s">
        <v>105</v>
      </c>
      <c r="C38" s="19" t="s">
        <v>844</v>
      </c>
      <c r="D38" s="45">
        <v>0.03</v>
      </c>
      <c r="E38" s="19" t="s">
        <v>7</v>
      </c>
      <c r="F38" s="19" t="s">
        <v>844</v>
      </c>
      <c r="G38" s="18" t="s">
        <v>853</v>
      </c>
    </row>
    <row r="39" spans="1:7" ht="28">
      <c r="A39" s="21">
        <v>2039</v>
      </c>
      <c r="B39" s="21" t="s">
        <v>105</v>
      </c>
      <c r="C39" s="19" t="s">
        <v>849</v>
      </c>
      <c r="D39" s="45"/>
      <c r="E39" s="19" t="s">
        <v>7</v>
      </c>
      <c r="F39" s="19" t="s">
        <v>854</v>
      </c>
      <c r="G39" s="18" t="s">
        <v>855</v>
      </c>
    </row>
    <row r="40" spans="1:7" ht="28">
      <c r="A40" s="21">
        <v>2039</v>
      </c>
      <c r="B40" s="21" t="s">
        <v>106</v>
      </c>
      <c r="C40" s="19" t="s">
        <v>844</v>
      </c>
      <c r="D40" s="45">
        <v>0.03</v>
      </c>
      <c r="E40" s="19" t="s">
        <v>7</v>
      </c>
      <c r="F40" s="19" t="s">
        <v>844</v>
      </c>
      <c r="G40" s="18" t="s">
        <v>853</v>
      </c>
    </row>
    <row r="41" spans="1:7" ht="28">
      <c r="A41" s="21">
        <v>2039</v>
      </c>
      <c r="B41" s="21" t="s">
        <v>106</v>
      </c>
      <c r="C41" s="19" t="s">
        <v>849</v>
      </c>
      <c r="D41" s="45"/>
      <c r="E41" s="19" t="s">
        <v>7</v>
      </c>
      <c r="F41" s="19" t="s">
        <v>854</v>
      </c>
      <c r="G41" s="18" t="s">
        <v>855</v>
      </c>
    </row>
    <row r="42" spans="1:7" ht="28">
      <c r="A42" s="21">
        <v>2040</v>
      </c>
      <c r="B42" s="21" t="s">
        <v>105</v>
      </c>
      <c r="C42" s="19" t="s">
        <v>844</v>
      </c>
      <c r="D42" s="45">
        <v>0.03</v>
      </c>
      <c r="E42" s="19" t="s">
        <v>7</v>
      </c>
      <c r="F42" s="19" t="s">
        <v>844</v>
      </c>
      <c r="G42" s="18" t="s">
        <v>853</v>
      </c>
    </row>
    <row r="43" spans="1:7" ht="28">
      <c r="A43" s="21">
        <v>2040</v>
      </c>
      <c r="B43" s="21" t="s">
        <v>105</v>
      </c>
      <c r="C43" s="19" t="s">
        <v>849</v>
      </c>
      <c r="D43" s="45"/>
      <c r="E43" s="19" t="s">
        <v>7</v>
      </c>
      <c r="F43" s="19" t="s">
        <v>854</v>
      </c>
      <c r="G43" s="18" t="s">
        <v>855</v>
      </c>
    </row>
    <row r="44" spans="1:7" ht="28">
      <c r="A44" s="21">
        <v>2040</v>
      </c>
      <c r="B44" s="21" t="s">
        <v>106</v>
      </c>
      <c r="C44" s="19" t="s">
        <v>844</v>
      </c>
      <c r="D44" s="45">
        <v>0.03</v>
      </c>
      <c r="E44" s="19" t="s">
        <v>7</v>
      </c>
      <c r="F44" s="19" t="s">
        <v>844</v>
      </c>
      <c r="G44" s="18" t="s">
        <v>853</v>
      </c>
    </row>
    <row r="45" spans="1:7" ht="28">
      <c r="A45" s="21">
        <v>2040</v>
      </c>
      <c r="B45" s="21" t="s">
        <v>106</v>
      </c>
      <c r="C45" s="19" t="s">
        <v>849</v>
      </c>
      <c r="D45" s="45"/>
      <c r="E45" s="19" t="s">
        <v>7</v>
      </c>
      <c r="F45" s="19" t="s">
        <v>854</v>
      </c>
      <c r="G45" s="18" t="s">
        <v>855</v>
      </c>
    </row>
    <row r="46" spans="1:7" ht="28">
      <c r="A46" s="21">
        <v>2041</v>
      </c>
      <c r="B46" s="21" t="s">
        <v>105</v>
      </c>
      <c r="C46" s="19" t="s">
        <v>844</v>
      </c>
      <c r="D46" s="45">
        <v>0.03</v>
      </c>
      <c r="E46" s="19" t="s">
        <v>7</v>
      </c>
      <c r="F46" s="19" t="s">
        <v>844</v>
      </c>
      <c r="G46" s="18" t="s">
        <v>853</v>
      </c>
    </row>
    <row r="47" spans="1:7" ht="28">
      <c r="A47" s="21">
        <v>2041</v>
      </c>
      <c r="B47" s="21" t="s">
        <v>105</v>
      </c>
      <c r="C47" s="19" t="s">
        <v>849</v>
      </c>
      <c r="D47" s="45"/>
      <c r="E47" s="19" t="s">
        <v>7</v>
      </c>
      <c r="F47" s="19" t="s">
        <v>854</v>
      </c>
      <c r="G47" s="18" t="s">
        <v>855</v>
      </c>
    </row>
    <row r="48" spans="1:7" ht="28">
      <c r="A48" s="21">
        <v>2041</v>
      </c>
      <c r="B48" s="21" t="s">
        <v>106</v>
      </c>
      <c r="C48" s="19" t="s">
        <v>844</v>
      </c>
      <c r="D48" s="45">
        <v>0.03</v>
      </c>
      <c r="E48" s="19" t="s">
        <v>7</v>
      </c>
      <c r="F48" s="19" t="s">
        <v>844</v>
      </c>
      <c r="G48" s="18" t="s">
        <v>853</v>
      </c>
    </row>
    <row r="49" spans="1:7" ht="28">
      <c r="A49" s="21">
        <v>2041</v>
      </c>
      <c r="B49" s="21" t="s">
        <v>106</v>
      </c>
      <c r="C49" s="19" t="s">
        <v>849</v>
      </c>
      <c r="D49" s="45"/>
      <c r="E49" s="19" t="s">
        <v>7</v>
      </c>
      <c r="F49" s="19" t="s">
        <v>854</v>
      </c>
      <c r="G49" s="18" t="s">
        <v>855</v>
      </c>
    </row>
    <row r="50" spans="1:7" ht="28">
      <c r="A50" s="21">
        <v>2042</v>
      </c>
      <c r="B50" s="21" t="s">
        <v>105</v>
      </c>
      <c r="C50" s="19" t="s">
        <v>844</v>
      </c>
      <c r="D50" s="45">
        <v>0.03</v>
      </c>
      <c r="E50" s="19" t="s">
        <v>7</v>
      </c>
      <c r="F50" s="19" t="s">
        <v>844</v>
      </c>
      <c r="G50" s="18" t="s">
        <v>853</v>
      </c>
    </row>
    <row r="51" spans="1:7" ht="28">
      <c r="A51" s="21">
        <v>2042</v>
      </c>
      <c r="B51" s="21" t="s">
        <v>105</v>
      </c>
      <c r="C51" s="19" t="s">
        <v>849</v>
      </c>
      <c r="D51" s="45"/>
      <c r="E51" s="19" t="s">
        <v>7</v>
      </c>
      <c r="F51" s="19" t="s">
        <v>854</v>
      </c>
      <c r="G51" s="18" t="s">
        <v>855</v>
      </c>
    </row>
    <row r="52" spans="1:7" ht="28">
      <c r="A52" s="21">
        <v>2042</v>
      </c>
      <c r="B52" s="21" t="s">
        <v>106</v>
      </c>
      <c r="C52" s="19" t="s">
        <v>844</v>
      </c>
      <c r="D52" s="45">
        <v>0.03</v>
      </c>
      <c r="E52" s="19" t="s">
        <v>7</v>
      </c>
      <c r="F52" s="19" t="s">
        <v>844</v>
      </c>
      <c r="G52" s="18" t="s">
        <v>853</v>
      </c>
    </row>
    <row r="53" spans="1:7" ht="28">
      <c r="A53" s="21">
        <v>2042</v>
      </c>
      <c r="B53" s="21" t="s">
        <v>106</v>
      </c>
      <c r="C53" s="19" t="s">
        <v>849</v>
      </c>
      <c r="D53" s="45"/>
      <c r="E53" s="19" t="s">
        <v>7</v>
      </c>
      <c r="F53" s="19" t="s">
        <v>854</v>
      </c>
      <c r="G53" s="18" t="s">
        <v>855</v>
      </c>
    </row>
    <row r="54" spans="1:7" ht="28">
      <c r="A54" s="21">
        <v>2043</v>
      </c>
      <c r="B54" s="21" t="s">
        <v>105</v>
      </c>
      <c r="C54" s="19" t="s">
        <v>844</v>
      </c>
      <c r="D54" s="45">
        <v>0.03</v>
      </c>
      <c r="E54" s="19" t="s">
        <v>7</v>
      </c>
      <c r="F54" s="19" t="s">
        <v>844</v>
      </c>
      <c r="G54" s="18" t="s">
        <v>853</v>
      </c>
    </row>
    <row r="55" spans="1:7" ht="28">
      <c r="A55" s="21">
        <v>2043</v>
      </c>
      <c r="B55" s="21" t="s">
        <v>105</v>
      </c>
      <c r="C55" s="19" t="s">
        <v>849</v>
      </c>
      <c r="D55" s="45"/>
      <c r="E55" s="19" t="s">
        <v>7</v>
      </c>
      <c r="F55" s="19" t="s">
        <v>854</v>
      </c>
      <c r="G55" s="18" t="s">
        <v>855</v>
      </c>
    </row>
    <row r="56" spans="1:7" ht="28">
      <c r="A56" s="21">
        <v>2043</v>
      </c>
      <c r="B56" s="21" t="s">
        <v>106</v>
      </c>
      <c r="C56" s="19" t="s">
        <v>844</v>
      </c>
      <c r="D56" s="45">
        <v>0.03</v>
      </c>
      <c r="E56" s="19" t="s">
        <v>7</v>
      </c>
      <c r="F56" s="19" t="s">
        <v>844</v>
      </c>
      <c r="G56" s="18" t="s">
        <v>853</v>
      </c>
    </row>
    <row r="57" spans="1:7" ht="28">
      <c r="A57" s="21">
        <v>2043</v>
      </c>
      <c r="B57" s="21" t="s">
        <v>106</v>
      </c>
      <c r="C57" s="19" t="s">
        <v>849</v>
      </c>
      <c r="D57" s="45"/>
      <c r="E57" s="19" t="s">
        <v>7</v>
      </c>
      <c r="F57" s="19" t="s">
        <v>854</v>
      </c>
      <c r="G57" s="18" t="s">
        <v>855</v>
      </c>
    </row>
    <row r="58" spans="1:7" ht="28">
      <c r="A58" s="21">
        <v>2044</v>
      </c>
      <c r="B58" s="21" t="s">
        <v>105</v>
      </c>
      <c r="C58" s="19" t="s">
        <v>844</v>
      </c>
      <c r="D58" s="45">
        <v>0.03</v>
      </c>
      <c r="E58" s="19" t="s">
        <v>7</v>
      </c>
      <c r="F58" s="19" t="s">
        <v>844</v>
      </c>
      <c r="G58" s="18" t="s">
        <v>853</v>
      </c>
    </row>
    <row r="59" spans="1:7" ht="28">
      <c r="A59" s="21">
        <v>2044</v>
      </c>
      <c r="B59" s="21" t="s">
        <v>105</v>
      </c>
      <c r="C59" s="19" t="s">
        <v>849</v>
      </c>
      <c r="D59" s="45"/>
      <c r="E59" s="19" t="s">
        <v>7</v>
      </c>
      <c r="F59" s="19" t="s">
        <v>854</v>
      </c>
      <c r="G59" s="18" t="s">
        <v>855</v>
      </c>
    </row>
    <row r="60" spans="1:7" ht="28">
      <c r="A60" s="21">
        <v>2044</v>
      </c>
      <c r="B60" s="21" t="s">
        <v>106</v>
      </c>
      <c r="C60" s="19" t="s">
        <v>844</v>
      </c>
      <c r="D60" s="45">
        <v>0.03</v>
      </c>
      <c r="E60" s="19" t="s">
        <v>7</v>
      </c>
      <c r="F60" s="19" t="s">
        <v>844</v>
      </c>
      <c r="G60" s="18" t="s">
        <v>853</v>
      </c>
    </row>
    <row r="61" spans="1:7" ht="28">
      <c r="A61" s="21">
        <v>2044</v>
      </c>
      <c r="B61" s="21" t="s">
        <v>106</v>
      </c>
      <c r="C61" s="19" t="s">
        <v>849</v>
      </c>
      <c r="D61" s="45"/>
      <c r="E61" s="19" t="s">
        <v>7</v>
      </c>
      <c r="F61" s="19" t="s">
        <v>854</v>
      </c>
      <c r="G61" s="18" t="s">
        <v>855</v>
      </c>
    </row>
    <row r="62" spans="1:7" ht="28">
      <c r="A62" s="21">
        <v>2045</v>
      </c>
      <c r="B62" s="21" t="s">
        <v>105</v>
      </c>
      <c r="C62" s="19" t="s">
        <v>844</v>
      </c>
      <c r="D62" s="45">
        <v>0.03</v>
      </c>
      <c r="E62" s="19" t="s">
        <v>7</v>
      </c>
      <c r="F62" s="19" t="s">
        <v>844</v>
      </c>
      <c r="G62" s="18" t="s">
        <v>853</v>
      </c>
    </row>
    <row r="63" spans="1:7" ht="28">
      <c r="A63" s="21">
        <v>2045</v>
      </c>
      <c r="B63" s="21" t="s">
        <v>105</v>
      </c>
      <c r="C63" s="19" t="s">
        <v>849</v>
      </c>
      <c r="D63" s="45"/>
      <c r="E63" s="19" t="s">
        <v>7</v>
      </c>
      <c r="F63" s="19" t="s">
        <v>854</v>
      </c>
      <c r="G63" s="18" t="s">
        <v>855</v>
      </c>
    </row>
    <row r="64" spans="1:7" ht="28">
      <c r="A64" s="21">
        <v>2045</v>
      </c>
      <c r="B64" s="21" t="s">
        <v>106</v>
      </c>
      <c r="C64" s="19" t="s">
        <v>844</v>
      </c>
      <c r="D64" s="45">
        <v>0.03</v>
      </c>
      <c r="E64" s="19" t="s">
        <v>7</v>
      </c>
      <c r="F64" s="19" t="s">
        <v>844</v>
      </c>
      <c r="G64" s="18" t="s">
        <v>853</v>
      </c>
    </row>
    <row r="65" spans="1:7" ht="28">
      <c r="A65" s="21">
        <v>2045</v>
      </c>
      <c r="B65" s="21" t="s">
        <v>106</v>
      </c>
      <c r="C65" s="19" t="s">
        <v>849</v>
      </c>
      <c r="D65" s="45"/>
      <c r="E65" s="19" t="s">
        <v>7</v>
      </c>
      <c r="F65" s="19" t="s">
        <v>854</v>
      </c>
      <c r="G65" s="18" t="s">
        <v>855</v>
      </c>
    </row>
  </sheetData>
  <dataValidations count="3">
    <dataValidation type="list" sqref="B2:B201" xr:uid="{00000000-0002-0000-1200-000000000000}">
      <formula1>"Posgrado,Ejecutivo"</formula1>
    </dataValidation>
    <dataValidation type="list" sqref="C2:C201" xr:uid="{00000000-0002-0000-1200-000001000000}">
      <formula1>"Síncrono,Asíncrono"</formula1>
    </dataValidation>
    <dataValidation type="list" sqref="E2:E201" xr:uid="{00000000-0002-0000-1200-000002000000}">
      <formula1>"Sí,No"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21"/>
  <sheetViews>
    <sheetView workbookViewId="0"/>
  </sheetViews>
  <sheetFormatPr baseColWidth="10" defaultColWidth="8.6640625" defaultRowHeight="14"/>
  <cols>
    <col min="1" max="3" width="16" customWidth="1"/>
    <col min="4" max="4" width="9.5" customWidth="1"/>
    <col min="5" max="5" width="70" customWidth="1"/>
  </cols>
  <sheetData>
    <row r="1" spans="1:5" ht="28">
      <c r="A1" s="47" t="s">
        <v>37</v>
      </c>
      <c r="B1" s="47" t="s">
        <v>38</v>
      </c>
      <c r="C1" s="47" t="s">
        <v>39</v>
      </c>
      <c r="D1" s="51" t="s">
        <v>856</v>
      </c>
      <c r="E1" s="47" t="s">
        <v>738</v>
      </c>
    </row>
    <row r="2" spans="1:5" ht="28">
      <c r="A2" s="21" t="s">
        <v>105</v>
      </c>
      <c r="B2" s="19" t="s">
        <v>844</v>
      </c>
      <c r="C2" s="21" t="s">
        <v>843</v>
      </c>
      <c r="D2" s="19">
        <v>18.5</v>
      </c>
      <c r="E2" s="19" t="s">
        <v>857</v>
      </c>
    </row>
    <row r="3" spans="1:5" ht="28">
      <c r="A3" s="21" t="s">
        <v>105</v>
      </c>
      <c r="B3" s="19" t="s">
        <v>844</v>
      </c>
      <c r="C3" s="21" t="s">
        <v>845</v>
      </c>
      <c r="D3" s="19">
        <v>18.5</v>
      </c>
      <c r="E3" s="19" t="s">
        <v>857</v>
      </c>
    </row>
    <row r="4" spans="1:5" ht="28">
      <c r="A4" s="21" t="s">
        <v>105</v>
      </c>
      <c r="B4" s="19" t="s">
        <v>844</v>
      </c>
      <c r="C4" s="21" t="s">
        <v>846</v>
      </c>
      <c r="D4" s="19">
        <v>22</v>
      </c>
      <c r="E4" s="19" t="s">
        <v>857</v>
      </c>
    </row>
    <row r="5" spans="1:5" ht="28">
      <c r="A5" s="21" t="s">
        <v>105</v>
      </c>
      <c r="B5" s="19" t="s">
        <v>844</v>
      </c>
      <c r="C5" s="21" t="s">
        <v>847</v>
      </c>
      <c r="D5" s="19">
        <v>16</v>
      </c>
      <c r="E5" s="19" t="s">
        <v>857</v>
      </c>
    </row>
    <row r="6" spans="1:5" ht="28">
      <c r="A6" s="21" t="s">
        <v>105</v>
      </c>
      <c r="B6" s="19" t="s">
        <v>844</v>
      </c>
      <c r="C6" s="21" t="s">
        <v>848</v>
      </c>
      <c r="D6" s="19">
        <v>25</v>
      </c>
      <c r="E6" s="19" t="s">
        <v>857</v>
      </c>
    </row>
    <row r="7" spans="1:5" ht="28">
      <c r="A7" s="21" t="s">
        <v>105</v>
      </c>
      <c r="B7" s="19" t="s">
        <v>849</v>
      </c>
      <c r="C7" s="21" t="s">
        <v>843</v>
      </c>
      <c r="D7" s="19">
        <v>18.5</v>
      </c>
      <c r="E7" s="19" t="s">
        <v>857</v>
      </c>
    </row>
    <row r="8" spans="1:5" ht="28">
      <c r="A8" s="21" t="s">
        <v>105</v>
      </c>
      <c r="B8" s="19" t="s">
        <v>849</v>
      </c>
      <c r="C8" s="21" t="s">
        <v>845</v>
      </c>
      <c r="D8" s="19">
        <v>18.5</v>
      </c>
      <c r="E8" s="19" t="s">
        <v>857</v>
      </c>
    </row>
    <row r="9" spans="1:5" ht="28">
      <c r="A9" s="21" t="s">
        <v>105</v>
      </c>
      <c r="B9" s="19" t="s">
        <v>849</v>
      </c>
      <c r="C9" s="21" t="s">
        <v>846</v>
      </c>
      <c r="D9" s="19">
        <v>22</v>
      </c>
      <c r="E9" s="19" t="s">
        <v>857</v>
      </c>
    </row>
    <row r="10" spans="1:5" ht="28">
      <c r="A10" s="21" t="s">
        <v>105</v>
      </c>
      <c r="B10" s="19" t="s">
        <v>849</v>
      </c>
      <c r="C10" s="21" t="s">
        <v>847</v>
      </c>
      <c r="D10" s="19">
        <v>16</v>
      </c>
      <c r="E10" s="19" t="s">
        <v>857</v>
      </c>
    </row>
    <row r="11" spans="1:5" ht="28">
      <c r="A11" s="21" t="s">
        <v>105</v>
      </c>
      <c r="B11" s="19" t="s">
        <v>849</v>
      </c>
      <c r="C11" s="21" t="s">
        <v>848</v>
      </c>
      <c r="D11" s="19">
        <v>25</v>
      </c>
      <c r="E11" s="19" t="s">
        <v>857</v>
      </c>
    </row>
    <row r="12" spans="1:5" ht="28">
      <c r="A12" s="21" t="s">
        <v>106</v>
      </c>
      <c r="B12" s="19" t="s">
        <v>844</v>
      </c>
      <c r="C12" s="21" t="s">
        <v>843</v>
      </c>
      <c r="D12" s="19">
        <v>20.5</v>
      </c>
      <c r="E12" s="19" t="s">
        <v>857</v>
      </c>
    </row>
    <row r="13" spans="1:5" ht="28">
      <c r="A13" s="21" t="s">
        <v>106</v>
      </c>
      <c r="B13" s="19" t="s">
        <v>844</v>
      </c>
      <c r="C13" s="21" t="s">
        <v>845</v>
      </c>
      <c r="D13" s="19">
        <v>19</v>
      </c>
      <c r="E13" s="19" t="s">
        <v>857</v>
      </c>
    </row>
    <row r="14" spans="1:5" ht="28">
      <c r="A14" s="21" t="s">
        <v>106</v>
      </c>
      <c r="B14" s="19" t="s">
        <v>844</v>
      </c>
      <c r="C14" s="21" t="s">
        <v>846</v>
      </c>
      <c r="D14" s="19">
        <v>22</v>
      </c>
      <c r="E14" s="19" t="s">
        <v>857</v>
      </c>
    </row>
    <row r="15" spans="1:5" ht="28">
      <c r="A15" s="21" t="s">
        <v>106</v>
      </c>
      <c r="B15" s="19" t="s">
        <v>844</v>
      </c>
      <c r="C15" s="21" t="s">
        <v>847</v>
      </c>
      <c r="D15" s="19">
        <v>17</v>
      </c>
      <c r="E15" s="19" t="s">
        <v>857</v>
      </c>
    </row>
    <row r="16" spans="1:5" ht="28">
      <c r="A16" s="21" t="s">
        <v>106</v>
      </c>
      <c r="B16" s="19" t="s">
        <v>844</v>
      </c>
      <c r="C16" s="21" t="s">
        <v>848</v>
      </c>
      <c r="D16" s="19">
        <v>21.5</v>
      </c>
      <c r="E16" s="19" t="s">
        <v>857</v>
      </c>
    </row>
    <row r="17" spans="1:5" ht="28">
      <c r="A17" s="21" t="s">
        <v>106</v>
      </c>
      <c r="B17" s="19" t="s">
        <v>849</v>
      </c>
      <c r="C17" s="21" t="s">
        <v>843</v>
      </c>
      <c r="D17" s="19">
        <v>20.5</v>
      </c>
      <c r="E17" s="19" t="s">
        <v>857</v>
      </c>
    </row>
    <row r="18" spans="1:5" ht="28">
      <c r="A18" s="21" t="s">
        <v>106</v>
      </c>
      <c r="B18" s="19" t="s">
        <v>849</v>
      </c>
      <c r="C18" s="21" t="s">
        <v>845</v>
      </c>
      <c r="D18" s="19">
        <v>19</v>
      </c>
      <c r="E18" s="19" t="s">
        <v>857</v>
      </c>
    </row>
    <row r="19" spans="1:5" ht="28">
      <c r="A19" s="21" t="s">
        <v>106</v>
      </c>
      <c r="B19" s="19" t="s">
        <v>849</v>
      </c>
      <c r="C19" s="21" t="s">
        <v>846</v>
      </c>
      <c r="D19" s="19">
        <v>22</v>
      </c>
      <c r="E19" s="19" t="s">
        <v>857</v>
      </c>
    </row>
    <row r="20" spans="1:5" ht="28">
      <c r="A20" s="21" t="s">
        <v>106</v>
      </c>
      <c r="B20" s="19" t="s">
        <v>849</v>
      </c>
      <c r="C20" s="21" t="s">
        <v>847</v>
      </c>
      <c r="D20" s="19">
        <v>17</v>
      </c>
      <c r="E20" s="19" t="s">
        <v>857</v>
      </c>
    </row>
    <row r="21" spans="1:5" ht="28">
      <c r="A21" s="21" t="s">
        <v>106</v>
      </c>
      <c r="B21" s="19" t="s">
        <v>849</v>
      </c>
      <c r="C21" s="21" t="s">
        <v>848</v>
      </c>
      <c r="D21" s="19">
        <v>21.5</v>
      </c>
      <c r="E21" s="19" t="s">
        <v>857</v>
      </c>
    </row>
  </sheetData>
  <dataValidations count="3">
    <dataValidation type="list" sqref="A2:A201" xr:uid="{00000000-0002-0000-1300-000000000000}">
      <formula1>"Posgrado,Ejecutivo"</formula1>
    </dataValidation>
    <dataValidation type="list" sqref="B2:B201" xr:uid="{00000000-0002-0000-1300-000001000000}">
      <formula1>"Síncrono,Asíncrono"</formula1>
    </dataValidation>
    <dataValidation type="list" sqref="C2:C201" xr:uid="{00000000-0002-0000-1300-000002000000}">
      <formula1>"Agosto,Octubre,Enero,Marzo,Junio"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67"/>
  <sheetViews>
    <sheetView workbookViewId="0"/>
  </sheetViews>
  <sheetFormatPr baseColWidth="10" defaultColWidth="8.6640625" defaultRowHeight="14"/>
  <cols>
    <col min="1" max="4" width="18" customWidth="1"/>
    <col min="5" max="5" width="5.9140625" customWidth="1"/>
    <col min="6" max="6" width="70" customWidth="1"/>
  </cols>
  <sheetData>
    <row r="1" spans="1:6">
      <c r="A1" s="47" t="s">
        <v>37</v>
      </c>
      <c r="B1" s="47" t="s">
        <v>38</v>
      </c>
      <c r="C1" s="47" t="s">
        <v>858</v>
      </c>
      <c r="D1" s="47" t="s">
        <v>859</v>
      </c>
      <c r="E1" s="51" t="s">
        <v>118</v>
      </c>
      <c r="F1" s="47" t="s">
        <v>738</v>
      </c>
    </row>
    <row r="2" spans="1:6" ht="28">
      <c r="A2" s="21" t="s">
        <v>105</v>
      </c>
      <c r="B2" s="19" t="s">
        <v>844</v>
      </c>
      <c r="C2" s="21" t="s">
        <v>860</v>
      </c>
      <c r="D2" s="19" t="s">
        <v>861</v>
      </c>
      <c r="E2" s="45">
        <v>0.9</v>
      </c>
      <c r="F2" s="19" t="s">
        <v>862</v>
      </c>
    </row>
    <row r="3" spans="1:6" ht="28">
      <c r="A3" s="21" t="s">
        <v>105</v>
      </c>
      <c r="B3" s="19" t="s">
        <v>844</v>
      </c>
      <c r="C3" s="21" t="s">
        <v>861</v>
      </c>
      <c r="D3" s="19" t="s">
        <v>863</v>
      </c>
      <c r="E3" s="45">
        <v>0.95</v>
      </c>
      <c r="F3" s="19" t="s">
        <v>862</v>
      </c>
    </row>
    <row r="4" spans="1:6" ht="28">
      <c r="A4" s="21" t="s">
        <v>105</v>
      </c>
      <c r="B4" s="19" t="s">
        <v>844</v>
      </c>
      <c r="C4" s="21" t="s">
        <v>863</v>
      </c>
      <c r="D4" s="19" t="s">
        <v>864</v>
      </c>
      <c r="E4" s="45">
        <v>0.95</v>
      </c>
      <c r="F4" s="19" t="s">
        <v>862</v>
      </c>
    </row>
    <row r="5" spans="1:6" ht="28">
      <c r="A5" s="21" t="s">
        <v>105</v>
      </c>
      <c r="B5" s="19" t="s">
        <v>844</v>
      </c>
      <c r="C5" s="21" t="s">
        <v>864</v>
      </c>
      <c r="D5" s="19" t="s">
        <v>865</v>
      </c>
      <c r="E5" s="45">
        <v>0.92</v>
      </c>
      <c r="F5" s="19" t="s">
        <v>862</v>
      </c>
    </row>
    <row r="6" spans="1:6" ht="28">
      <c r="A6" s="21" t="s">
        <v>105</v>
      </c>
      <c r="B6" s="19" t="s">
        <v>844</v>
      </c>
      <c r="C6" s="21" t="s">
        <v>865</v>
      </c>
      <c r="D6" s="19" t="s">
        <v>866</v>
      </c>
      <c r="E6" s="45">
        <v>0.95</v>
      </c>
      <c r="F6" s="19" t="s">
        <v>862</v>
      </c>
    </row>
    <row r="7" spans="1:6" ht="28">
      <c r="A7" s="21" t="s">
        <v>105</v>
      </c>
      <c r="B7" s="19" t="s">
        <v>844</v>
      </c>
      <c r="C7" s="21" t="s">
        <v>866</v>
      </c>
      <c r="D7" s="19" t="s">
        <v>867</v>
      </c>
      <c r="E7" s="45">
        <v>0.88</v>
      </c>
      <c r="F7" s="19" t="s">
        <v>862</v>
      </c>
    </row>
    <row r="8" spans="1:6" ht="28">
      <c r="A8" s="21" t="s">
        <v>105</v>
      </c>
      <c r="B8" s="19" t="s">
        <v>844</v>
      </c>
      <c r="C8" s="21" t="s">
        <v>867</v>
      </c>
      <c r="D8" s="19" t="s">
        <v>868</v>
      </c>
      <c r="E8" s="45">
        <v>0.88</v>
      </c>
      <c r="F8" s="19" t="s">
        <v>862</v>
      </c>
    </row>
    <row r="9" spans="1:6" ht="28">
      <c r="A9" s="21" t="s">
        <v>105</v>
      </c>
      <c r="B9" s="19" t="s">
        <v>844</v>
      </c>
      <c r="C9" s="21" t="s">
        <v>868</v>
      </c>
      <c r="D9" s="19" t="s">
        <v>869</v>
      </c>
      <c r="E9" s="45">
        <v>0.88</v>
      </c>
      <c r="F9" s="19" t="s">
        <v>862</v>
      </c>
    </row>
    <row r="10" spans="1:6" ht="28">
      <c r="A10" s="21" t="s">
        <v>105</v>
      </c>
      <c r="B10" s="19" t="s">
        <v>844</v>
      </c>
      <c r="C10" s="21" t="s">
        <v>869</v>
      </c>
      <c r="D10" s="19" t="s">
        <v>870</v>
      </c>
      <c r="E10" s="45">
        <v>0.88</v>
      </c>
      <c r="F10" s="19" t="s">
        <v>862</v>
      </c>
    </row>
    <row r="11" spans="1:6" ht="28">
      <c r="A11" s="21" t="s">
        <v>105</v>
      </c>
      <c r="B11" s="19" t="s">
        <v>844</v>
      </c>
      <c r="C11" s="21" t="s">
        <v>870</v>
      </c>
      <c r="D11" s="19" t="s">
        <v>871</v>
      </c>
      <c r="E11" s="45">
        <v>0.2</v>
      </c>
      <c r="F11" s="19" t="s">
        <v>862</v>
      </c>
    </row>
    <row r="12" spans="1:6" ht="28">
      <c r="A12" s="21" t="s">
        <v>105</v>
      </c>
      <c r="B12" s="19" t="s">
        <v>844</v>
      </c>
      <c r="C12" s="21" t="s">
        <v>871</v>
      </c>
      <c r="D12" s="19" t="s">
        <v>872</v>
      </c>
      <c r="E12" s="45">
        <v>0.1</v>
      </c>
      <c r="F12" s="19" t="s">
        <v>862</v>
      </c>
    </row>
    <row r="13" spans="1:6" ht="28">
      <c r="A13" s="21" t="s">
        <v>105</v>
      </c>
      <c r="B13" s="19" t="s">
        <v>844</v>
      </c>
      <c r="C13" s="21" t="s">
        <v>872</v>
      </c>
      <c r="D13" s="19" t="s">
        <v>873</v>
      </c>
      <c r="E13" s="45">
        <v>0.4</v>
      </c>
      <c r="F13" s="19" t="s">
        <v>862</v>
      </c>
    </row>
    <row r="14" spans="1:6" ht="28">
      <c r="A14" s="21" t="s">
        <v>105</v>
      </c>
      <c r="B14" s="19" t="s">
        <v>844</v>
      </c>
      <c r="C14" s="21" t="s">
        <v>873</v>
      </c>
      <c r="D14" s="19" t="s">
        <v>874</v>
      </c>
      <c r="E14" s="45">
        <v>0.3</v>
      </c>
      <c r="F14" s="19" t="s">
        <v>862</v>
      </c>
    </row>
    <row r="15" spans="1:6" ht="28">
      <c r="A15" s="21" t="s">
        <v>105</v>
      </c>
      <c r="B15" s="19" t="s">
        <v>844</v>
      </c>
      <c r="C15" s="21" t="s">
        <v>874</v>
      </c>
      <c r="D15" s="19" t="s">
        <v>875</v>
      </c>
      <c r="E15" s="45">
        <v>0.01</v>
      </c>
      <c r="F15" s="19" t="s">
        <v>862</v>
      </c>
    </row>
    <row r="16" spans="1:6" ht="28">
      <c r="A16" s="21" t="s">
        <v>105</v>
      </c>
      <c r="B16" s="19" t="s">
        <v>849</v>
      </c>
      <c r="C16" s="21" t="s">
        <v>860</v>
      </c>
      <c r="D16" s="19" t="s">
        <v>861</v>
      </c>
      <c r="E16" s="45">
        <v>0.9</v>
      </c>
      <c r="F16" s="19" t="s">
        <v>862</v>
      </c>
    </row>
    <row r="17" spans="1:6" ht="28">
      <c r="A17" s="21" t="s">
        <v>105</v>
      </c>
      <c r="B17" s="19" t="s">
        <v>849</v>
      </c>
      <c r="C17" s="21" t="s">
        <v>861</v>
      </c>
      <c r="D17" s="19" t="s">
        <v>863</v>
      </c>
      <c r="E17" s="45">
        <v>0.95</v>
      </c>
      <c r="F17" s="19" t="s">
        <v>862</v>
      </c>
    </row>
    <row r="18" spans="1:6" ht="28">
      <c r="A18" s="21" t="s">
        <v>105</v>
      </c>
      <c r="B18" s="19" t="s">
        <v>849</v>
      </c>
      <c r="C18" s="21" t="s">
        <v>863</v>
      </c>
      <c r="D18" s="19" t="s">
        <v>864</v>
      </c>
      <c r="E18" s="45">
        <v>0.95</v>
      </c>
      <c r="F18" s="19" t="s">
        <v>862</v>
      </c>
    </row>
    <row r="19" spans="1:6" ht="28">
      <c r="A19" s="21" t="s">
        <v>105</v>
      </c>
      <c r="B19" s="19" t="s">
        <v>849</v>
      </c>
      <c r="C19" s="21" t="s">
        <v>864</v>
      </c>
      <c r="D19" s="19" t="s">
        <v>865</v>
      </c>
      <c r="E19" s="45">
        <v>0.92</v>
      </c>
      <c r="F19" s="19" t="s">
        <v>862</v>
      </c>
    </row>
    <row r="20" spans="1:6" ht="28">
      <c r="A20" s="21" t="s">
        <v>105</v>
      </c>
      <c r="B20" s="19" t="s">
        <v>849</v>
      </c>
      <c r="C20" s="21" t="s">
        <v>865</v>
      </c>
      <c r="D20" s="19" t="s">
        <v>866</v>
      </c>
      <c r="E20" s="45">
        <v>0.95</v>
      </c>
      <c r="F20" s="19" t="s">
        <v>862</v>
      </c>
    </row>
    <row r="21" spans="1:6" ht="28">
      <c r="A21" s="21" t="s">
        <v>105</v>
      </c>
      <c r="B21" s="19" t="s">
        <v>849</v>
      </c>
      <c r="C21" s="21" t="s">
        <v>866</v>
      </c>
      <c r="D21" s="19" t="s">
        <v>867</v>
      </c>
      <c r="E21" s="45">
        <v>0.88</v>
      </c>
      <c r="F21" s="19" t="s">
        <v>862</v>
      </c>
    </row>
    <row r="22" spans="1:6" ht="28">
      <c r="A22" s="21" t="s">
        <v>105</v>
      </c>
      <c r="B22" s="19" t="s">
        <v>849</v>
      </c>
      <c r="C22" s="21" t="s">
        <v>867</v>
      </c>
      <c r="D22" s="19" t="s">
        <v>868</v>
      </c>
      <c r="E22" s="45">
        <v>0.88</v>
      </c>
      <c r="F22" s="19" t="s">
        <v>862</v>
      </c>
    </row>
    <row r="23" spans="1:6" ht="28">
      <c r="A23" s="21" t="s">
        <v>105</v>
      </c>
      <c r="B23" s="19" t="s">
        <v>849</v>
      </c>
      <c r="C23" s="21" t="s">
        <v>868</v>
      </c>
      <c r="D23" s="19" t="s">
        <v>869</v>
      </c>
      <c r="E23" s="45">
        <v>0.88</v>
      </c>
      <c r="F23" s="19" t="s">
        <v>862</v>
      </c>
    </row>
    <row r="24" spans="1:6" ht="28">
      <c r="A24" s="21" t="s">
        <v>105</v>
      </c>
      <c r="B24" s="19" t="s">
        <v>849</v>
      </c>
      <c r="C24" s="21" t="s">
        <v>869</v>
      </c>
      <c r="D24" s="19" t="s">
        <v>870</v>
      </c>
      <c r="E24" s="45">
        <v>0.88</v>
      </c>
      <c r="F24" s="19" t="s">
        <v>862</v>
      </c>
    </row>
    <row r="25" spans="1:6" ht="28">
      <c r="A25" s="21" t="s">
        <v>105</v>
      </c>
      <c r="B25" s="19" t="s">
        <v>849</v>
      </c>
      <c r="C25" s="21" t="s">
        <v>870</v>
      </c>
      <c r="D25" s="19" t="s">
        <v>871</v>
      </c>
      <c r="E25" s="45">
        <v>0.2</v>
      </c>
      <c r="F25" s="19" t="s">
        <v>862</v>
      </c>
    </row>
    <row r="26" spans="1:6" ht="28">
      <c r="A26" s="21" t="s">
        <v>105</v>
      </c>
      <c r="B26" s="19" t="s">
        <v>849</v>
      </c>
      <c r="C26" s="21" t="s">
        <v>871</v>
      </c>
      <c r="D26" s="19" t="s">
        <v>872</v>
      </c>
      <c r="E26" s="45">
        <v>0.1</v>
      </c>
      <c r="F26" s="19" t="s">
        <v>862</v>
      </c>
    </row>
    <row r="27" spans="1:6" ht="28">
      <c r="A27" s="21" t="s">
        <v>105</v>
      </c>
      <c r="B27" s="19" t="s">
        <v>849</v>
      </c>
      <c r="C27" s="21" t="s">
        <v>872</v>
      </c>
      <c r="D27" s="19" t="s">
        <v>873</v>
      </c>
      <c r="E27" s="45">
        <v>0.4</v>
      </c>
      <c r="F27" s="19" t="s">
        <v>862</v>
      </c>
    </row>
    <row r="28" spans="1:6" ht="28">
      <c r="A28" s="21" t="s">
        <v>105</v>
      </c>
      <c r="B28" s="19" t="s">
        <v>849</v>
      </c>
      <c r="C28" s="21" t="s">
        <v>873</v>
      </c>
      <c r="D28" s="19" t="s">
        <v>874</v>
      </c>
      <c r="E28" s="45">
        <v>0.3</v>
      </c>
      <c r="F28" s="19" t="s">
        <v>862</v>
      </c>
    </row>
    <row r="29" spans="1:6" ht="28">
      <c r="A29" s="21" t="s">
        <v>105</v>
      </c>
      <c r="B29" s="19" t="s">
        <v>849</v>
      </c>
      <c r="C29" s="21" t="s">
        <v>874</v>
      </c>
      <c r="D29" s="19" t="s">
        <v>875</v>
      </c>
      <c r="E29" s="45">
        <v>0.01</v>
      </c>
      <c r="F29" s="19" t="s">
        <v>862</v>
      </c>
    </row>
    <row r="30" spans="1:6" ht="28">
      <c r="A30" s="21" t="s">
        <v>106</v>
      </c>
      <c r="B30" s="19" t="s">
        <v>844</v>
      </c>
      <c r="C30" s="21" t="s">
        <v>860</v>
      </c>
      <c r="D30" s="19" t="s">
        <v>861</v>
      </c>
      <c r="E30" s="45">
        <v>0.87</v>
      </c>
      <c r="F30" s="19" t="s">
        <v>876</v>
      </c>
    </row>
    <row r="31" spans="1:6" ht="28">
      <c r="A31" s="21" t="s">
        <v>106</v>
      </c>
      <c r="B31" s="19" t="s">
        <v>844</v>
      </c>
      <c r="C31" s="21" t="s">
        <v>861</v>
      </c>
      <c r="D31" s="19" t="s">
        <v>863</v>
      </c>
      <c r="E31" s="45">
        <v>0.9</v>
      </c>
      <c r="F31" s="19" t="s">
        <v>876</v>
      </c>
    </row>
    <row r="32" spans="1:6" ht="28">
      <c r="A32" s="21" t="s">
        <v>106</v>
      </c>
      <c r="B32" s="19" t="s">
        <v>844</v>
      </c>
      <c r="C32" s="21" t="s">
        <v>863</v>
      </c>
      <c r="D32" s="19" t="s">
        <v>864</v>
      </c>
      <c r="E32" s="45">
        <v>0.9</v>
      </c>
      <c r="F32" s="19" t="s">
        <v>876</v>
      </c>
    </row>
    <row r="33" spans="1:6" ht="28">
      <c r="A33" s="21" t="s">
        <v>106</v>
      </c>
      <c r="B33" s="19" t="s">
        <v>844</v>
      </c>
      <c r="C33" s="21" t="s">
        <v>864</v>
      </c>
      <c r="D33" s="19" t="s">
        <v>865</v>
      </c>
      <c r="E33" s="45">
        <v>0.9</v>
      </c>
      <c r="F33" s="19" t="s">
        <v>876</v>
      </c>
    </row>
    <row r="34" spans="1:6" ht="28">
      <c r="A34" s="21" t="s">
        <v>106</v>
      </c>
      <c r="B34" s="19" t="s">
        <v>844</v>
      </c>
      <c r="C34" s="21" t="s">
        <v>865</v>
      </c>
      <c r="D34" s="19" t="s">
        <v>866</v>
      </c>
      <c r="E34" s="45">
        <v>0.9</v>
      </c>
      <c r="F34" s="19" t="s">
        <v>876</v>
      </c>
    </row>
    <row r="35" spans="1:6" ht="28">
      <c r="A35" s="21" t="s">
        <v>106</v>
      </c>
      <c r="B35" s="19" t="s">
        <v>844</v>
      </c>
      <c r="C35" s="21" t="s">
        <v>866</v>
      </c>
      <c r="D35" s="19" t="s">
        <v>867</v>
      </c>
      <c r="E35" s="45">
        <v>0.9</v>
      </c>
      <c r="F35" s="19" t="s">
        <v>876</v>
      </c>
    </row>
    <row r="36" spans="1:6" ht="28">
      <c r="A36" s="21" t="s">
        <v>106</v>
      </c>
      <c r="B36" s="19" t="s">
        <v>844</v>
      </c>
      <c r="C36" s="21" t="s">
        <v>867</v>
      </c>
      <c r="D36" s="19" t="s">
        <v>868</v>
      </c>
      <c r="E36" s="45">
        <v>0.9</v>
      </c>
      <c r="F36" s="19" t="s">
        <v>876</v>
      </c>
    </row>
    <row r="37" spans="1:6" ht="28">
      <c r="A37" s="21" t="s">
        <v>106</v>
      </c>
      <c r="B37" s="19" t="s">
        <v>844</v>
      </c>
      <c r="C37" s="21" t="s">
        <v>868</v>
      </c>
      <c r="D37" s="19" t="s">
        <v>869</v>
      </c>
      <c r="E37" s="45">
        <v>0.9</v>
      </c>
      <c r="F37" s="19" t="s">
        <v>876</v>
      </c>
    </row>
    <row r="38" spans="1:6" ht="28">
      <c r="A38" s="21" t="s">
        <v>106</v>
      </c>
      <c r="B38" s="19" t="s">
        <v>844</v>
      </c>
      <c r="C38" s="21" t="s">
        <v>869</v>
      </c>
      <c r="D38" s="19" t="s">
        <v>870</v>
      </c>
      <c r="E38" s="45">
        <v>0.9</v>
      </c>
      <c r="F38" s="19" t="s">
        <v>876</v>
      </c>
    </row>
    <row r="39" spans="1:6" ht="28">
      <c r="A39" s="21" t="s">
        <v>106</v>
      </c>
      <c r="B39" s="19" t="s">
        <v>844</v>
      </c>
      <c r="C39" s="21" t="s">
        <v>870</v>
      </c>
      <c r="D39" s="19" t="s">
        <v>871</v>
      </c>
      <c r="E39" s="45">
        <v>0.92</v>
      </c>
      <c r="F39" s="19" t="s">
        <v>876</v>
      </c>
    </row>
    <row r="40" spans="1:6" ht="28">
      <c r="A40" s="21" t="s">
        <v>106</v>
      </c>
      <c r="B40" s="19" t="s">
        <v>844</v>
      </c>
      <c r="C40" s="21" t="s">
        <v>871</v>
      </c>
      <c r="D40" s="19" t="s">
        <v>872</v>
      </c>
      <c r="E40" s="45">
        <v>0.92</v>
      </c>
      <c r="F40" s="19" t="s">
        <v>876</v>
      </c>
    </row>
    <row r="41" spans="1:6" ht="28">
      <c r="A41" s="21" t="s">
        <v>106</v>
      </c>
      <c r="B41" s="19" t="s">
        <v>844</v>
      </c>
      <c r="C41" s="21" t="s">
        <v>872</v>
      </c>
      <c r="D41" s="19" t="s">
        <v>873</v>
      </c>
      <c r="E41" s="45">
        <v>0.92</v>
      </c>
      <c r="F41" s="19" t="s">
        <v>876</v>
      </c>
    </row>
    <row r="42" spans="1:6" ht="28">
      <c r="A42" s="21" t="s">
        <v>106</v>
      </c>
      <c r="B42" s="19" t="s">
        <v>844</v>
      </c>
      <c r="C42" s="21" t="s">
        <v>873</v>
      </c>
      <c r="D42" s="19" t="s">
        <v>874</v>
      </c>
      <c r="E42" s="45">
        <v>0.92</v>
      </c>
      <c r="F42" s="19" t="s">
        <v>876</v>
      </c>
    </row>
    <row r="43" spans="1:6" ht="28">
      <c r="A43" s="21" t="s">
        <v>106</v>
      </c>
      <c r="B43" s="19" t="s">
        <v>844</v>
      </c>
      <c r="C43" s="21" t="s">
        <v>874</v>
      </c>
      <c r="D43" s="19" t="s">
        <v>875</v>
      </c>
      <c r="E43" s="45">
        <v>0.92</v>
      </c>
      <c r="F43" s="19" t="s">
        <v>876</v>
      </c>
    </row>
    <row r="44" spans="1:6" ht="28">
      <c r="A44" s="21" t="s">
        <v>106</v>
      </c>
      <c r="B44" s="19" t="s">
        <v>844</v>
      </c>
      <c r="C44" s="21" t="s">
        <v>875</v>
      </c>
      <c r="D44" s="19" t="s">
        <v>877</v>
      </c>
      <c r="E44" s="45">
        <v>0.1</v>
      </c>
      <c r="F44" s="19" t="s">
        <v>876</v>
      </c>
    </row>
    <row r="45" spans="1:6" ht="28">
      <c r="A45" s="21" t="s">
        <v>106</v>
      </c>
      <c r="B45" s="19" t="s">
        <v>844</v>
      </c>
      <c r="C45" s="21" t="s">
        <v>877</v>
      </c>
      <c r="D45" s="19" t="s">
        <v>878</v>
      </c>
      <c r="E45" s="45">
        <v>0.8</v>
      </c>
      <c r="F45" s="19" t="s">
        <v>876</v>
      </c>
    </row>
    <row r="46" spans="1:6" ht="28">
      <c r="A46" s="21" t="s">
        <v>106</v>
      </c>
      <c r="B46" s="19" t="s">
        <v>844</v>
      </c>
      <c r="C46" s="21" t="s">
        <v>878</v>
      </c>
      <c r="D46" s="19" t="s">
        <v>879</v>
      </c>
      <c r="E46" s="45">
        <v>0.5</v>
      </c>
      <c r="F46" s="19" t="s">
        <v>876</v>
      </c>
    </row>
    <row r="47" spans="1:6" ht="28">
      <c r="A47" s="21" t="s">
        <v>106</v>
      </c>
      <c r="B47" s="19" t="s">
        <v>844</v>
      </c>
      <c r="C47" s="21" t="s">
        <v>879</v>
      </c>
      <c r="D47" s="19" t="s">
        <v>880</v>
      </c>
      <c r="E47" s="45">
        <v>0.3</v>
      </c>
      <c r="F47" s="19" t="s">
        <v>876</v>
      </c>
    </row>
    <row r="48" spans="1:6" ht="28">
      <c r="A48" s="21" t="s">
        <v>106</v>
      </c>
      <c r="B48" s="19" t="s">
        <v>844</v>
      </c>
      <c r="C48" s="21" t="s">
        <v>880</v>
      </c>
      <c r="D48" s="19" t="s">
        <v>881</v>
      </c>
      <c r="E48" s="45">
        <v>0.1</v>
      </c>
      <c r="F48" s="19" t="s">
        <v>876</v>
      </c>
    </row>
    <row r="49" spans="1:6" ht="28">
      <c r="A49" s="21" t="s">
        <v>106</v>
      </c>
      <c r="B49" s="19" t="s">
        <v>849</v>
      </c>
      <c r="C49" s="21" t="s">
        <v>860</v>
      </c>
      <c r="D49" s="19" t="s">
        <v>861</v>
      </c>
      <c r="E49" s="45">
        <v>0.87</v>
      </c>
      <c r="F49" s="19" t="s">
        <v>876</v>
      </c>
    </row>
    <row r="50" spans="1:6" ht="28">
      <c r="A50" s="21" t="s">
        <v>106</v>
      </c>
      <c r="B50" s="19" t="s">
        <v>849</v>
      </c>
      <c r="C50" s="21" t="s">
        <v>861</v>
      </c>
      <c r="D50" s="19" t="s">
        <v>863</v>
      </c>
      <c r="E50" s="45">
        <v>0.9</v>
      </c>
      <c r="F50" s="19" t="s">
        <v>876</v>
      </c>
    </row>
    <row r="51" spans="1:6" ht="28">
      <c r="A51" s="21" t="s">
        <v>106</v>
      </c>
      <c r="B51" s="19" t="s">
        <v>849</v>
      </c>
      <c r="C51" s="21" t="s">
        <v>863</v>
      </c>
      <c r="D51" s="19" t="s">
        <v>864</v>
      </c>
      <c r="E51" s="45">
        <v>0.9</v>
      </c>
      <c r="F51" s="19" t="s">
        <v>876</v>
      </c>
    </row>
    <row r="52" spans="1:6" ht="28">
      <c r="A52" s="21" t="s">
        <v>106</v>
      </c>
      <c r="B52" s="19" t="s">
        <v>849</v>
      </c>
      <c r="C52" s="21" t="s">
        <v>864</v>
      </c>
      <c r="D52" s="19" t="s">
        <v>865</v>
      </c>
      <c r="E52" s="45">
        <v>0.9</v>
      </c>
      <c r="F52" s="19" t="s">
        <v>876</v>
      </c>
    </row>
    <row r="53" spans="1:6" ht="28">
      <c r="A53" s="21" t="s">
        <v>106</v>
      </c>
      <c r="B53" s="19" t="s">
        <v>849</v>
      </c>
      <c r="C53" s="21" t="s">
        <v>865</v>
      </c>
      <c r="D53" s="19" t="s">
        <v>866</v>
      </c>
      <c r="E53" s="45">
        <v>0.9</v>
      </c>
      <c r="F53" s="19" t="s">
        <v>876</v>
      </c>
    </row>
    <row r="54" spans="1:6" ht="28">
      <c r="A54" s="21" t="s">
        <v>106</v>
      </c>
      <c r="B54" s="19" t="s">
        <v>849</v>
      </c>
      <c r="C54" s="21" t="s">
        <v>866</v>
      </c>
      <c r="D54" s="19" t="s">
        <v>867</v>
      </c>
      <c r="E54" s="45">
        <v>0.9</v>
      </c>
      <c r="F54" s="19" t="s">
        <v>876</v>
      </c>
    </row>
    <row r="55" spans="1:6" ht="28">
      <c r="A55" s="21" t="s">
        <v>106</v>
      </c>
      <c r="B55" s="19" t="s">
        <v>849</v>
      </c>
      <c r="C55" s="21" t="s">
        <v>867</v>
      </c>
      <c r="D55" s="19" t="s">
        <v>868</v>
      </c>
      <c r="E55" s="45">
        <v>0.9</v>
      </c>
      <c r="F55" s="19" t="s">
        <v>876</v>
      </c>
    </row>
    <row r="56" spans="1:6" ht="28">
      <c r="A56" s="21" t="s">
        <v>106</v>
      </c>
      <c r="B56" s="19" t="s">
        <v>849</v>
      </c>
      <c r="C56" s="21" t="s">
        <v>868</v>
      </c>
      <c r="D56" s="19" t="s">
        <v>869</v>
      </c>
      <c r="E56" s="45">
        <v>0.9</v>
      </c>
      <c r="F56" s="19" t="s">
        <v>876</v>
      </c>
    </row>
    <row r="57" spans="1:6" ht="28">
      <c r="A57" s="21" t="s">
        <v>106</v>
      </c>
      <c r="B57" s="19" t="s">
        <v>849</v>
      </c>
      <c r="C57" s="21" t="s">
        <v>869</v>
      </c>
      <c r="D57" s="19" t="s">
        <v>870</v>
      </c>
      <c r="E57" s="45">
        <v>0.9</v>
      </c>
      <c r="F57" s="19" t="s">
        <v>876</v>
      </c>
    </row>
    <row r="58" spans="1:6" ht="28">
      <c r="A58" s="21" t="s">
        <v>106</v>
      </c>
      <c r="B58" s="19" t="s">
        <v>849</v>
      </c>
      <c r="C58" s="21" t="s">
        <v>870</v>
      </c>
      <c r="D58" s="19" t="s">
        <v>871</v>
      </c>
      <c r="E58" s="45">
        <v>0.92</v>
      </c>
      <c r="F58" s="19" t="s">
        <v>876</v>
      </c>
    </row>
    <row r="59" spans="1:6" ht="28">
      <c r="A59" s="21" t="s">
        <v>106</v>
      </c>
      <c r="B59" s="19" t="s">
        <v>849</v>
      </c>
      <c r="C59" s="21" t="s">
        <v>871</v>
      </c>
      <c r="D59" s="19" t="s">
        <v>872</v>
      </c>
      <c r="E59" s="45">
        <v>0.92</v>
      </c>
      <c r="F59" s="19" t="s">
        <v>876</v>
      </c>
    </row>
    <row r="60" spans="1:6" ht="28">
      <c r="A60" s="21" t="s">
        <v>106</v>
      </c>
      <c r="B60" s="19" t="s">
        <v>849</v>
      </c>
      <c r="C60" s="21" t="s">
        <v>872</v>
      </c>
      <c r="D60" s="19" t="s">
        <v>873</v>
      </c>
      <c r="E60" s="45">
        <v>0.92</v>
      </c>
      <c r="F60" s="19" t="s">
        <v>876</v>
      </c>
    </row>
    <row r="61" spans="1:6" ht="28">
      <c r="A61" s="21" t="s">
        <v>106</v>
      </c>
      <c r="B61" s="19" t="s">
        <v>849</v>
      </c>
      <c r="C61" s="21" t="s">
        <v>873</v>
      </c>
      <c r="D61" s="19" t="s">
        <v>874</v>
      </c>
      <c r="E61" s="45">
        <v>0.92</v>
      </c>
      <c r="F61" s="19" t="s">
        <v>876</v>
      </c>
    </row>
    <row r="62" spans="1:6" ht="28">
      <c r="A62" s="21" t="s">
        <v>106</v>
      </c>
      <c r="B62" s="19" t="s">
        <v>849</v>
      </c>
      <c r="C62" s="21" t="s">
        <v>874</v>
      </c>
      <c r="D62" s="19" t="s">
        <v>875</v>
      </c>
      <c r="E62" s="45">
        <v>0.92</v>
      </c>
      <c r="F62" s="19" t="s">
        <v>876</v>
      </c>
    </row>
    <row r="63" spans="1:6" ht="28">
      <c r="A63" s="21" t="s">
        <v>106</v>
      </c>
      <c r="B63" s="19" t="s">
        <v>849</v>
      </c>
      <c r="C63" s="21" t="s">
        <v>875</v>
      </c>
      <c r="D63" s="19" t="s">
        <v>877</v>
      </c>
      <c r="E63" s="45">
        <v>0.1</v>
      </c>
      <c r="F63" s="19" t="s">
        <v>876</v>
      </c>
    </row>
    <row r="64" spans="1:6" ht="28">
      <c r="A64" s="21" t="s">
        <v>106</v>
      </c>
      <c r="B64" s="19" t="s">
        <v>849</v>
      </c>
      <c r="C64" s="21" t="s">
        <v>877</v>
      </c>
      <c r="D64" s="19" t="s">
        <v>878</v>
      </c>
      <c r="E64" s="45">
        <v>0.8</v>
      </c>
      <c r="F64" s="19" t="s">
        <v>876</v>
      </c>
    </row>
    <row r="65" spans="1:6" ht="28">
      <c r="A65" s="21" t="s">
        <v>106</v>
      </c>
      <c r="B65" s="19" t="s">
        <v>849</v>
      </c>
      <c r="C65" s="21" t="s">
        <v>878</v>
      </c>
      <c r="D65" s="19" t="s">
        <v>879</v>
      </c>
      <c r="E65" s="45">
        <v>0.5</v>
      </c>
      <c r="F65" s="19" t="s">
        <v>876</v>
      </c>
    </row>
    <row r="66" spans="1:6" ht="28">
      <c r="A66" s="21" t="s">
        <v>106</v>
      </c>
      <c r="B66" s="19" t="s">
        <v>849</v>
      </c>
      <c r="C66" s="21" t="s">
        <v>879</v>
      </c>
      <c r="D66" s="19" t="s">
        <v>880</v>
      </c>
      <c r="E66" s="45">
        <v>0.3</v>
      </c>
      <c r="F66" s="19" t="s">
        <v>876</v>
      </c>
    </row>
    <row r="67" spans="1:6" ht="28">
      <c r="A67" s="21" t="s">
        <v>106</v>
      </c>
      <c r="B67" s="19" t="s">
        <v>849</v>
      </c>
      <c r="C67" s="21" t="s">
        <v>880</v>
      </c>
      <c r="D67" s="19" t="s">
        <v>881</v>
      </c>
      <c r="E67" s="45">
        <v>0.1</v>
      </c>
      <c r="F67" s="19" t="s">
        <v>876</v>
      </c>
    </row>
  </sheetData>
  <dataValidations count="2">
    <dataValidation type="list" sqref="A2:A197" xr:uid="{00000000-0002-0000-1400-000000000000}">
      <formula1>"Posgrado,Ejecutivo"</formula1>
    </dataValidation>
    <dataValidation type="list" sqref="B2:B197" xr:uid="{00000000-0002-0000-1400-000001000000}">
      <formula1>"Síncrono,Asíncrono"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67"/>
  <sheetViews>
    <sheetView workbookViewId="0"/>
  </sheetViews>
  <sheetFormatPr baseColWidth="10" defaultColWidth="8.6640625" defaultRowHeight="14"/>
  <cols>
    <col min="1" max="5" width="16" customWidth="1"/>
    <col min="6" max="6" width="9.5" customWidth="1"/>
    <col min="7" max="7" width="60" customWidth="1"/>
  </cols>
  <sheetData>
    <row r="1" spans="1:7" ht="28">
      <c r="A1" s="47" t="s">
        <v>882</v>
      </c>
      <c r="B1" s="47" t="s">
        <v>883</v>
      </c>
      <c r="C1" s="47" t="s">
        <v>37</v>
      </c>
      <c r="D1" s="47" t="s">
        <v>38</v>
      </c>
      <c r="E1" s="47" t="s">
        <v>884</v>
      </c>
      <c r="F1" s="50" t="s">
        <v>885</v>
      </c>
      <c r="G1" s="47" t="s">
        <v>738</v>
      </c>
    </row>
    <row r="2" spans="1:7" ht="28">
      <c r="A2" s="21">
        <v>2029</v>
      </c>
      <c r="B2" s="21" t="s">
        <v>843</v>
      </c>
      <c r="C2" s="19" t="s">
        <v>105</v>
      </c>
      <c r="D2" s="19" t="s">
        <v>844</v>
      </c>
      <c r="E2" s="21" t="s">
        <v>861</v>
      </c>
      <c r="F2" s="19">
        <v>2533</v>
      </c>
      <c r="G2" s="18" t="s">
        <v>886</v>
      </c>
    </row>
    <row r="3" spans="1:7" ht="28">
      <c r="A3" s="21">
        <v>2029</v>
      </c>
      <c r="B3" s="21" t="s">
        <v>843</v>
      </c>
      <c r="C3" s="19" t="s">
        <v>105</v>
      </c>
      <c r="D3" s="19" t="s">
        <v>844</v>
      </c>
      <c r="E3" s="21" t="s">
        <v>863</v>
      </c>
      <c r="F3" s="19">
        <v>1605</v>
      </c>
      <c r="G3" s="18" t="s">
        <v>886</v>
      </c>
    </row>
    <row r="4" spans="1:7" ht="28">
      <c r="A4" s="21">
        <v>2029</v>
      </c>
      <c r="B4" s="21" t="s">
        <v>843</v>
      </c>
      <c r="C4" s="19" t="s">
        <v>105</v>
      </c>
      <c r="D4" s="19" t="s">
        <v>844</v>
      </c>
      <c r="E4" s="21" t="s">
        <v>864</v>
      </c>
      <c r="F4" s="19">
        <v>2052</v>
      </c>
      <c r="G4" s="18" t="s">
        <v>886</v>
      </c>
    </row>
    <row r="5" spans="1:7" ht="28">
      <c r="A5" s="21">
        <v>2029</v>
      </c>
      <c r="B5" s="21" t="s">
        <v>843</v>
      </c>
      <c r="C5" s="19" t="s">
        <v>105</v>
      </c>
      <c r="D5" s="19" t="s">
        <v>844</v>
      </c>
      <c r="E5" s="21" t="s">
        <v>865</v>
      </c>
      <c r="F5" s="19">
        <v>1507</v>
      </c>
      <c r="G5" s="18" t="s">
        <v>886</v>
      </c>
    </row>
    <row r="6" spans="1:7" ht="28">
      <c r="A6" s="21">
        <v>2029</v>
      </c>
      <c r="B6" s="21" t="s">
        <v>843</v>
      </c>
      <c r="C6" s="19" t="s">
        <v>105</v>
      </c>
      <c r="D6" s="19" t="s">
        <v>844</v>
      </c>
      <c r="E6" s="21" t="s">
        <v>866</v>
      </c>
      <c r="F6" s="19">
        <v>1432</v>
      </c>
      <c r="G6" s="18" t="s">
        <v>886</v>
      </c>
    </row>
    <row r="7" spans="1:7" ht="28">
      <c r="A7" s="21">
        <v>2029</v>
      </c>
      <c r="B7" s="21" t="s">
        <v>843</v>
      </c>
      <c r="C7" s="19" t="s">
        <v>105</v>
      </c>
      <c r="D7" s="19" t="s">
        <v>844</v>
      </c>
      <c r="E7" s="21" t="s">
        <v>867</v>
      </c>
      <c r="F7" s="19">
        <v>1599</v>
      </c>
      <c r="G7" s="18" t="s">
        <v>886</v>
      </c>
    </row>
    <row r="8" spans="1:7" ht="28">
      <c r="A8" s="21">
        <v>2029</v>
      </c>
      <c r="B8" s="21" t="s">
        <v>843</v>
      </c>
      <c r="C8" s="19" t="s">
        <v>105</v>
      </c>
      <c r="D8" s="19" t="s">
        <v>844</v>
      </c>
      <c r="E8" s="21" t="s">
        <v>868</v>
      </c>
      <c r="F8" s="19">
        <v>940</v>
      </c>
      <c r="G8" s="18" t="s">
        <v>886</v>
      </c>
    </row>
    <row r="9" spans="1:7" ht="28">
      <c r="A9" s="21">
        <v>2029</v>
      </c>
      <c r="B9" s="21" t="s">
        <v>843</v>
      </c>
      <c r="C9" s="19" t="s">
        <v>105</v>
      </c>
      <c r="D9" s="19" t="s">
        <v>844</v>
      </c>
      <c r="E9" s="21" t="s">
        <v>869</v>
      </c>
      <c r="F9" s="19">
        <v>1112</v>
      </c>
      <c r="G9" s="18" t="s">
        <v>886</v>
      </c>
    </row>
    <row r="10" spans="1:7" ht="28">
      <c r="A10" s="21">
        <v>2029</v>
      </c>
      <c r="B10" s="21" t="s">
        <v>843</v>
      </c>
      <c r="C10" s="19" t="s">
        <v>105</v>
      </c>
      <c r="D10" s="19" t="s">
        <v>844</v>
      </c>
      <c r="E10" s="21" t="s">
        <v>870</v>
      </c>
      <c r="F10" s="19">
        <v>811</v>
      </c>
      <c r="G10" s="18" t="s">
        <v>886</v>
      </c>
    </row>
    <row r="11" spans="1:7" ht="28">
      <c r="A11" s="21">
        <v>2029</v>
      </c>
      <c r="B11" s="21" t="s">
        <v>843</v>
      </c>
      <c r="C11" s="19" t="s">
        <v>105</v>
      </c>
      <c r="D11" s="19" t="s">
        <v>844</v>
      </c>
      <c r="E11" s="21" t="s">
        <v>871</v>
      </c>
      <c r="F11" s="19">
        <v>714</v>
      </c>
      <c r="G11" s="18" t="s">
        <v>886</v>
      </c>
    </row>
    <row r="12" spans="1:7" ht="28">
      <c r="A12" s="21">
        <v>2029</v>
      </c>
      <c r="B12" s="21" t="s">
        <v>843</v>
      </c>
      <c r="C12" s="19" t="s">
        <v>105</v>
      </c>
      <c r="D12" s="19" t="s">
        <v>844</v>
      </c>
      <c r="E12" s="21" t="s">
        <v>872</v>
      </c>
      <c r="F12" s="19">
        <v>169</v>
      </c>
      <c r="G12" s="18" t="s">
        <v>886</v>
      </c>
    </row>
    <row r="13" spans="1:7" ht="28">
      <c r="A13" s="21">
        <v>2029</v>
      </c>
      <c r="B13" s="21" t="s">
        <v>843</v>
      </c>
      <c r="C13" s="19" t="s">
        <v>105</v>
      </c>
      <c r="D13" s="19" t="s">
        <v>844</v>
      </c>
      <c r="E13" s="21" t="s">
        <v>873</v>
      </c>
      <c r="F13" s="19">
        <v>12</v>
      </c>
      <c r="G13" s="18" t="s">
        <v>886</v>
      </c>
    </row>
    <row r="14" spans="1:7" ht="28">
      <c r="A14" s="21">
        <v>2029</v>
      </c>
      <c r="B14" s="21" t="s">
        <v>843</v>
      </c>
      <c r="C14" s="19" t="s">
        <v>105</v>
      </c>
      <c r="D14" s="19" t="s">
        <v>844</v>
      </c>
      <c r="E14" s="21" t="s">
        <v>874</v>
      </c>
      <c r="F14" s="19">
        <v>7</v>
      </c>
      <c r="G14" s="18" t="s">
        <v>886</v>
      </c>
    </row>
    <row r="15" spans="1:7" ht="28">
      <c r="A15" s="21">
        <v>2029</v>
      </c>
      <c r="B15" s="21" t="s">
        <v>843</v>
      </c>
      <c r="C15" s="19" t="s">
        <v>105</v>
      </c>
      <c r="D15" s="19" t="s">
        <v>844</v>
      </c>
      <c r="E15" s="21" t="s">
        <v>875</v>
      </c>
      <c r="F15" s="19">
        <v>2</v>
      </c>
      <c r="G15" s="18" t="s">
        <v>886</v>
      </c>
    </row>
    <row r="16" spans="1:7" ht="28">
      <c r="A16" s="21">
        <v>2029</v>
      </c>
      <c r="B16" s="21" t="s">
        <v>843</v>
      </c>
      <c r="C16" s="19" t="s">
        <v>105</v>
      </c>
      <c r="D16" s="19" t="s">
        <v>849</v>
      </c>
      <c r="E16" s="21" t="s">
        <v>861</v>
      </c>
      <c r="F16" s="19"/>
      <c r="G16" s="18" t="s">
        <v>886</v>
      </c>
    </row>
    <row r="17" spans="1:7" ht="28">
      <c r="A17" s="21">
        <v>2029</v>
      </c>
      <c r="B17" s="21" t="s">
        <v>843</v>
      </c>
      <c r="C17" s="19" t="s">
        <v>105</v>
      </c>
      <c r="D17" s="19" t="s">
        <v>849</v>
      </c>
      <c r="E17" s="21" t="s">
        <v>863</v>
      </c>
      <c r="F17" s="19"/>
      <c r="G17" s="18" t="s">
        <v>886</v>
      </c>
    </row>
    <row r="18" spans="1:7" ht="28">
      <c r="A18" s="21">
        <v>2029</v>
      </c>
      <c r="B18" s="21" t="s">
        <v>843</v>
      </c>
      <c r="C18" s="19" t="s">
        <v>105</v>
      </c>
      <c r="D18" s="19" t="s">
        <v>849</v>
      </c>
      <c r="E18" s="21" t="s">
        <v>864</v>
      </c>
      <c r="F18" s="19"/>
      <c r="G18" s="18" t="s">
        <v>886</v>
      </c>
    </row>
    <row r="19" spans="1:7" ht="28">
      <c r="A19" s="21">
        <v>2029</v>
      </c>
      <c r="B19" s="21" t="s">
        <v>843</v>
      </c>
      <c r="C19" s="19" t="s">
        <v>105</v>
      </c>
      <c r="D19" s="19" t="s">
        <v>849</v>
      </c>
      <c r="E19" s="21" t="s">
        <v>865</v>
      </c>
      <c r="F19" s="19"/>
      <c r="G19" s="18" t="s">
        <v>886</v>
      </c>
    </row>
    <row r="20" spans="1:7" ht="28">
      <c r="A20" s="21">
        <v>2029</v>
      </c>
      <c r="B20" s="21" t="s">
        <v>843</v>
      </c>
      <c r="C20" s="19" t="s">
        <v>105</v>
      </c>
      <c r="D20" s="19" t="s">
        <v>849</v>
      </c>
      <c r="E20" s="21" t="s">
        <v>866</v>
      </c>
      <c r="F20" s="19"/>
      <c r="G20" s="18" t="s">
        <v>886</v>
      </c>
    </row>
    <row r="21" spans="1:7" ht="28">
      <c r="A21" s="21">
        <v>2029</v>
      </c>
      <c r="B21" s="21" t="s">
        <v>843</v>
      </c>
      <c r="C21" s="19" t="s">
        <v>105</v>
      </c>
      <c r="D21" s="19" t="s">
        <v>849</v>
      </c>
      <c r="E21" s="21" t="s">
        <v>867</v>
      </c>
      <c r="F21" s="19"/>
      <c r="G21" s="18" t="s">
        <v>886</v>
      </c>
    </row>
    <row r="22" spans="1:7" ht="28">
      <c r="A22" s="21">
        <v>2029</v>
      </c>
      <c r="B22" s="21" t="s">
        <v>843</v>
      </c>
      <c r="C22" s="19" t="s">
        <v>105</v>
      </c>
      <c r="D22" s="19" t="s">
        <v>849</v>
      </c>
      <c r="E22" s="21" t="s">
        <v>868</v>
      </c>
      <c r="F22" s="19"/>
      <c r="G22" s="18" t="s">
        <v>886</v>
      </c>
    </row>
    <row r="23" spans="1:7" ht="28">
      <c r="A23" s="21">
        <v>2029</v>
      </c>
      <c r="B23" s="21" t="s">
        <v>843</v>
      </c>
      <c r="C23" s="19" t="s">
        <v>105</v>
      </c>
      <c r="D23" s="19" t="s">
        <v>849</v>
      </c>
      <c r="E23" s="21" t="s">
        <v>869</v>
      </c>
      <c r="F23" s="19"/>
      <c r="G23" s="18" t="s">
        <v>886</v>
      </c>
    </row>
    <row r="24" spans="1:7" ht="28">
      <c r="A24" s="21">
        <v>2029</v>
      </c>
      <c r="B24" s="21" t="s">
        <v>843</v>
      </c>
      <c r="C24" s="19" t="s">
        <v>105</v>
      </c>
      <c r="D24" s="19" t="s">
        <v>849</v>
      </c>
      <c r="E24" s="21" t="s">
        <v>870</v>
      </c>
      <c r="F24" s="19"/>
      <c r="G24" s="18" t="s">
        <v>886</v>
      </c>
    </row>
    <row r="25" spans="1:7" ht="28">
      <c r="A25" s="21">
        <v>2029</v>
      </c>
      <c r="B25" s="21" t="s">
        <v>843</v>
      </c>
      <c r="C25" s="19" t="s">
        <v>105</v>
      </c>
      <c r="D25" s="19" t="s">
        <v>849</v>
      </c>
      <c r="E25" s="21" t="s">
        <v>871</v>
      </c>
      <c r="F25" s="19"/>
      <c r="G25" s="18" t="s">
        <v>886</v>
      </c>
    </row>
    <row r="26" spans="1:7" ht="28">
      <c r="A26" s="21">
        <v>2029</v>
      </c>
      <c r="B26" s="21" t="s">
        <v>843</v>
      </c>
      <c r="C26" s="19" t="s">
        <v>105</v>
      </c>
      <c r="D26" s="19" t="s">
        <v>849</v>
      </c>
      <c r="E26" s="21" t="s">
        <v>872</v>
      </c>
      <c r="F26" s="19"/>
      <c r="G26" s="18" t="s">
        <v>886</v>
      </c>
    </row>
    <row r="27" spans="1:7" ht="28">
      <c r="A27" s="21">
        <v>2029</v>
      </c>
      <c r="B27" s="21" t="s">
        <v>843</v>
      </c>
      <c r="C27" s="19" t="s">
        <v>105</v>
      </c>
      <c r="D27" s="19" t="s">
        <v>849</v>
      </c>
      <c r="E27" s="21" t="s">
        <v>873</v>
      </c>
      <c r="F27" s="19"/>
      <c r="G27" s="18" t="s">
        <v>886</v>
      </c>
    </row>
    <row r="28" spans="1:7" ht="28">
      <c r="A28" s="21">
        <v>2029</v>
      </c>
      <c r="B28" s="21" t="s">
        <v>843</v>
      </c>
      <c r="C28" s="19" t="s">
        <v>105</v>
      </c>
      <c r="D28" s="19" t="s">
        <v>849</v>
      </c>
      <c r="E28" s="21" t="s">
        <v>874</v>
      </c>
      <c r="F28" s="19"/>
      <c r="G28" s="18" t="s">
        <v>886</v>
      </c>
    </row>
    <row r="29" spans="1:7" ht="28">
      <c r="A29" s="21">
        <v>2029</v>
      </c>
      <c r="B29" s="21" t="s">
        <v>843</v>
      </c>
      <c r="C29" s="19" t="s">
        <v>105</v>
      </c>
      <c r="D29" s="19" t="s">
        <v>849</v>
      </c>
      <c r="E29" s="21" t="s">
        <v>875</v>
      </c>
      <c r="F29" s="19"/>
      <c r="G29" s="18" t="s">
        <v>886</v>
      </c>
    </row>
    <row r="30" spans="1:7" ht="28">
      <c r="A30" s="21">
        <v>2029</v>
      </c>
      <c r="B30" s="21" t="s">
        <v>843</v>
      </c>
      <c r="C30" s="19" t="s">
        <v>106</v>
      </c>
      <c r="D30" s="19" t="s">
        <v>844</v>
      </c>
      <c r="E30" s="21" t="s">
        <v>861</v>
      </c>
      <c r="F30" s="19">
        <v>1244</v>
      </c>
      <c r="G30" s="18" t="s">
        <v>886</v>
      </c>
    </row>
    <row r="31" spans="1:7" ht="28">
      <c r="A31" s="21">
        <v>2029</v>
      </c>
      <c r="B31" s="21" t="s">
        <v>843</v>
      </c>
      <c r="C31" s="19" t="s">
        <v>106</v>
      </c>
      <c r="D31" s="19" t="s">
        <v>844</v>
      </c>
      <c r="E31" s="21" t="s">
        <v>863</v>
      </c>
      <c r="F31" s="19">
        <v>747</v>
      </c>
      <c r="G31" s="18" t="s">
        <v>886</v>
      </c>
    </row>
    <row r="32" spans="1:7" ht="28">
      <c r="A32" s="21">
        <v>2029</v>
      </c>
      <c r="B32" s="21" t="s">
        <v>843</v>
      </c>
      <c r="C32" s="19" t="s">
        <v>106</v>
      </c>
      <c r="D32" s="19" t="s">
        <v>844</v>
      </c>
      <c r="E32" s="21" t="s">
        <v>864</v>
      </c>
      <c r="F32" s="19">
        <v>840</v>
      </c>
      <c r="G32" s="18" t="s">
        <v>886</v>
      </c>
    </row>
    <row r="33" spans="1:7" ht="28">
      <c r="A33" s="21">
        <v>2029</v>
      </c>
      <c r="B33" s="21" t="s">
        <v>843</v>
      </c>
      <c r="C33" s="19" t="s">
        <v>106</v>
      </c>
      <c r="D33" s="19" t="s">
        <v>844</v>
      </c>
      <c r="E33" s="21" t="s">
        <v>865</v>
      </c>
      <c r="F33" s="19">
        <v>691</v>
      </c>
      <c r="G33" s="18" t="s">
        <v>886</v>
      </c>
    </row>
    <row r="34" spans="1:7" ht="28">
      <c r="A34" s="21">
        <v>2029</v>
      </c>
      <c r="B34" s="21" t="s">
        <v>843</v>
      </c>
      <c r="C34" s="19" t="s">
        <v>106</v>
      </c>
      <c r="D34" s="19" t="s">
        <v>844</v>
      </c>
      <c r="E34" s="21" t="s">
        <v>866</v>
      </c>
      <c r="F34" s="19">
        <v>717</v>
      </c>
      <c r="G34" s="18" t="s">
        <v>886</v>
      </c>
    </row>
    <row r="35" spans="1:7" ht="28">
      <c r="A35" s="21">
        <v>2029</v>
      </c>
      <c r="B35" s="21" t="s">
        <v>843</v>
      </c>
      <c r="C35" s="19" t="s">
        <v>106</v>
      </c>
      <c r="D35" s="19" t="s">
        <v>844</v>
      </c>
      <c r="E35" s="21" t="s">
        <v>867</v>
      </c>
      <c r="F35" s="19">
        <v>715</v>
      </c>
      <c r="G35" s="18" t="s">
        <v>886</v>
      </c>
    </row>
    <row r="36" spans="1:7" ht="28">
      <c r="A36" s="21">
        <v>2029</v>
      </c>
      <c r="B36" s="21" t="s">
        <v>843</v>
      </c>
      <c r="C36" s="19" t="s">
        <v>106</v>
      </c>
      <c r="D36" s="19" t="s">
        <v>844</v>
      </c>
      <c r="E36" s="21" t="s">
        <v>868</v>
      </c>
      <c r="F36" s="19">
        <v>430</v>
      </c>
      <c r="G36" s="18" t="s">
        <v>886</v>
      </c>
    </row>
    <row r="37" spans="1:7" ht="28">
      <c r="A37" s="21">
        <v>2029</v>
      </c>
      <c r="B37" s="21" t="s">
        <v>843</v>
      </c>
      <c r="C37" s="19" t="s">
        <v>106</v>
      </c>
      <c r="D37" s="19" t="s">
        <v>844</v>
      </c>
      <c r="E37" s="21" t="s">
        <v>869</v>
      </c>
      <c r="F37" s="19">
        <v>484</v>
      </c>
      <c r="G37" s="18" t="s">
        <v>886</v>
      </c>
    </row>
    <row r="38" spans="1:7" ht="28">
      <c r="A38" s="21">
        <v>2029</v>
      </c>
      <c r="B38" s="21" t="s">
        <v>843</v>
      </c>
      <c r="C38" s="19" t="s">
        <v>106</v>
      </c>
      <c r="D38" s="19" t="s">
        <v>844</v>
      </c>
      <c r="E38" s="21" t="s">
        <v>870</v>
      </c>
      <c r="F38" s="19">
        <v>392</v>
      </c>
      <c r="G38" s="18" t="s">
        <v>886</v>
      </c>
    </row>
    <row r="39" spans="1:7" ht="28">
      <c r="A39" s="21">
        <v>2029</v>
      </c>
      <c r="B39" s="21" t="s">
        <v>843</v>
      </c>
      <c r="C39" s="19" t="s">
        <v>106</v>
      </c>
      <c r="D39" s="19" t="s">
        <v>844</v>
      </c>
      <c r="E39" s="21" t="s">
        <v>871</v>
      </c>
      <c r="F39" s="19">
        <v>432</v>
      </c>
      <c r="G39" s="18" t="s">
        <v>886</v>
      </c>
    </row>
    <row r="40" spans="1:7" ht="28">
      <c r="A40" s="21">
        <v>2029</v>
      </c>
      <c r="B40" s="21" t="s">
        <v>843</v>
      </c>
      <c r="C40" s="19" t="s">
        <v>106</v>
      </c>
      <c r="D40" s="19" t="s">
        <v>844</v>
      </c>
      <c r="E40" s="21" t="s">
        <v>872</v>
      </c>
      <c r="F40" s="19">
        <v>318</v>
      </c>
      <c r="G40" s="18" t="s">
        <v>886</v>
      </c>
    </row>
    <row r="41" spans="1:7" ht="28">
      <c r="A41" s="21">
        <v>2029</v>
      </c>
      <c r="B41" s="21" t="s">
        <v>843</v>
      </c>
      <c r="C41" s="19" t="s">
        <v>106</v>
      </c>
      <c r="D41" s="19" t="s">
        <v>844</v>
      </c>
      <c r="E41" s="21" t="s">
        <v>873</v>
      </c>
      <c r="F41" s="19">
        <v>225</v>
      </c>
      <c r="G41" s="18" t="s">
        <v>886</v>
      </c>
    </row>
    <row r="42" spans="1:7" ht="28">
      <c r="A42" s="21">
        <v>2029</v>
      </c>
      <c r="B42" s="21" t="s">
        <v>843</v>
      </c>
      <c r="C42" s="19" t="s">
        <v>106</v>
      </c>
      <c r="D42" s="19" t="s">
        <v>844</v>
      </c>
      <c r="E42" s="21" t="s">
        <v>874</v>
      </c>
      <c r="F42" s="19">
        <v>272</v>
      </c>
      <c r="G42" s="18" t="s">
        <v>886</v>
      </c>
    </row>
    <row r="43" spans="1:7" ht="28">
      <c r="A43" s="21">
        <v>2029</v>
      </c>
      <c r="B43" s="21" t="s">
        <v>843</v>
      </c>
      <c r="C43" s="19" t="s">
        <v>106</v>
      </c>
      <c r="D43" s="19" t="s">
        <v>844</v>
      </c>
      <c r="E43" s="21" t="s">
        <v>875</v>
      </c>
      <c r="F43" s="19">
        <v>213</v>
      </c>
      <c r="G43" s="18" t="s">
        <v>886</v>
      </c>
    </row>
    <row r="44" spans="1:7" ht="28">
      <c r="A44" s="21">
        <v>2029</v>
      </c>
      <c r="B44" s="21" t="s">
        <v>843</v>
      </c>
      <c r="C44" s="19" t="s">
        <v>106</v>
      </c>
      <c r="D44" s="19" t="s">
        <v>844</v>
      </c>
      <c r="E44" s="21" t="s">
        <v>877</v>
      </c>
      <c r="F44" s="19">
        <v>215</v>
      </c>
      <c r="G44" s="18" t="s">
        <v>886</v>
      </c>
    </row>
    <row r="45" spans="1:7" ht="28">
      <c r="A45" s="21">
        <v>2029</v>
      </c>
      <c r="B45" s="21" t="s">
        <v>843</v>
      </c>
      <c r="C45" s="19" t="s">
        <v>106</v>
      </c>
      <c r="D45" s="19" t="s">
        <v>844</v>
      </c>
      <c r="E45" s="21" t="s">
        <v>878</v>
      </c>
      <c r="F45" s="19">
        <v>17</v>
      </c>
      <c r="G45" s="18" t="s">
        <v>886</v>
      </c>
    </row>
    <row r="46" spans="1:7" ht="28">
      <c r="A46" s="21">
        <v>2029</v>
      </c>
      <c r="B46" s="21" t="s">
        <v>843</v>
      </c>
      <c r="C46" s="19" t="s">
        <v>106</v>
      </c>
      <c r="D46" s="19" t="s">
        <v>844</v>
      </c>
      <c r="E46" s="21" t="s">
        <v>879</v>
      </c>
      <c r="F46" s="19">
        <v>10</v>
      </c>
      <c r="G46" s="18" t="s">
        <v>886</v>
      </c>
    </row>
    <row r="47" spans="1:7" ht="28">
      <c r="A47" s="21">
        <v>2029</v>
      </c>
      <c r="B47" s="21" t="s">
        <v>843</v>
      </c>
      <c r="C47" s="19" t="s">
        <v>106</v>
      </c>
      <c r="D47" s="19" t="s">
        <v>844</v>
      </c>
      <c r="E47" s="21" t="s">
        <v>880</v>
      </c>
      <c r="F47" s="19">
        <v>8</v>
      </c>
      <c r="G47" s="18" t="s">
        <v>886</v>
      </c>
    </row>
    <row r="48" spans="1:7" ht="28">
      <c r="A48" s="21">
        <v>2029</v>
      </c>
      <c r="B48" s="21" t="s">
        <v>843</v>
      </c>
      <c r="C48" s="19" t="s">
        <v>106</v>
      </c>
      <c r="D48" s="19" t="s">
        <v>844</v>
      </c>
      <c r="E48" s="21" t="s">
        <v>881</v>
      </c>
      <c r="F48" s="19">
        <v>3</v>
      </c>
      <c r="G48" s="18" t="s">
        <v>886</v>
      </c>
    </row>
    <row r="49" spans="1:7" ht="28">
      <c r="A49" s="21">
        <v>2029</v>
      </c>
      <c r="B49" s="21" t="s">
        <v>843</v>
      </c>
      <c r="C49" s="19" t="s">
        <v>106</v>
      </c>
      <c r="D49" s="19" t="s">
        <v>849</v>
      </c>
      <c r="E49" s="21" t="s">
        <v>861</v>
      </c>
      <c r="F49" s="19"/>
      <c r="G49" s="18" t="s">
        <v>886</v>
      </c>
    </row>
    <row r="50" spans="1:7" ht="28">
      <c r="A50" s="21">
        <v>2029</v>
      </c>
      <c r="B50" s="21" t="s">
        <v>843</v>
      </c>
      <c r="C50" s="19" t="s">
        <v>106</v>
      </c>
      <c r="D50" s="19" t="s">
        <v>849</v>
      </c>
      <c r="E50" s="21" t="s">
        <v>863</v>
      </c>
      <c r="F50" s="19"/>
      <c r="G50" s="18" t="s">
        <v>886</v>
      </c>
    </row>
    <row r="51" spans="1:7" ht="28">
      <c r="A51" s="21">
        <v>2029</v>
      </c>
      <c r="B51" s="21" t="s">
        <v>843</v>
      </c>
      <c r="C51" s="19" t="s">
        <v>106</v>
      </c>
      <c r="D51" s="19" t="s">
        <v>849</v>
      </c>
      <c r="E51" s="21" t="s">
        <v>864</v>
      </c>
      <c r="F51" s="19"/>
      <c r="G51" s="18" t="s">
        <v>886</v>
      </c>
    </row>
    <row r="52" spans="1:7" ht="28">
      <c r="A52" s="21">
        <v>2029</v>
      </c>
      <c r="B52" s="21" t="s">
        <v>843</v>
      </c>
      <c r="C52" s="19" t="s">
        <v>106</v>
      </c>
      <c r="D52" s="19" t="s">
        <v>849</v>
      </c>
      <c r="E52" s="21" t="s">
        <v>865</v>
      </c>
      <c r="F52" s="19"/>
      <c r="G52" s="18" t="s">
        <v>886</v>
      </c>
    </row>
    <row r="53" spans="1:7" ht="28">
      <c r="A53" s="21">
        <v>2029</v>
      </c>
      <c r="B53" s="21" t="s">
        <v>843</v>
      </c>
      <c r="C53" s="19" t="s">
        <v>106</v>
      </c>
      <c r="D53" s="19" t="s">
        <v>849</v>
      </c>
      <c r="E53" s="21" t="s">
        <v>866</v>
      </c>
      <c r="F53" s="19"/>
      <c r="G53" s="18" t="s">
        <v>886</v>
      </c>
    </row>
    <row r="54" spans="1:7" ht="28">
      <c r="A54" s="21">
        <v>2029</v>
      </c>
      <c r="B54" s="21" t="s">
        <v>843</v>
      </c>
      <c r="C54" s="19" t="s">
        <v>106</v>
      </c>
      <c r="D54" s="19" t="s">
        <v>849</v>
      </c>
      <c r="E54" s="21" t="s">
        <v>867</v>
      </c>
      <c r="F54" s="19"/>
      <c r="G54" s="18" t="s">
        <v>886</v>
      </c>
    </row>
    <row r="55" spans="1:7" ht="28">
      <c r="A55" s="21">
        <v>2029</v>
      </c>
      <c r="B55" s="21" t="s">
        <v>843</v>
      </c>
      <c r="C55" s="19" t="s">
        <v>106</v>
      </c>
      <c r="D55" s="19" t="s">
        <v>849</v>
      </c>
      <c r="E55" s="21" t="s">
        <v>868</v>
      </c>
      <c r="F55" s="19"/>
      <c r="G55" s="18" t="s">
        <v>886</v>
      </c>
    </row>
    <row r="56" spans="1:7" ht="28">
      <c r="A56" s="21">
        <v>2029</v>
      </c>
      <c r="B56" s="21" t="s">
        <v>843</v>
      </c>
      <c r="C56" s="19" t="s">
        <v>106</v>
      </c>
      <c r="D56" s="19" t="s">
        <v>849</v>
      </c>
      <c r="E56" s="21" t="s">
        <v>869</v>
      </c>
      <c r="F56" s="19"/>
      <c r="G56" s="18" t="s">
        <v>886</v>
      </c>
    </row>
    <row r="57" spans="1:7" ht="28">
      <c r="A57" s="21">
        <v>2029</v>
      </c>
      <c r="B57" s="21" t="s">
        <v>843</v>
      </c>
      <c r="C57" s="19" t="s">
        <v>106</v>
      </c>
      <c r="D57" s="19" t="s">
        <v>849</v>
      </c>
      <c r="E57" s="21" t="s">
        <v>870</v>
      </c>
      <c r="F57" s="19"/>
      <c r="G57" s="18" t="s">
        <v>886</v>
      </c>
    </row>
    <row r="58" spans="1:7" ht="28">
      <c r="A58" s="21">
        <v>2029</v>
      </c>
      <c r="B58" s="21" t="s">
        <v>843</v>
      </c>
      <c r="C58" s="19" t="s">
        <v>106</v>
      </c>
      <c r="D58" s="19" t="s">
        <v>849</v>
      </c>
      <c r="E58" s="21" t="s">
        <v>871</v>
      </c>
      <c r="F58" s="19"/>
      <c r="G58" s="18" t="s">
        <v>886</v>
      </c>
    </row>
    <row r="59" spans="1:7" ht="28">
      <c r="A59" s="21">
        <v>2029</v>
      </c>
      <c r="B59" s="21" t="s">
        <v>843</v>
      </c>
      <c r="C59" s="19" t="s">
        <v>106</v>
      </c>
      <c r="D59" s="19" t="s">
        <v>849</v>
      </c>
      <c r="E59" s="21" t="s">
        <v>872</v>
      </c>
      <c r="F59" s="19"/>
      <c r="G59" s="18" t="s">
        <v>886</v>
      </c>
    </row>
    <row r="60" spans="1:7" ht="28">
      <c r="A60" s="21">
        <v>2029</v>
      </c>
      <c r="B60" s="21" t="s">
        <v>843</v>
      </c>
      <c r="C60" s="19" t="s">
        <v>106</v>
      </c>
      <c r="D60" s="19" t="s">
        <v>849</v>
      </c>
      <c r="E60" s="21" t="s">
        <v>873</v>
      </c>
      <c r="F60" s="19"/>
      <c r="G60" s="18" t="s">
        <v>886</v>
      </c>
    </row>
    <row r="61" spans="1:7" ht="28">
      <c r="A61" s="21">
        <v>2029</v>
      </c>
      <c r="B61" s="21" t="s">
        <v>843</v>
      </c>
      <c r="C61" s="19" t="s">
        <v>106</v>
      </c>
      <c r="D61" s="19" t="s">
        <v>849</v>
      </c>
      <c r="E61" s="21" t="s">
        <v>874</v>
      </c>
      <c r="F61" s="19"/>
      <c r="G61" s="18" t="s">
        <v>886</v>
      </c>
    </row>
    <row r="62" spans="1:7" ht="28">
      <c r="A62" s="21">
        <v>2029</v>
      </c>
      <c r="B62" s="21" t="s">
        <v>843</v>
      </c>
      <c r="C62" s="19" t="s">
        <v>106</v>
      </c>
      <c r="D62" s="19" t="s">
        <v>849</v>
      </c>
      <c r="E62" s="21" t="s">
        <v>875</v>
      </c>
      <c r="F62" s="19"/>
      <c r="G62" s="18" t="s">
        <v>886</v>
      </c>
    </row>
    <row r="63" spans="1:7" ht="28">
      <c r="A63" s="21">
        <v>2029</v>
      </c>
      <c r="B63" s="21" t="s">
        <v>843</v>
      </c>
      <c r="C63" s="19" t="s">
        <v>106</v>
      </c>
      <c r="D63" s="19" t="s">
        <v>849</v>
      </c>
      <c r="E63" s="21" t="s">
        <v>877</v>
      </c>
      <c r="F63" s="19"/>
      <c r="G63" s="18" t="s">
        <v>886</v>
      </c>
    </row>
    <row r="64" spans="1:7" ht="28">
      <c r="A64" s="21">
        <v>2029</v>
      </c>
      <c r="B64" s="21" t="s">
        <v>843</v>
      </c>
      <c r="C64" s="19" t="s">
        <v>106</v>
      </c>
      <c r="D64" s="19" t="s">
        <v>849</v>
      </c>
      <c r="E64" s="21" t="s">
        <v>878</v>
      </c>
      <c r="F64" s="19"/>
      <c r="G64" s="18" t="s">
        <v>886</v>
      </c>
    </row>
    <row r="65" spans="1:7" ht="28">
      <c r="A65" s="21">
        <v>2029</v>
      </c>
      <c r="B65" s="21" t="s">
        <v>843</v>
      </c>
      <c r="C65" s="19" t="s">
        <v>106</v>
      </c>
      <c r="D65" s="19" t="s">
        <v>849</v>
      </c>
      <c r="E65" s="21" t="s">
        <v>879</v>
      </c>
      <c r="F65" s="19"/>
      <c r="G65" s="18" t="s">
        <v>886</v>
      </c>
    </row>
    <row r="66" spans="1:7" ht="28">
      <c r="A66" s="21">
        <v>2029</v>
      </c>
      <c r="B66" s="21" t="s">
        <v>843</v>
      </c>
      <c r="C66" s="19" t="s">
        <v>106</v>
      </c>
      <c r="D66" s="19" t="s">
        <v>849</v>
      </c>
      <c r="E66" s="21" t="s">
        <v>880</v>
      </c>
      <c r="F66" s="19"/>
      <c r="G66" s="18" t="s">
        <v>886</v>
      </c>
    </row>
    <row r="67" spans="1:7" ht="28">
      <c r="A67" s="21">
        <v>2029</v>
      </c>
      <c r="B67" s="21" t="s">
        <v>843</v>
      </c>
      <c r="C67" s="19" t="s">
        <v>106</v>
      </c>
      <c r="D67" s="19" t="s">
        <v>849</v>
      </c>
      <c r="E67" s="21" t="s">
        <v>881</v>
      </c>
      <c r="F67" s="19"/>
      <c r="G67" s="18" t="s">
        <v>886</v>
      </c>
    </row>
  </sheetData>
  <dataValidations count="2">
    <dataValidation type="list" sqref="B2:B201 C2:C200" xr:uid="{00000000-0002-0000-1500-000000000000}">
      <formula1>"Posgrado,Ejecutivo"</formula1>
    </dataValidation>
    <dataValidation type="list" sqref="C2:C201 D2:D200" xr:uid="{00000000-0002-0000-1500-000001000000}">
      <formula1>"Síncrono,Asíncrono"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5"/>
  <sheetViews>
    <sheetView workbookViewId="0">
      <selection sqref="A1:C1"/>
    </sheetView>
  </sheetViews>
  <sheetFormatPr baseColWidth="10" defaultColWidth="8.6640625" defaultRowHeight="14"/>
  <cols>
    <col min="1" max="1" width="33.6640625" customWidth="1"/>
    <col min="2" max="2" width="124.75" customWidth="1"/>
    <col min="3" max="3" width="11.6640625" customWidth="1"/>
    <col min="4" max="4" width="107.75" customWidth="1"/>
  </cols>
  <sheetData>
    <row r="1" spans="1:4" ht="18">
      <c r="A1" s="104" t="s">
        <v>887</v>
      </c>
      <c r="B1" s="104"/>
      <c r="C1" s="104"/>
      <c r="D1" s="48"/>
    </row>
    <row r="2" spans="1:4">
      <c r="A2" s="19" t="s">
        <v>888</v>
      </c>
      <c r="B2" s="19" t="s">
        <v>889</v>
      </c>
      <c r="C2" s="19"/>
      <c r="D2" s="18"/>
    </row>
    <row r="3" spans="1:4" ht="28">
      <c r="A3" s="19" t="s">
        <v>890</v>
      </c>
      <c r="B3" s="19" t="s">
        <v>891</v>
      </c>
      <c r="C3" s="19"/>
      <c r="D3" s="18"/>
    </row>
    <row r="4" spans="1:4">
      <c r="A4" s="46"/>
      <c r="B4" s="46"/>
      <c r="C4" s="46"/>
      <c r="D4" s="18"/>
    </row>
    <row r="5" spans="1:4">
      <c r="A5" s="19" t="s">
        <v>2</v>
      </c>
      <c r="B5" s="19" t="s">
        <v>892</v>
      </c>
      <c r="C5" s="19" t="s">
        <v>893</v>
      </c>
      <c r="D5" s="18" t="s">
        <v>709</v>
      </c>
    </row>
    <row r="6" spans="1:4">
      <c r="A6" s="19" t="s">
        <v>894</v>
      </c>
      <c r="B6" s="19" t="s">
        <v>895</v>
      </c>
      <c r="C6" s="19" t="s">
        <v>7</v>
      </c>
      <c r="D6" s="18" t="s">
        <v>896</v>
      </c>
    </row>
    <row r="7" spans="1:4">
      <c r="A7" s="19" t="s">
        <v>897</v>
      </c>
      <c r="B7" s="19" t="s">
        <v>898</v>
      </c>
      <c r="C7" s="19" t="s">
        <v>7</v>
      </c>
      <c r="D7" s="18" t="s">
        <v>899</v>
      </c>
    </row>
    <row r="8" spans="1:4" ht="28">
      <c r="A8" s="19" t="s">
        <v>900</v>
      </c>
      <c r="B8" s="19" t="s">
        <v>901</v>
      </c>
      <c r="C8" s="19" t="s">
        <v>902</v>
      </c>
      <c r="D8" s="18" t="s">
        <v>903</v>
      </c>
    </row>
    <row r="9" spans="1:4">
      <c r="A9" s="19" t="s">
        <v>904</v>
      </c>
      <c r="B9" s="19" t="s">
        <v>905</v>
      </c>
      <c r="C9" s="19" t="s">
        <v>906</v>
      </c>
      <c r="D9" s="18" t="s">
        <v>907</v>
      </c>
    </row>
    <row r="10" spans="1:4">
      <c r="A10" s="19" t="s">
        <v>908</v>
      </c>
      <c r="B10" s="19" t="s">
        <v>909</v>
      </c>
      <c r="C10" s="19" t="s">
        <v>7</v>
      </c>
      <c r="D10" s="18" t="s">
        <v>910</v>
      </c>
    </row>
    <row r="11" spans="1:4">
      <c r="A11" s="18" t="s">
        <v>911</v>
      </c>
      <c r="B11" s="18" t="s">
        <v>912</v>
      </c>
      <c r="C11" s="18" t="s">
        <v>7</v>
      </c>
      <c r="D11" s="18" t="s">
        <v>913</v>
      </c>
    </row>
    <row r="12" spans="1:4" ht="28">
      <c r="A12" s="18" t="s">
        <v>914</v>
      </c>
      <c r="B12" s="18" t="s">
        <v>915</v>
      </c>
      <c r="C12" s="18" t="s">
        <v>916</v>
      </c>
      <c r="D12" s="18" t="s">
        <v>917</v>
      </c>
    </row>
    <row r="13" spans="1:4">
      <c r="A13" s="18"/>
      <c r="B13" s="18"/>
      <c r="C13" s="18"/>
      <c r="D13" s="18"/>
    </row>
    <row r="14" spans="1:4">
      <c r="A14" s="18" t="s">
        <v>918</v>
      </c>
      <c r="B14" s="18" t="s">
        <v>919</v>
      </c>
      <c r="C14" s="18"/>
      <c r="D14" s="18"/>
    </row>
    <row r="15" spans="1:4">
      <c r="A15" s="18" t="s">
        <v>920</v>
      </c>
      <c r="B15" s="18" t="s">
        <v>921</v>
      </c>
      <c r="C15" s="18"/>
      <c r="D15" s="18"/>
    </row>
  </sheetData>
  <mergeCells count="1">
    <mergeCell ref="A1: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7"/>
  <sheetViews>
    <sheetView workbookViewId="0"/>
  </sheetViews>
  <sheetFormatPr baseColWidth="10" defaultColWidth="8.6640625" defaultRowHeight="14"/>
  <cols>
    <col min="1" max="1" width="14" customWidth="1"/>
    <col min="2" max="4" width="16" customWidth="1"/>
    <col min="5" max="5" width="12" customWidth="1"/>
    <col min="6" max="6" width="11.9140625" customWidth="1"/>
    <col min="7" max="7" width="12.9140625" customWidth="1"/>
    <col min="8" max="8" width="50" customWidth="1"/>
  </cols>
  <sheetData>
    <row r="1" spans="1:8" ht="28">
      <c r="A1" s="47" t="s">
        <v>882</v>
      </c>
      <c r="B1" s="47" t="s">
        <v>883</v>
      </c>
      <c r="C1" s="47" t="s">
        <v>37</v>
      </c>
      <c r="D1" s="47" t="s">
        <v>38</v>
      </c>
      <c r="E1" s="50" t="s">
        <v>922</v>
      </c>
      <c r="F1" s="50" t="s">
        <v>923</v>
      </c>
      <c r="G1" s="50" t="s">
        <v>924</v>
      </c>
      <c r="H1" s="47" t="s">
        <v>738</v>
      </c>
    </row>
    <row r="2" spans="1:8" ht="28">
      <c r="A2" s="18">
        <v>2026</v>
      </c>
      <c r="B2" s="18" t="s">
        <v>843</v>
      </c>
      <c r="C2" s="18" t="s">
        <v>105</v>
      </c>
      <c r="D2" s="18" t="s">
        <v>844</v>
      </c>
      <c r="E2" s="18"/>
      <c r="F2" s="18"/>
      <c r="G2" s="18"/>
      <c r="H2" s="18" t="s">
        <v>925</v>
      </c>
    </row>
    <row r="3" spans="1:8" ht="28">
      <c r="A3" s="18">
        <v>2026</v>
      </c>
      <c r="B3" s="18" t="s">
        <v>843</v>
      </c>
      <c r="C3" s="18" t="s">
        <v>105</v>
      </c>
      <c r="D3" s="18" t="s">
        <v>849</v>
      </c>
      <c r="E3" s="18"/>
      <c r="F3" s="18"/>
      <c r="G3" s="18"/>
      <c r="H3" s="18" t="s">
        <v>925</v>
      </c>
    </row>
    <row r="4" spans="1:8" ht="28">
      <c r="A4" s="18">
        <v>2026</v>
      </c>
      <c r="B4" s="18" t="s">
        <v>843</v>
      </c>
      <c r="C4" s="18" t="s">
        <v>106</v>
      </c>
      <c r="D4" s="18" t="s">
        <v>844</v>
      </c>
      <c r="E4" s="18"/>
      <c r="F4" s="18"/>
      <c r="G4" s="18"/>
      <c r="H4" s="18" t="s">
        <v>925</v>
      </c>
    </row>
    <row r="5" spans="1:8" ht="28">
      <c r="A5" s="18">
        <v>2026</v>
      </c>
      <c r="B5" s="18" t="s">
        <v>843</v>
      </c>
      <c r="C5" s="18" t="s">
        <v>106</v>
      </c>
      <c r="D5" s="18" t="s">
        <v>849</v>
      </c>
      <c r="E5" s="18"/>
      <c r="F5" s="18"/>
      <c r="G5" s="18"/>
      <c r="H5" s="18" t="s">
        <v>925</v>
      </c>
    </row>
    <row r="6" spans="1:8" ht="28">
      <c r="A6" s="18">
        <v>2027</v>
      </c>
      <c r="B6" s="18" t="s">
        <v>843</v>
      </c>
      <c r="C6" s="18" t="s">
        <v>105</v>
      </c>
      <c r="D6" s="18" t="s">
        <v>844</v>
      </c>
      <c r="E6" s="18"/>
      <c r="F6" s="18"/>
      <c r="G6" s="18"/>
      <c r="H6" s="18" t="s">
        <v>925</v>
      </c>
    </row>
    <row r="7" spans="1:8" ht="28">
      <c r="A7" s="18">
        <v>2027</v>
      </c>
      <c r="B7" s="18" t="s">
        <v>843</v>
      </c>
      <c r="C7" s="18" t="s">
        <v>105</v>
      </c>
      <c r="D7" s="18" t="s">
        <v>849</v>
      </c>
      <c r="E7" s="18"/>
      <c r="F7" s="18"/>
      <c r="G7" s="18"/>
      <c r="H7" s="18" t="s">
        <v>925</v>
      </c>
    </row>
    <row r="8" spans="1:8" ht="28">
      <c r="A8" s="18">
        <v>2027</v>
      </c>
      <c r="B8" s="18" t="s">
        <v>843</v>
      </c>
      <c r="C8" s="18" t="s">
        <v>106</v>
      </c>
      <c r="D8" s="18" t="s">
        <v>844</v>
      </c>
      <c r="E8" s="18"/>
      <c r="F8" s="18"/>
      <c r="G8" s="18"/>
      <c r="H8" s="18" t="s">
        <v>925</v>
      </c>
    </row>
    <row r="9" spans="1:8" ht="28">
      <c r="A9" s="18">
        <v>2027</v>
      </c>
      <c r="B9" s="18" t="s">
        <v>843</v>
      </c>
      <c r="C9" s="18" t="s">
        <v>106</v>
      </c>
      <c r="D9" s="18" t="s">
        <v>849</v>
      </c>
      <c r="E9" s="18"/>
      <c r="F9" s="18"/>
      <c r="G9" s="18"/>
      <c r="H9" s="18" t="s">
        <v>925</v>
      </c>
    </row>
    <row r="10" spans="1:8" ht="28">
      <c r="A10" s="18">
        <v>2028</v>
      </c>
      <c r="B10" s="18" t="s">
        <v>843</v>
      </c>
      <c r="C10" s="18" t="s">
        <v>105</v>
      </c>
      <c r="D10" s="18" t="s">
        <v>844</v>
      </c>
      <c r="E10" s="18"/>
      <c r="F10" s="18"/>
      <c r="G10" s="18"/>
      <c r="H10" s="18" t="s">
        <v>925</v>
      </c>
    </row>
    <row r="11" spans="1:8" ht="28">
      <c r="A11" s="18">
        <v>2028</v>
      </c>
      <c r="B11" s="18" t="s">
        <v>843</v>
      </c>
      <c r="C11" s="18" t="s">
        <v>105</v>
      </c>
      <c r="D11" s="18" t="s">
        <v>849</v>
      </c>
      <c r="E11" s="18">
        <v>80</v>
      </c>
      <c r="F11" s="18">
        <v>0</v>
      </c>
      <c r="G11" s="18"/>
      <c r="H11" s="18" t="s">
        <v>925</v>
      </c>
    </row>
    <row r="12" spans="1:8" ht="28">
      <c r="A12" s="18">
        <v>2028</v>
      </c>
      <c r="B12" s="18" t="s">
        <v>843</v>
      </c>
      <c r="C12" s="18" t="s">
        <v>106</v>
      </c>
      <c r="D12" s="18" t="s">
        <v>844</v>
      </c>
      <c r="E12" s="18"/>
      <c r="F12" s="18"/>
      <c r="G12" s="18"/>
      <c r="H12" s="18" t="s">
        <v>925</v>
      </c>
    </row>
    <row r="13" spans="1:8" ht="28">
      <c r="A13" s="18">
        <v>2028</v>
      </c>
      <c r="B13" s="18" t="s">
        <v>843</v>
      </c>
      <c r="C13" s="18" t="s">
        <v>106</v>
      </c>
      <c r="D13" s="18" t="s">
        <v>849</v>
      </c>
      <c r="E13" s="18">
        <v>36</v>
      </c>
      <c r="F13" s="18">
        <v>0</v>
      </c>
      <c r="G13" s="18"/>
      <c r="H13" s="18" t="s">
        <v>925</v>
      </c>
    </row>
    <row r="14" spans="1:8" ht="28">
      <c r="A14" s="18">
        <v>2029</v>
      </c>
      <c r="B14" s="18" t="s">
        <v>843</v>
      </c>
      <c r="C14" s="18" t="s">
        <v>105</v>
      </c>
      <c r="D14" s="18" t="s">
        <v>844</v>
      </c>
      <c r="E14" s="18"/>
      <c r="F14" s="18"/>
      <c r="G14" s="18"/>
      <c r="H14" s="18" t="s">
        <v>925</v>
      </c>
    </row>
    <row r="15" spans="1:8" ht="28">
      <c r="A15" s="18">
        <v>2029</v>
      </c>
      <c r="B15" s="18" t="s">
        <v>843</v>
      </c>
      <c r="C15" s="18" t="s">
        <v>105</v>
      </c>
      <c r="D15" s="18" t="s">
        <v>849</v>
      </c>
      <c r="E15" s="18">
        <v>226</v>
      </c>
      <c r="F15" s="18">
        <v>301</v>
      </c>
      <c r="G15" s="18"/>
      <c r="H15" s="18" t="s">
        <v>925</v>
      </c>
    </row>
    <row r="16" spans="1:8" ht="28">
      <c r="A16" s="18">
        <v>2029</v>
      </c>
      <c r="B16" s="18" t="s">
        <v>843</v>
      </c>
      <c r="C16" s="18" t="s">
        <v>106</v>
      </c>
      <c r="D16" s="18" t="s">
        <v>844</v>
      </c>
      <c r="E16" s="18"/>
      <c r="F16" s="18"/>
      <c r="G16" s="18"/>
      <c r="H16" s="18" t="s">
        <v>925</v>
      </c>
    </row>
    <row r="17" spans="1:8" ht="28">
      <c r="A17" s="18">
        <v>2029</v>
      </c>
      <c r="B17" s="18" t="s">
        <v>843</v>
      </c>
      <c r="C17" s="18" t="s">
        <v>106</v>
      </c>
      <c r="D17" s="18" t="s">
        <v>849</v>
      </c>
      <c r="E17" s="18">
        <v>49</v>
      </c>
      <c r="F17" s="18">
        <v>134</v>
      </c>
      <c r="G17" s="18"/>
      <c r="H17" s="18" t="s">
        <v>925</v>
      </c>
    </row>
  </sheetData>
  <dataValidations count="2">
    <dataValidation type="list" sqref="C2:C100" xr:uid="{00000000-0002-0000-1700-000000000000}">
      <formula1>"Posgrado,Ejecutivo"</formula1>
    </dataValidation>
    <dataValidation type="list" sqref="D2:D100" xr:uid="{00000000-0002-0000-1700-000001000000}">
      <formula1>"Síncrono,Asíncrono"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1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 ht="28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926</v>
      </c>
      <c r="G1" s="52" t="s">
        <v>884</v>
      </c>
      <c r="H1" s="52" t="s">
        <v>885</v>
      </c>
      <c r="I1" s="52" t="s">
        <v>738</v>
      </c>
    </row>
    <row r="2" spans="1:9" ht="28">
      <c r="A2" s="18">
        <v>2025</v>
      </c>
      <c r="B2" s="18" t="s">
        <v>845</v>
      </c>
      <c r="C2" s="18">
        <v>2025</v>
      </c>
      <c r="D2" s="18" t="s">
        <v>106</v>
      </c>
      <c r="E2" s="18" t="s">
        <v>844</v>
      </c>
      <c r="F2" s="18" t="s">
        <v>927</v>
      </c>
      <c r="G2" s="18" t="s">
        <v>861</v>
      </c>
      <c r="H2" s="18">
        <v>708</v>
      </c>
      <c r="I2" s="18" t="s">
        <v>928</v>
      </c>
    </row>
    <row r="3" spans="1:9" ht="28">
      <c r="A3" s="18">
        <v>2025</v>
      </c>
      <c r="B3" s="18" t="s">
        <v>846</v>
      </c>
      <c r="C3" s="18">
        <v>2026</v>
      </c>
      <c r="D3" s="18" t="s">
        <v>106</v>
      </c>
      <c r="E3" s="18" t="s">
        <v>844</v>
      </c>
      <c r="F3" s="18" t="s">
        <v>927</v>
      </c>
      <c r="G3" s="18" t="s">
        <v>861</v>
      </c>
      <c r="H3" s="18">
        <v>550</v>
      </c>
      <c r="I3" s="18" t="s">
        <v>929</v>
      </c>
    </row>
    <row r="4" spans="1:9" ht="28">
      <c r="A4" s="18">
        <v>2025</v>
      </c>
      <c r="B4" s="18" t="s">
        <v>846</v>
      </c>
      <c r="C4" s="18">
        <v>2026</v>
      </c>
      <c r="D4" s="18" t="s">
        <v>106</v>
      </c>
      <c r="E4" s="18" t="s">
        <v>844</v>
      </c>
      <c r="F4" s="18" t="s">
        <v>927</v>
      </c>
      <c r="G4" s="18" t="s">
        <v>863</v>
      </c>
      <c r="H4" s="18">
        <v>450</v>
      </c>
      <c r="I4" s="18" t="s">
        <v>930</v>
      </c>
    </row>
    <row r="5" spans="1:9" ht="28">
      <c r="A5" s="18">
        <v>2025</v>
      </c>
      <c r="B5" s="18" t="s">
        <v>847</v>
      </c>
      <c r="C5" s="18">
        <v>2026</v>
      </c>
      <c r="D5" s="18" t="s">
        <v>106</v>
      </c>
      <c r="E5" s="18" t="s">
        <v>844</v>
      </c>
      <c r="F5" s="18" t="s">
        <v>927</v>
      </c>
      <c r="G5" s="18" t="s">
        <v>864</v>
      </c>
      <c r="H5" s="18">
        <v>368</v>
      </c>
      <c r="I5" s="18" t="s">
        <v>931</v>
      </c>
    </row>
    <row r="6" spans="1:9">
      <c r="A6" s="18">
        <v>2025</v>
      </c>
      <c r="B6" s="18" t="s">
        <v>847</v>
      </c>
      <c r="C6" s="18">
        <v>2026</v>
      </c>
      <c r="D6" s="18" t="s">
        <v>106</v>
      </c>
      <c r="E6" s="18" t="s">
        <v>844</v>
      </c>
      <c r="F6" s="18" t="s">
        <v>927</v>
      </c>
      <c r="G6" s="18" t="s">
        <v>863</v>
      </c>
      <c r="H6" s="18">
        <v>325</v>
      </c>
    </row>
    <row r="7" spans="1:9">
      <c r="A7" s="18">
        <v>2025</v>
      </c>
      <c r="B7" s="18" t="s">
        <v>847</v>
      </c>
      <c r="C7" s="18">
        <v>2026</v>
      </c>
      <c r="D7" s="18" t="s">
        <v>106</v>
      </c>
      <c r="E7" s="18" t="s">
        <v>844</v>
      </c>
      <c r="F7" s="18" t="s">
        <v>927</v>
      </c>
      <c r="G7" s="18" t="s">
        <v>861</v>
      </c>
      <c r="H7" s="18">
        <v>793</v>
      </c>
    </row>
    <row r="8" spans="1:9">
      <c r="A8" s="18">
        <v>2025</v>
      </c>
      <c r="B8" s="18" t="s">
        <v>848</v>
      </c>
      <c r="C8" s="18">
        <v>2026</v>
      </c>
      <c r="D8" s="18" t="s">
        <v>106</v>
      </c>
      <c r="E8" s="18" t="s">
        <v>844</v>
      </c>
      <c r="F8" s="18" t="s">
        <v>927</v>
      </c>
      <c r="G8" s="18" t="s">
        <v>865</v>
      </c>
      <c r="H8" s="18">
        <v>2</v>
      </c>
    </row>
    <row r="9" spans="1:9">
      <c r="A9" s="18">
        <v>2025</v>
      </c>
      <c r="B9" s="18" t="s">
        <v>848</v>
      </c>
      <c r="C9" s="18">
        <v>2026</v>
      </c>
      <c r="D9" s="18" t="s">
        <v>106</v>
      </c>
      <c r="E9" s="18" t="s">
        <v>844</v>
      </c>
      <c r="F9" s="18" t="s">
        <v>927</v>
      </c>
      <c r="G9" s="18" t="s">
        <v>864</v>
      </c>
      <c r="H9" s="18">
        <v>301</v>
      </c>
    </row>
    <row r="10" spans="1:9">
      <c r="A10" s="18">
        <v>2025</v>
      </c>
      <c r="B10" s="18" t="s">
        <v>848</v>
      </c>
      <c r="C10" s="18">
        <v>2026</v>
      </c>
      <c r="D10" s="18" t="s">
        <v>106</v>
      </c>
      <c r="E10" s="18" t="s">
        <v>844</v>
      </c>
      <c r="F10" s="18" t="s">
        <v>927</v>
      </c>
      <c r="G10" s="18" t="s">
        <v>863</v>
      </c>
      <c r="H10" s="18">
        <v>766</v>
      </c>
    </row>
    <row r="11" spans="1:9">
      <c r="A11" s="18">
        <v>2025</v>
      </c>
      <c r="B11" s="18" t="s">
        <v>848</v>
      </c>
      <c r="C11" s="18">
        <v>2026</v>
      </c>
      <c r="D11" s="18" t="s">
        <v>106</v>
      </c>
      <c r="E11" s="18" t="s">
        <v>844</v>
      </c>
      <c r="F11" s="18" t="s">
        <v>927</v>
      </c>
      <c r="G11" s="18" t="s">
        <v>861</v>
      </c>
      <c r="H11" s="18">
        <v>420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932</v>
      </c>
      <c r="G1" s="52" t="s">
        <v>933</v>
      </c>
      <c r="H1" s="52" t="s">
        <v>934</v>
      </c>
      <c r="I1" s="52" t="s">
        <v>738</v>
      </c>
    </row>
    <row r="2" spans="1:9" ht="28">
      <c r="A2" s="18">
        <v>2028</v>
      </c>
      <c r="B2" s="18" t="s">
        <v>846</v>
      </c>
      <c r="C2" s="18">
        <v>2029</v>
      </c>
      <c r="D2" s="18" t="s">
        <v>105</v>
      </c>
      <c r="E2" s="18" t="s">
        <v>849</v>
      </c>
      <c r="F2" s="18">
        <v>0</v>
      </c>
      <c r="G2" s="18">
        <v>0</v>
      </c>
      <c r="H2" s="18">
        <v>0</v>
      </c>
      <c r="I2" s="18" t="s">
        <v>935</v>
      </c>
    </row>
    <row r="3" spans="1:9">
      <c r="A3" s="18">
        <v>2028</v>
      </c>
      <c r="B3" s="18" t="s">
        <v>847</v>
      </c>
      <c r="C3" s="18">
        <v>2029</v>
      </c>
      <c r="D3" s="18" t="s">
        <v>105</v>
      </c>
      <c r="E3" s="18" t="s">
        <v>849</v>
      </c>
      <c r="F3" s="18">
        <v>0</v>
      </c>
      <c r="G3" s="18">
        <v>0</v>
      </c>
      <c r="H3" s="18">
        <v>0</v>
      </c>
      <c r="I3" s="18" t="s">
        <v>936</v>
      </c>
    </row>
    <row r="4" spans="1:9" ht="28">
      <c r="A4" s="18">
        <v>2028</v>
      </c>
      <c r="B4" s="18" t="s">
        <v>848</v>
      </c>
      <c r="C4" s="18">
        <v>2029</v>
      </c>
      <c r="D4" s="18" t="s">
        <v>105</v>
      </c>
      <c r="E4" s="18" t="s">
        <v>849</v>
      </c>
      <c r="F4" s="18">
        <v>0</v>
      </c>
      <c r="G4" s="18">
        <v>0</v>
      </c>
      <c r="H4" s="18">
        <v>0</v>
      </c>
      <c r="I4" s="18" t="s">
        <v>937</v>
      </c>
    </row>
    <row r="5" spans="1:9" ht="28">
      <c r="A5" s="18">
        <v>2029</v>
      </c>
      <c r="B5" s="18" t="s">
        <v>843</v>
      </c>
      <c r="C5" s="18">
        <v>2029</v>
      </c>
      <c r="D5" s="18" t="s">
        <v>106</v>
      </c>
      <c r="E5" s="18" t="s">
        <v>844</v>
      </c>
      <c r="F5" s="18">
        <v>0</v>
      </c>
      <c r="G5" s="18">
        <v>0</v>
      </c>
      <c r="H5" s="18">
        <v>0</v>
      </c>
      <c r="I5" s="18" t="s">
        <v>938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86" customWidth="1"/>
  </cols>
  <sheetData>
    <row r="1" spans="1:2">
      <c r="A1" s="53" t="s">
        <v>939</v>
      </c>
      <c r="B1" s="53" t="s">
        <v>940</v>
      </c>
    </row>
    <row r="2" spans="1:2" ht="28">
      <c r="A2" s="18" t="s">
        <v>941</v>
      </c>
      <c r="B2" s="18" t="s">
        <v>942</v>
      </c>
    </row>
    <row r="3" spans="1:2">
      <c r="A3" s="18" t="s">
        <v>943</v>
      </c>
      <c r="B3" s="18" t="s">
        <v>944</v>
      </c>
    </row>
    <row r="4" spans="1:2" ht="28">
      <c r="A4" s="18" t="s">
        <v>945</v>
      </c>
      <c r="B4" s="18" t="s">
        <v>946</v>
      </c>
    </row>
    <row r="5" spans="1:2" ht="28">
      <c r="A5" s="18" t="s">
        <v>947</v>
      </c>
      <c r="B5" s="18" t="s">
        <v>948</v>
      </c>
    </row>
    <row r="6" spans="1:2" ht="28">
      <c r="A6" s="18" t="s">
        <v>949</v>
      </c>
      <c r="B6" s="18" t="s">
        <v>950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5" t="s">
        <v>951</v>
      </c>
      <c r="B1" s="55" t="s">
        <v>940</v>
      </c>
    </row>
    <row r="2" spans="1:2" ht="28">
      <c r="A2" s="18" t="s">
        <v>952</v>
      </c>
      <c r="B2" s="18" t="s">
        <v>953</v>
      </c>
    </row>
    <row r="3" spans="1:2" ht="28">
      <c r="A3" s="18" t="s">
        <v>947</v>
      </c>
      <c r="B3" s="18" t="s">
        <v>954</v>
      </c>
    </row>
    <row r="4" spans="1:2" ht="28">
      <c r="A4" s="18" t="s">
        <v>955</v>
      </c>
      <c r="B4" s="18" t="s">
        <v>956</v>
      </c>
    </row>
    <row r="5" spans="1:2">
      <c r="A5" s="18" t="s">
        <v>957</v>
      </c>
      <c r="B5" s="18" t="s">
        <v>958</v>
      </c>
    </row>
    <row r="6" spans="1:2" ht="28">
      <c r="A6" s="18" t="s">
        <v>959</v>
      </c>
      <c r="B6" s="18" t="s">
        <v>960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6" t="s">
        <v>951</v>
      </c>
      <c r="B1" s="56" t="s">
        <v>940</v>
      </c>
    </row>
    <row r="2" spans="1:2">
      <c r="A2" s="18" t="s">
        <v>961</v>
      </c>
      <c r="B2" s="18" t="s">
        <v>962</v>
      </c>
    </row>
    <row r="3" spans="1:2">
      <c r="A3" s="18" t="s">
        <v>963</v>
      </c>
      <c r="B3" s="18" t="s">
        <v>964</v>
      </c>
    </row>
    <row r="4" spans="1:2">
      <c r="A4" s="18" t="s">
        <v>965</v>
      </c>
      <c r="B4" s="18" t="s">
        <v>966</v>
      </c>
    </row>
    <row r="5" spans="1:2">
      <c r="A5" s="18" t="s">
        <v>967</v>
      </c>
      <c r="B5" s="18" t="s">
        <v>968</v>
      </c>
    </row>
    <row r="6" spans="1:2">
      <c r="A6" s="18" t="s">
        <v>969</v>
      </c>
      <c r="B6" s="18" t="s">
        <v>970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6"/>
  <sheetViews>
    <sheetView workbookViewId="0"/>
  </sheetViews>
  <sheetFormatPr baseColWidth="10" defaultColWidth="8.6640625" defaultRowHeight="14"/>
  <cols>
    <col min="1" max="1" width="30" customWidth="1"/>
    <col min="2" max="2" width="95" customWidth="1"/>
  </cols>
  <sheetData>
    <row r="1" spans="1:2">
      <c r="A1" s="57" t="s">
        <v>951</v>
      </c>
      <c r="B1" s="57" t="s">
        <v>940</v>
      </c>
    </row>
    <row r="2" spans="1:2">
      <c r="A2" s="18" t="s">
        <v>971</v>
      </c>
      <c r="B2" s="18" t="s">
        <v>972</v>
      </c>
    </row>
    <row r="3" spans="1:2" ht="28">
      <c r="A3" s="18" t="s">
        <v>973</v>
      </c>
      <c r="B3" s="18" t="s">
        <v>974</v>
      </c>
    </row>
    <row r="4" spans="1:2" ht="28">
      <c r="A4" s="18" t="s">
        <v>975</v>
      </c>
      <c r="B4" s="18" t="s">
        <v>976</v>
      </c>
    </row>
    <row r="5" spans="1:2">
      <c r="A5" s="18" t="s">
        <v>977</v>
      </c>
      <c r="B5" s="18" t="s">
        <v>978</v>
      </c>
    </row>
    <row r="6" spans="1:2">
      <c r="A6" s="18" t="s">
        <v>979</v>
      </c>
      <c r="B6" s="18" t="s">
        <v>980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8" t="s">
        <v>951</v>
      </c>
      <c r="B1" s="58" t="s">
        <v>940</v>
      </c>
    </row>
    <row r="2" spans="1:2">
      <c r="A2" s="18" t="s">
        <v>981</v>
      </c>
      <c r="B2" s="18" t="s">
        <v>982</v>
      </c>
    </row>
    <row r="3" spans="1:2">
      <c r="A3" s="18" t="s">
        <v>983</v>
      </c>
      <c r="B3" s="18" t="s">
        <v>984</v>
      </c>
    </row>
    <row r="4" spans="1:2">
      <c r="A4" s="18" t="s">
        <v>985</v>
      </c>
      <c r="B4" s="18" t="s">
        <v>986</v>
      </c>
    </row>
    <row r="5" spans="1:2">
      <c r="A5" s="18" t="s">
        <v>987</v>
      </c>
      <c r="B5" s="18" t="s">
        <v>988</v>
      </c>
    </row>
    <row r="6" spans="1:2">
      <c r="A6" s="18" t="s">
        <v>989</v>
      </c>
      <c r="B6" s="18" t="s">
        <v>990</v>
      </c>
    </row>
    <row r="7" spans="1:2">
      <c r="A7" s="18" t="s">
        <v>991</v>
      </c>
      <c r="B7" s="18" t="s">
        <v>992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9" t="s">
        <v>951</v>
      </c>
      <c r="B1" s="59" t="s">
        <v>940</v>
      </c>
    </row>
    <row r="2" spans="1:2" ht="28">
      <c r="A2" s="18" t="s">
        <v>993</v>
      </c>
      <c r="B2" s="18" t="s">
        <v>994</v>
      </c>
    </row>
    <row r="3" spans="1:2">
      <c r="A3" s="18" t="s">
        <v>959</v>
      </c>
      <c r="B3" s="18" t="s">
        <v>995</v>
      </c>
    </row>
    <row r="4" spans="1:2" ht="28">
      <c r="A4" s="18" t="s">
        <v>996</v>
      </c>
      <c r="B4" s="18" t="s">
        <v>997</v>
      </c>
    </row>
    <row r="5" spans="1:2">
      <c r="A5" s="18" t="s">
        <v>998</v>
      </c>
      <c r="B5" s="18" t="s">
        <v>999</v>
      </c>
    </row>
    <row r="6" spans="1:2">
      <c r="A6" s="18" t="s">
        <v>844</v>
      </c>
      <c r="B6" s="18" t="s">
        <v>1000</v>
      </c>
    </row>
    <row r="7" spans="1:2">
      <c r="A7" s="18" t="s">
        <v>849</v>
      </c>
      <c r="B7" s="18" t="s">
        <v>1001</v>
      </c>
    </row>
    <row r="8" spans="1:2">
      <c r="A8" s="18" t="s">
        <v>130</v>
      </c>
      <c r="B8" s="18" t="s">
        <v>1002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0" t="s">
        <v>951</v>
      </c>
      <c r="B1" s="60" t="s">
        <v>940</v>
      </c>
    </row>
    <row r="2" spans="1:2">
      <c r="A2" s="18" t="s">
        <v>1003</v>
      </c>
      <c r="B2" s="18" t="s">
        <v>1004</v>
      </c>
    </row>
    <row r="3" spans="1:2">
      <c r="A3" s="18" t="s">
        <v>993</v>
      </c>
      <c r="B3" s="18" t="s">
        <v>1005</v>
      </c>
    </row>
    <row r="4" spans="1:2">
      <c r="A4" s="18" t="s">
        <v>959</v>
      </c>
      <c r="B4" s="18" t="s">
        <v>1006</v>
      </c>
    </row>
    <row r="5" spans="1:2">
      <c r="A5" s="18" t="s">
        <v>981</v>
      </c>
      <c r="B5" s="18" t="s">
        <v>1007</v>
      </c>
    </row>
    <row r="6" spans="1:2">
      <c r="A6" s="18" t="s">
        <v>1008</v>
      </c>
      <c r="B6" s="18" t="s">
        <v>1009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1" t="s">
        <v>951</v>
      </c>
      <c r="B1" s="61" t="s">
        <v>940</v>
      </c>
    </row>
    <row r="2" spans="1:2">
      <c r="A2" s="18" t="s">
        <v>1010</v>
      </c>
      <c r="B2" s="18" t="s">
        <v>1011</v>
      </c>
    </row>
    <row r="3" spans="1:2">
      <c r="A3" s="18" t="s">
        <v>1012</v>
      </c>
      <c r="B3" s="18" t="s">
        <v>1013</v>
      </c>
    </row>
    <row r="4" spans="1:2">
      <c r="A4" s="18" t="s">
        <v>1014</v>
      </c>
      <c r="B4" s="18" t="s">
        <v>1015</v>
      </c>
    </row>
    <row r="5" spans="1:2">
      <c r="A5" s="18" t="s">
        <v>1016</v>
      </c>
      <c r="B5" s="18" t="s">
        <v>1017</v>
      </c>
    </row>
    <row r="6" spans="1:2">
      <c r="A6" s="18" t="s">
        <v>998</v>
      </c>
      <c r="B6" s="18" t="s">
        <v>1018</v>
      </c>
    </row>
    <row r="7" spans="1:2">
      <c r="A7" s="18" t="s">
        <v>1019</v>
      </c>
      <c r="B7" s="18" t="s">
        <v>1020</v>
      </c>
    </row>
    <row r="8" spans="1:2">
      <c r="A8" s="18" t="s">
        <v>1021</v>
      </c>
      <c r="B8" s="18" t="s">
        <v>1022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8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2" t="s">
        <v>951</v>
      </c>
      <c r="B1" s="62" t="s">
        <v>940</v>
      </c>
    </row>
    <row r="2" spans="1:2">
      <c r="A2" s="18" t="s">
        <v>1023</v>
      </c>
      <c r="B2" s="18" t="s">
        <v>1024</v>
      </c>
    </row>
    <row r="3" spans="1:2" ht="28">
      <c r="A3" s="18" t="s">
        <v>1025</v>
      </c>
      <c r="B3" s="18" t="s">
        <v>1026</v>
      </c>
    </row>
    <row r="4" spans="1:2">
      <c r="A4" s="18" t="s">
        <v>1027</v>
      </c>
      <c r="B4" s="18" t="s">
        <v>1028</v>
      </c>
    </row>
    <row r="5" spans="1:2">
      <c r="A5" s="18" t="s">
        <v>1029</v>
      </c>
      <c r="B5" s="18" t="s">
        <v>1030</v>
      </c>
    </row>
    <row r="6" spans="1:2">
      <c r="A6" s="18" t="s">
        <v>998</v>
      </c>
      <c r="B6" s="18" t="s">
        <v>1031</v>
      </c>
    </row>
    <row r="7" spans="1:2">
      <c r="A7" s="18" t="s">
        <v>1032</v>
      </c>
      <c r="B7" s="18" t="s">
        <v>1033</v>
      </c>
    </row>
    <row r="8" spans="1:2">
      <c r="A8" s="18" t="s">
        <v>1034</v>
      </c>
      <c r="B8" s="18" t="s">
        <v>1035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3" t="s">
        <v>951</v>
      </c>
      <c r="B1" s="63" t="s">
        <v>940</v>
      </c>
    </row>
    <row r="2" spans="1:2">
      <c r="A2" s="18" t="s">
        <v>1036</v>
      </c>
      <c r="B2" s="18" t="s">
        <v>1037</v>
      </c>
    </row>
    <row r="3" spans="1:2">
      <c r="A3" s="18" t="s">
        <v>1038</v>
      </c>
      <c r="B3" s="18" t="s">
        <v>1039</v>
      </c>
    </row>
    <row r="4" spans="1:2">
      <c r="A4" s="18" t="s">
        <v>1040</v>
      </c>
      <c r="B4" s="18" t="s">
        <v>1041</v>
      </c>
    </row>
    <row r="5" spans="1:2">
      <c r="A5" s="18" t="s">
        <v>1029</v>
      </c>
      <c r="B5" s="18" t="s">
        <v>1042</v>
      </c>
    </row>
    <row r="6" spans="1:2">
      <c r="A6" s="18" t="s">
        <v>1043</v>
      </c>
      <c r="B6" s="18" t="s">
        <v>1044</v>
      </c>
    </row>
    <row r="7" spans="1:2">
      <c r="A7" s="18" t="s">
        <v>1045</v>
      </c>
      <c r="B7" s="18" t="s">
        <v>1046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F20"/>
  <sheetViews>
    <sheetView workbookViewId="0"/>
  </sheetViews>
  <sheetFormatPr baseColWidth="10" defaultColWidth="8.6640625" defaultRowHeight="14"/>
  <cols>
    <col min="1" max="1" width="16" customWidth="1"/>
    <col min="2" max="5" width="24" customWidth="1"/>
    <col min="6" max="6" width="74" customWidth="1"/>
  </cols>
  <sheetData>
    <row r="1" spans="1:6" ht="28">
      <c r="A1" s="86" t="s">
        <v>840</v>
      </c>
      <c r="B1" s="86" t="s">
        <v>791</v>
      </c>
      <c r="C1" s="86" t="s">
        <v>1253</v>
      </c>
      <c r="D1" s="86" t="s">
        <v>795</v>
      </c>
      <c r="E1" s="86" t="s">
        <v>1254</v>
      </c>
      <c r="F1" s="86" t="s">
        <v>738</v>
      </c>
    </row>
    <row r="2" spans="1:6">
      <c r="A2" s="18">
        <v>2027</v>
      </c>
      <c r="B2" s="49" t="s">
        <v>1255</v>
      </c>
      <c r="C2" s="49" t="s">
        <v>792</v>
      </c>
      <c r="D2" s="49" t="s">
        <v>1255</v>
      </c>
      <c r="E2" s="49" t="s">
        <v>792</v>
      </c>
      <c r="F2" s="18" t="s">
        <v>1256</v>
      </c>
    </row>
    <row r="3" spans="1:6">
      <c r="A3" s="18">
        <v>2028</v>
      </c>
      <c r="B3" s="49" t="s">
        <v>1255</v>
      </c>
      <c r="C3" s="49" t="s">
        <v>792</v>
      </c>
      <c r="D3" s="49" t="s">
        <v>1255</v>
      </c>
      <c r="E3" s="49" t="s">
        <v>792</v>
      </c>
      <c r="F3" s="18" t="s">
        <v>1256</v>
      </c>
    </row>
    <row r="4" spans="1:6">
      <c r="A4" s="18">
        <v>2029</v>
      </c>
      <c r="B4" s="49" t="s">
        <v>1255</v>
      </c>
      <c r="C4" s="49" t="s">
        <v>792</v>
      </c>
      <c r="D4" s="49" t="s">
        <v>1255</v>
      </c>
      <c r="E4" s="49" t="s">
        <v>792</v>
      </c>
      <c r="F4" s="18" t="s">
        <v>1256</v>
      </c>
    </row>
    <row r="5" spans="1:6">
      <c r="A5" s="18">
        <v>2030</v>
      </c>
      <c r="B5" s="49" t="s">
        <v>792</v>
      </c>
      <c r="C5" s="49" t="s">
        <v>1255</v>
      </c>
      <c r="D5" s="49" t="s">
        <v>792</v>
      </c>
      <c r="E5" s="49" t="s">
        <v>1255</v>
      </c>
      <c r="F5" s="18" t="s">
        <v>1257</v>
      </c>
    </row>
    <row r="6" spans="1:6">
      <c r="A6" s="18">
        <v>2031</v>
      </c>
      <c r="B6" s="49" t="s">
        <v>792</v>
      </c>
      <c r="C6" s="49" t="s">
        <v>1255</v>
      </c>
      <c r="D6" s="49" t="s">
        <v>792</v>
      </c>
      <c r="E6" s="49" t="s">
        <v>1255</v>
      </c>
      <c r="F6" s="18" t="s">
        <v>1257</v>
      </c>
    </row>
    <row r="7" spans="1:6">
      <c r="A7" s="18">
        <v>2032</v>
      </c>
      <c r="B7" s="49" t="s">
        <v>792</v>
      </c>
      <c r="C7" s="49" t="s">
        <v>1255</v>
      </c>
      <c r="D7" s="49" t="s">
        <v>792</v>
      </c>
      <c r="E7" s="49" t="s">
        <v>1255</v>
      </c>
      <c r="F7" s="18" t="s">
        <v>1257</v>
      </c>
    </row>
    <row r="8" spans="1:6">
      <c r="A8" s="18">
        <v>2033</v>
      </c>
      <c r="B8" s="49" t="s">
        <v>792</v>
      </c>
      <c r="C8" s="49" t="s">
        <v>1255</v>
      </c>
      <c r="D8" s="49" t="s">
        <v>792</v>
      </c>
      <c r="E8" s="49" t="s">
        <v>1255</v>
      </c>
      <c r="F8" s="18" t="s">
        <v>1257</v>
      </c>
    </row>
    <row r="9" spans="1:6">
      <c r="A9" s="18">
        <v>2034</v>
      </c>
      <c r="B9" s="49" t="s">
        <v>792</v>
      </c>
      <c r="C9" s="49" t="s">
        <v>1255</v>
      </c>
      <c r="D9" s="49" t="s">
        <v>792</v>
      </c>
      <c r="E9" s="49" t="s">
        <v>1255</v>
      </c>
      <c r="F9" s="18" t="s">
        <v>1257</v>
      </c>
    </row>
    <row r="10" spans="1:6">
      <c r="A10" s="18">
        <v>2035</v>
      </c>
      <c r="B10" s="49" t="s">
        <v>792</v>
      </c>
      <c r="C10" s="49" t="s">
        <v>1255</v>
      </c>
      <c r="D10" s="49" t="s">
        <v>792</v>
      </c>
      <c r="E10" s="49" t="s">
        <v>1255</v>
      </c>
      <c r="F10" s="18" t="s">
        <v>1257</v>
      </c>
    </row>
    <row r="11" spans="1:6">
      <c r="A11" s="18">
        <v>2036</v>
      </c>
      <c r="B11" s="49" t="s">
        <v>792</v>
      </c>
      <c r="C11" s="49" t="s">
        <v>1255</v>
      </c>
      <c r="D11" s="49" t="s">
        <v>792</v>
      </c>
      <c r="E11" s="49" t="s">
        <v>1255</v>
      </c>
      <c r="F11" s="18" t="s">
        <v>1257</v>
      </c>
    </row>
    <row r="12" spans="1:6">
      <c r="A12" s="18">
        <v>2037</v>
      </c>
      <c r="B12" s="49" t="s">
        <v>792</v>
      </c>
      <c r="C12" s="49" t="s">
        <v>1255</v>
      </c>
      <c r="D12" s="49" t="s">
        <v>792</v>
      </c>
      <c r="E12" s="49" t="s">
        <v>1255</v>
      </c>
      <c r="F12" s="18" t="s">
        <v>1257</v>
      </c>
    </row>
    <row r="13" spans="1:6">
      <c r="A13" s="18">
        <v>2038</v>
      </c>
      <c r="B13" s="49" t="s">
        <v>792</v>
      </c>
      <c r="C13" s="49" t="s">
        <v>1255</v>
      </c>
      <c r="D13" s="49" t="s">
        <v>792</v>
      </c>
      <c r="E13" s="49" t="s">
        <v>1255</v>
      </c>
      <c r="F13" s="18" t="s">
        <v>1257</v>
      </c>
    </row>
    <row r="14" spans="1:6">
      <c r="A14" s="18">
        <v>2039</v>
      </c>
      <c r="B14" s="49" t="s">
        <v>792</v>
      </c>
      <c r="C14" s="49" t="s">
        <v>1255</v>
      </c>
      <c r="D14" s="49" t="s">
        <v>792</v>
      </c>
      <c r="E14" s="49" t="s">
        <v>1255</v>
      </c>
      <c r="F14" s="18" t="s">
        <v>1257</v>
      </c>
    </row>
    <row r="15" spans="1:6">
      <c r="A15" s="18">
        <v>2040</v>
      </c>
      <c r="B15" s="49" t="s">
        <v>792</v>
      </c>
      <c r="C15" s="49" t="s">
        <v>1255</v>
      </c>
      <c r="D15" s="49" t="s">
        <v>792</v>
      </c>
      <c r="E15" s="49" t="s">
        <v>1255</v>
      </c>
      <c r="F15" s="18" t="s">
        <v>1257</v>
      </c>
    </row>
    <row r="16" spans="1:6">
      <c r="A16" s="18">
        <v>2041</v>
      </c>
      <c r="B16" s="49" t="s">
        <v>792</v>
      </c>
      <c r="C16" s="49" t="s">
        <v>1255</v>
      </c>
      <c r="D16" s="49" t="s">
        <v>792</v>
      </c>
      <c r="E16" s="49" t="s">
        <v>1255</v>
      </c>
      <c r="F16" s="18" t="s">
        <v>1257</v>
      </c>
    </row>
    <row r="17" spans="1:6">
      <c r="A17" s="18">
        <v>2042</v>
      </c>
      <c r="B17" s="49" t="s">
        <v>792</v>
      </c>
      <c r="C17" s="49" t="s">
        <v>1255</v>
      </c>
      <c r="D17" s="49" t="s">
        <v>792</v>
      </c>
      <c r="E17" s="49" t="s">
        <v>1255</v>
      </c>
      <c r="F17" s="18" t="s">
        <v>1257</v>
      </c>
    </row>
    <row r="18" spans="1:6">
      <c r="A18" s="18">
        <v>2043</v>
      </c>
      <c r="B18" s="49" t="s">
        <v>792</v>
      </c>
      <c r="C18" s="49" t="s">
        <v>1255</v>
      </c>
      <c r="D18" s="49" t="s">
        <v>792</v>
      </c>
      <c r="E18" s="49" t="s">
        <v>1255</v>
      </c>
      <c r="F18" s="18" t="s">
        <v>1257</v>
      </c>
    </row>
    <row r="19" spans="1:6">
      <c r="A19" s="18">
        <v>2044</v>
      </c>
      <c r="B19" s="49" t="s">
        <v>792</v>
      </c>
      <c r="C19" s="49" t="s">
        <v>1255</v>
      </c>
      <c r="D19" s="49" t="s">
        <v>792</v>
      </c>
      <c r="E19" s="49" t="s">
        <v>1255</v>
      </c>
      <c r="F19" s="18" t="s">
        <v>1257</v>
      </c>
    </row>
    <row r="20" spans="1:6">
      <c r="A20" s="18">
        <v>2045</v>
      </c>
      <c r="B20" s="49" t="s">
        <v>792</v>
      </c>
      <c r="C20" s="49" t="s">
        <v>1255</v>
      </c>
      <c r="D20" s="49" t="s">
        <v>792</v>
      </c>
      <c r="E20" s="49" t="s">
        <v>1255</v>
      </c>
      <c r="F20" s="18" t="s">
        <v>1257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4" t="s">
        <v>951</v>
      </c>
      <c r="B1" s="64" t="s">
        <v>940</v>
      </c>
    </row>
    <row r="2" spans="1:2">
      <c r="A2" s="18" t="s">
        <v>1047</v>
      </c>
      <c r="B2" s="18" t="s">
        <v>1048</v>
      </c>
    </row>
    <row r="3" spans="1:2">
      <c r="A3" s="18" t="s">
        <v>1049</v>
      </c>
      <c r="B3" s="18" t="s">
        <v>1050</v>
      </c>
    </row>
    <row r="4" spans="1:2">
      <c r="A4" s="18" t="s">
        <v>1051</v>
      </c>
      <c r="B4" s="18" t="s">
        <v>1052</v>
      </c>
    </row>
    <row r="5" spans="1:2" ht="28">
      <c r="A5" s="18" t="s">
        <v>1053</v>
      </c>
      <c r="B5" s="18" t="s">
        <v>1054</v>
      </c>
    </row>
    <row r="6" spans="1:2">
      <c r="A6" s="18" t="s">
        <v>1055</v>
      </c>
      <c r="B6" s="18" t="s">
        <v>1056</v>
      </c>
    </row>
    <row r="7" spans="1:2">
      <c r="A7" s="18" t="s">
        <v>1057</v>
      </c>
      <c r="B7" s="18" t="s">
        <v>1058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10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5" t="s">
        <v>951</v>
      </c>
      <c r="B1" s="65" t="s">
        <v>940</v>
      </c>
    </row>
    <row r="2" spans="1:2">
      <c r="A2" s="18" t="s">
        <v>1059</v>
      </c>
      <c r="B2" s="18" t="s">
        <v>1060</v>
      </c>
    </row>
    <row r="3" spans="1:2">
      <c r="A3" s="18" t="s">
        <v>1061</v>
      </c>
      <c r="B3" s="18" t="s">
        <v>1062</v>
      </c>
    </row>
    <row r="4" spans="1:2">
      <c r="A4" s="18" t="s">
        <v>1063</v>
      </c>
      <c r="B4" s="18" t="s">
        <v>1064</v>
      </c>
    </row>
    <row r="5" spans="1:2">
      <c r="A5" s="18" t="s">
        <v>1065</v>
      </c>
      <c r="B5" s="18" t="s">
        <v>1066</v>
      </c>
    </row>
    <row r="6" spans="1:2">
      <c r="A6" s="18" t="s">
        <v>769</v>
      </c>
      <c r="B6" s="18" t="s">
        <v>1067</v>
      </c>
    </row>
    <row r="7" spans="1:2">
      <c r="A7" s="18" t="s">
        <v>1068</v>
      </c>
      <c r="B7" s="18" t="s">
        <v>1069</v>
      </c>
    </row>
    <row r="8" spans="1:2">
      <c r="A8" s="18" t="s">
        <v>1070</v>
      </c>
      <c r="B8" s="18" t="s">
        <v>1071</v>
      </c>
    </row>
    <row r="9" spans="1:2">
      <c r="A9" s="18" t="s">
        <v>1072</v>
      </c>
      <c r="B9" s="18" t="s">
        <v>1073</v>
      </c>
    </row>
    <row r="10" spans="1:2">
      <c r="A10" s="18" t="s">
        <v>1074</v>
      </c>
      <c r="B10" s="18" t="s">
        <v>1075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9"/>
  <sheetViews>
    <sheetView workbookViewId="0"/>
  </sheetViews>
  <sheetFormatPr baseColWidth="10" defaultColWidth="8.6640625" defaultRowHeight="14"/>
  <cols>
    <col min="1" max="5" width="18" customWidth="1"/>
  </cols>
  <sheetData>
    <row r="1" spans="1:5">
      <c r="A1" s="66" t="s">
        <v>37</v>
      </c>
      <c r="B1" s="66" t="s">
        <v>1076</v>
      </c>
      <c r="C1" s="66" t="s">
        <v>1077</v>
      </c>
      <c r="D1" s="66" t="s">
        <v>1078</v>
      </c>
      <c r="E1" s="66" t="s">
        <v>1079</v>
      </c>
    </row>
    <row r="2" spans="1:5">
      <c r="A2" s="18" t="s">
        <v>105</v>
      </c>
      <c r="B2" s="18">
        <v>2030</v>
      </c>
      <c r="C2" s="18">
        <v>2034</v>
      </c>
      <c r="D2" s="18" t="s">
        <v>1080</v>
      </c>
      <c r="E2" s="49" t="s">
        <v>798</v>
      </c>
    </row>
    <row r="3" spans="1:5">
      <c r="A3" s="18" t="s">
        <v>105</v>
      </c>
      <c r="B3" s="18">
        <v>2035</v>
      </c>
      <c r="C3" s="18">
        <v>2040</v>
      </c>
      <c r="D3" s="18" t="s">
        <v>1081</v>
      </c>
      <c r="E3" s="49" t="s">
        <v>798</v>
      </c>
    </row>
    <row r="4" spans="1:5">
      <c r="A4" s="18" t="s">
        <v>105</v>
      </c>
      <c r="B4" s="18">
        <v>2041</v>
      </c>
      <c r="C4" s="18">
        <v>2043</v>
      </c>
      <c r="D4" s="18" t="s">
        <v>1082</v>
      </c>
      <c r="E4" s="49" t="s">
        <v>798</v>
      </c>
    </row>
    <row r="5" spans="1:5">
      <c r="A5" s="18" t="s">
        <v>105</v>
      </c>
      <c r="B5" s="18">
        <v>2044</v>
      </c>
      <c r="C5" s="18">
        <v>2045</v>
      </c>
      <c r="D5" s="18" t="s">
        <v>1083</v>
      </c>
      <c r="E5" s="49" t="s">
        <v>798</v>
      </c>
    </row>
    <row r="6" spans="1:5">
      <c r="A6" s="18" t="s">
        <v>106</v>
      </c>
      <c r="B6" s="18">
        <v>2030</v>
      </c>
      <c r="C6" s="18">
        <v>2034</v>
      </c>
      <c r="D6" s="18" t="s">
        <v>1080</v>
      </c>
      <c r="E6" s="49" t="s">
        <v>798</v>
      </c>
    </row>
    <row r="7" spans="1:5">
      <c r="A7" s="18" t="s">
        <v>106</v>
      </c>
      <c r="B7" s="18">
        <v>2035</v>
      </c>
      <c r="C7" s="18">
        <v>2040</v>
      </c>
      <c r="D7" s="18" t="s">
        <v>1081</v>
      </c>
      <c r="E7" s="49" t="s">
        <v>798</v>
      </c>
    </row>
    <row r="8" spans="1:5">
      <c r="A8" s="18" t="s">
        <v>106</v>
      </c>
      <c r="B8" s="18">
        <v>2041</v>
      </c>
      <c r="C8" s="18">
        <v>2043</v>
      </c>
      <c r="D8" s="18" t="s">
        <v>1082</v>
      </c>
      <c r="E8" s="49" t="s">
        <v>798</v>
      </c>
    </row>
    <row r="9" spans="1:5">
      <c r="A9" s="18" t="s">
        <v>106</v>
      </c>
      <c r="B9" s="18">
        <v>2044</v>
      </c>
      <c r="C9" s="18">
        <v>2045</v>
      </c>
      <c r="D9" s="18" t="s">
        <v>1083</v>
      </c>
      <c r="E9" s="49" t="s">
        <v>798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E3"/>
  <sheetViews>
    <sheetView workbookViewId="0"/>
  </sheetViews>
  <sheetFormatPr baseColWidth="10" defaultColWidth="8.6640625" defaultRowHeight="14"/>
  <cols>
    <col min="1" max="4" width="24" customWidth="1"/>
    <col min="5" max="5" width="70" customWidth="1"/>
  </cols>
  <sheetData>
    <row r="1" spans="1:5">
      <c r="A1" s="66" t="s">
        <v>37</v>
      </c>
      <c r="B1" s="67" t="s">
        <v>1084</v>
      </c>
      <c r="C1" s="67" t="s">
        <v>1085</v>
      </c>
      <c r="D1" s="66" t="s">
        <v>1086</v>
      </c>
      <c r="E1" s="66" t="s">
        <v>738</v>
      </c>
    </row>
    <row r="2" spans="1:5">
      <c r="A2" s="18" t="s">
        <v>105</v>
      </c>
      <c r="B2" s="18">
        <v>9800</v>
      </c>
      <c r="C2" s="18">
        <v>5000</v>
      </c>
      <c r="D2" s="18" t="s">
        <v>1087</v>
      </c>
      <c r="E2" s="18" t="s">
        <v>1088</v>
      </c>
    </row>
    <row r="3" spans="1:5">
      <c r="A3" s="18" t="s">
        <v>106</v>
      </c>
      <c r="B3" s="18">
        <v>6100</v>
      </c>
      <c r="C3" s="18">
        <v>1200</v>
      </c>
      <c r="D3" s="18" t="s">
        <v>1087</v>
      </c>
      <c r="E3" s="18" t="s">
        <v>1088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B11"/>
  <sheetViews>
    <sheetView workbookViewId="0"/>
  </sheetViews>
  <sheetFormatPr baseColWidth="10" defaultColWidth="8.6640625" defaultRowHeight="14"/>
  <cols>
    <col min="1" max="1" width="32" customWidth="1"/>
    <col min="2" max="2" width="100" customWidth="1"/>
  </cols>
  <sheetData>
    <row r="1" spans="1:2">
      <c r="A1" s="66" t="s">
        <v>951</v>
      </c>
      <c r="B1" s="66" t="s">
        <v>940</v>
      </c>
    </row>
    <row r="2" spans="1:2">
      <c r="A2" s="18" t="s">
        <v>1089</v>
      </c>
      <c r="B2" s="18" t="s">
        <v>1090</v>
      </c>
    </row>
    <row r="3" spans="1:2">
      <c r="A3" s="18" t="s">
        <v>1091</v>
      </c>
      <c r="B3" s="18" t="s">
        <v>1092</v>
      </c>
    </row>
    <row r="4" spans="1:2">
      <c r="A4" s="18" t="s">
        <v>1070</v>
      </c>
      <c r="B4" s="18" t="s">
        <v>1093</v>
      </c>
    </row>
    <row r="5" spans="1:2">
      <c r="A5" s="18" t="s">
        <v>1094</v>
      </c>
      <c r="B5" s="18" t="s">
        <v>1095</v>
      </c>
    </row>
    <row r="6" spans="1:2">
      <c r="A6" s="18" t="s">
        <v>1096</v>
      </c>
      <c r="B6" s="18" t="s">
        <v>1097</v>
      </c>
    </row>
    <row r="7" spans="1:2">
      <c r="A7" s="18" t="s">
        <v>1098</v>
      </c>
      <c r="B7" s="18" t="s">
        <v>1099</v>
      </c>
    </row>
    <row r="8" spans="1:2">
      <c r="A8" s="18" t="s">
        <v>1072</v>
      </c>
      <c r="B8" s="18" t="s">
        <v>1100</v>
      </c>
    </row>
    <row r="9" spans="1:2">
      <c r="A9" s="18" t="s">
        <v>1101</v>
      </c>
      <c r="B9" s="18" t="s">
        <v>1102</v>
      </c>
    </row>
    <row r="10" spans="1:2">
      <c r="A10" s="18" t="s">
        <v>1074</v>
      </c>
      <c r="B10" s="18" t="s">
        <v>1103</v>
      </c>
    </row>
    <row r="11" spans="1:2">
      <c r="A11" s="18" t="s">
        <v>1057</v>
      </c>
      <c r="B11" s="18" t="s">
        <v>1104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B3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8" t="s">
        <v>951</v>
      </c>
      <c r="B1" s="68" t="s">
        <v>940</v>
      </c>
    </row>
    <row r="2" spans="1:2">
      <c r="A2" s="18" t="s">
        <v>1105</v>
      </c>
      <c r="B2" s="18" t="s">
        <v>1106</v>
      </c>
    </row>
    <row r="3" spans="1:2">
      <c r="A3" s="18" t="s">
        <v>1107</v>
      </c>
      <c r="B3" s="18" t="s">
        <v>1108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L44"/>
  <sheetViews>
    <sheetView workbookViewId="0">
      <selection activeCell="E10" sqref="E10"/>
    </sheetView>
  </sheetViews>
  <sheetFormatPr baseColWidth="10" defaultColWidth="8.6640625" defaultRowHeight="14"/>
  <cols>
    <col min="1" max="4" width="16" customWidth="1"/>
    <col min="5" max="5" width="14" customWidth="1"/>
    <col min="6" max="6" width="85" customWidth="1"/>
    <col min="8" max="12" width="18" customWidth="1"/>
  </cols>
  <sheetData>
    <row r="1" spans="1:12">
      <c r="A1" s="74" t="s">
        <v>841</v>
      </c>
      <c r="B1" s="74" t="s">
        <v>39</v>
      </c>
      <c r="C1" s="74" t="s">
        <v>37</v>
      </c>
      <c r="D1" s="74" t="s">
        <v>38</v>
      </c>
      <c r="E1" s="74" t="s">
        <v>1109</v>
      </c>
      <c r="F1" s="74" t="s">
        <v>738</v>
      </c>
      <c r="H1" s="72" t="s">
        <v>841</v>
      </c>
      <c r="I1" s="72" t="s">
        <v>39</v>
      </c>
      <c r="J1" s="72" t="s">
        <v>37</v>
      </c>
      <c r="K1" s="72" t="s">
        <v>38</v>
      </c>
      <c r="L1" s="72" t="s">
        <v>1109</v>
      </c>
    </row>
    <row r="2" spans="1:12">
      <c r="A2" s="18">
        <v>2026</v>
      </c>
      <c r="B2" s="18" t="s">
        <v>843</v>
      </c>
      <c r="C2" s="18" t="s">
        <v>105</v>
      </c>
      <c r="D2" s="18" t="s">
        <v>1110</v>
      </c>
      <c r="E2" s="70">
        <v>14561</v>
      </c>
      <c r="F2" s="18" t="s">
        <v>1111</v>
      </c>
      <c r="H2" s="18">
        <v>2027</v>
      </c>
      <c r="I2" s="18" t="s">
        <v>843</v>
      </c>
      <c r="J2" s="18" t="s">
        <v>1110</v>
      </c>
      <c r="K2" s="18" t="s">
        <v>1110</v>
      </c>
      <c r="L2" s="70"/>
    </row>
    <row r="3" spans="1:12">
      <c r="A3" s="18">
        <v>2026</v>
      </c>
      <c r="B3" s="18" t="s">
        <v>843</v>
      </c>
      <c r="C3" s="18" t="s">
        <v>106</v>
      </c>
      <c r="D3" s="18" t="s">
        <v>1110</v>
      </c>
      <c r="E3" s="70">
        <v>10207</v>
      </c>
      <c r="F3" s="18" t="s">
        <v>1112</v>
      </c>
      <c r="H3" s="18">
        <v>2028</v>
      </c>
      <c r="I3" s="18" t="s">
        <v>843</v>
      </c>
      <c r="J3" s="18" t="s">
        <v>1110</v>
      </c>
      <c r="K3" s="18" t="s">
        <v>1110</v>
      </c>
      <c r="L3" s="70"/>
    </row>
    <row r="4" spans="1:12">
      <c r="A4" s="18">
        <v>2027</v>
      </c>
      <c r="B4" s="18" t="s">
        <v>843</v>
      </c>
      <c r="C4" s="18" t="s">
        <v>105</v>
      </c>
      <c r="D4" s="18" t="s">
        <v>1110</v>
      </c>
      <c r="E4" s="70">
        <v>15271</v>
      </c>
      <c r="F4" s="18" t="s">
        <v>1113</v>
      </c>
      <c r="H4" s="18">
        <v>2029</v>
      </c>
      <c r="I4" s="18" t="s">
        <v>843</v>
      </c>
      <c r="J4" s="18" t="s">
        <v>1110</v>
      </c>
      <c r="K4" s="18" t="s">
        <v>1110</v>
      </c>
      <c r="L4" s="70">
        <v>30000</v>
      </c>
    </row>
    <row r="5" spans="1:12" ht="56">
      <c r="A5" s="18">
        <v>2027</v>
      </c>
      <c r="B5" s="18" t="s">
        <v>843</v>
      </c>
      <c r="C5" s="18" t="s">
        <v>106</v>
      </c>
      <c r="D5" s="18" t="s">
        <v>1110</v>
      </c>
      <c r="E5" s="70">
        <v>10729</v>
      </c>
      <c r="F5" s="18" t="s">
        <v>1114</v>
      </c>
      <c r="H5" s="18" t="s">
        <v>1115</v>
      </c>
      <c r="I5" s="18" t="s">
        <v>1116</v>
      </c>
      <c r="J5" s="18"/>
      <c r="K5" s="18"/>
      <c r="L5" s="18"/>
    </row>
    <row r="6" spans="1:12">
      <c r="A6" s="18">
        <v>2028</v>
      </c>
      <c r="B6" s="18" t="s">
        <v>843</v>
      </c>
      <c r="C6" s="18" t="s">
        <v>105</v>
      </c>
      <c r="D6" s="18" t="s">
        <v>1110</v>
      </c>
      <c r="E6" s="70">
        <v>16108</v>
      </c>
      <c r="F6" s="18" t="s">
        <v>1117</v>
      </c>
    </row>
    <row r="7" spans="1:12">
      <c r="A7" s="18">
        <v>2028</v>
      </c>
      <c r="B7" s="18" t="s">
        <v>843</v>
      </c>
      <c r="C7" s="18" t="s">
        <v>106</v>
      </c>
      <c r="D7" s="18" t="s">
        <v>1110</v>
      </c>
      <c r="E7" s="70">
        <v>12095</v>
      </c>
      <c r="F7" s="18" t="s">
        <v>1118</v>
      </c>
    </row>
    <row r="8" spans="1:12">
      <c r="A8" s="18">
        <v>2029</v>
      </c>
      <c r="B8" s="18" t="s">
        <v>843</v>
      </c>
      <c r="C8" s="18" t="s">
        <v>105</v>
      </c>
      <c r="D8" s="18" t="s">
        <v>1110</v>
      </c>
      <c r="E8" s="70">
        <v>17341</v>
      </c>
      <c r="F8" s="18" t="s">
        <v>1119</v>
      </c>
    </row>
    <row r="9" spans="1:12">
      <c r="A9" s="18">
        <v>2029</v>
      </c>
      <c r="B9" s="18" t="s">
        <v>843</v>
      </c>
      <c r="C9" s="18" t="s">
        <v>106</v>
      </c>
      <c r="D9" s="18" t="s">
        <v>1110</v>
      </c>
      <c r="E9" s="70">
        <v>12757</v>
      </c>
      <c r="F9" s="18" t="s">
        <v>1120</v>
      </c>
    </row>
    <row r="10" spans="1:12">
      <c r="A10" s="18">
        <v>2029</v>
      </c>
      <c r="B10" s="18" t="s">
        <v>843</v>
      </c>
      <c r="C10" s="18" t="s">
        <v>1110</v>
      </c>
      <c r="D10" s="18" t="s">
        <v>1110</v>
      </c>
      <c r="E10" s="70">
        <v>30098</v>
      </c>
      <c r="F10" s="18" t="s">
        <v>1121</v>
      </c>
    </row>
    <row r="11" spans="1:12">
      <c r="A11" s="18"/>
      <c r="B11" s="18"/>
      <c r="C11" s="18"/>
      <c r="D11" s="18"/>
      <c r="E11" s="70"/>
      <c r="F11" s="18"/>
    </row>
    <row r="12" spans="1:12">
      <c r="A12" s="18"/>
      <c r="B12" s="18"/>
      <c r="C12" s="18"/>
      <c r="D12" s="18"/>
      <c r="E12" s="70"/>
      <c r="F12" s="18"/>
    </row>
    <row r="13" spans="1:12">
      <c r="A13" s="18"/>
      <c r="B13" s="18"/>
      <c r="C13" s="18"/>
      <c r="D13" s="18"/>
      <c r="E13" s="70"/>
      <c r="F13" s="18"/>
    </row>
    <row r="14" spans="1:12">
      <c r="A14" s="18"/>
      <c r="B14" s="18"/>
      <c r="C14" s="18"/>
      <c r="D14" s="18"/>
      <c r="E14" s="70"/>
      <c r="F14" s="18"/>
    </row>
    <row r="15" spans="1:12">
      <c r="A15" s="18"/>
      <c r="B15" s="18"/>
      <c r="C15" s="18"/>
      <c r="D15" s="18"/>
      <c r="E15" s="70"/>
      <c r="F15" s="18"/>
    </row>
    <row r="16" spans="1:12">
      <c r="A16" s="18"/>
      <c r="B16" s="18"/>
      <c r="C16" s="18"/>
      <c r="D16" s="18"/>
      <c r="E16" s="70"/>
      <c r="F16" s="18"/>
    </row>
    <row r="17" spans="1:6">
      <c r="A17" s="18"/>
      <c r="B17" s="18"/>
      <c r="C17" s="18"/>
      <c r="D17" s="18"/>
      <c r="E17" s="70"/>
      <c r="F17" s="18"/>
    </row>
    <row r="18" spans="1:6">
      <c r="A18" s="18"/>
      <c r="B18" s="18"/>
      <c r="C18" s="18"/>
      <c r="D18" s="18"/>
      <c r="E18" s="70"/>
      <c r="F18" s="18"/>
    </row>
    <row r="19" spans="1:6">
      <c r="A19" s="18"/>
      <c r="B19" s="18"/>
      <c r="C19" s="18"/>
      <c r="D19" s="18"/>
      <c r="E19" s="70"/>
      <c r="F19" s="18"/>
    </row>
    <row r="20" spans="1:6">
      <c r="A20" s="18"/>
      <c r="B20" s="18"/>
      <c r="C20" s="18"/>
      <c r="D20" s="18"/>
      <c r="E20" s="70"/>
      <c r="F20" s="18"/>
    </row>
    <row r="21" spans="1:6">
      <c r="A21" s="18"/>
      <c r="B21" s="18"/>
      <c r="C21" s="18"/>
      <c r="D21" s="18"/>
      <c r="E21" s="70"/>
      <c r="F21" s="18"/>
    </row>
    <row r="22" spans="1:6">
      <c r="A22" s="18"/>
      <c r="B22" s="18"/>
      <c r="C22" s="18"/>
      <c r="D22" s="18"/>
      <c r="E22" s="70"/>
      <c r="F22" s="18"/>
    </row>
    <row r="23" spans="1:6">
      <c r="A23" s="18"/>
      <c r="B23" s="18"/>
      <c r="C23" s="18"/>
      <c r="D23" s="18"/>
      <c r="E23" s="70"/>
      <c r="F23" s="18"/>
    </row>
    <row r="24" spans="1:6">
      <c r="A24" s="18"/>
      <c r="B24" s="18"/>
      <c r="C24" s="18"/>
      <c r="D24" s="18"/>
      <c r="E24" s="70"/>
      <c r="F24" s="18"/>
    </row>
    <row r="25" spans="1:6">
      <c r="A25" s="18"/>
      <c r="B25" s="18"/>
      <c r="C25" s="18"/>
      <c r="D25" s="18"/>
      <c r="E25" s="70"/>
      <c r="F25" s="18"/>
    </row>
    <row r="26" spans="1:6">
      <c r="A26" s="18"/>
      <c r="B26" s="18"/>
      <c r="C26" s="18"/>
      <c r="D26" s="18"/>
      <c r="E26" s="70"/>
      <c r="F26" s="18"/>
    </row>
    <row r="27" spans="1:6">
      <c r="A27" s="18"/>
      <c r="B27" s="18"/>
      <c r="C27" s="18"/>
      <c r="D27" s="18"/>
      <c r="E27" s="70"/>
      <c r="F27" s="18"/>
    </row>
    <row r="28" spans="1:6">
      <c r="A28" s="18"/>
      <c r="B28" s="18"/>
      <c r="C28" s="18"/>
      <c r="D28" s="18"/>
      <c r="E28" s="70"/>
      <c r="F28" s="18"/>
    </row>
    <row r="29" spans="1:6">
      <c r="A29" s="18"/>
      <c r="B29" s="18"/>
      <c r="C29" s="18"/>
      <c r="D29" s="18"/>
      <c r="E29" s="70"/>
      <c r="F29" s="18"/>
    </row>
    <row r="30" spans="1:6">
      <c r="A30" s="18"/>
      <c r="B30" s="18"/>
      <c r="C30" s="18"/>
      <c r="D30" s="18"/>
      <c r="E30" s="70"/>
      <c r="F30" s="18"/>
    </row>
    <row r="31" spans="1:6">
      <c r="A31" s="18"/>
      <c r="B31" s="18"/>
      <c r="C31" s="18"/>
      <c r="D31" s="18"/>
      <c r="E31" s="70"/>
      <c r="F31" s="18"/>
    </row>
    <row r="32" spans="1:6">
      <c r="A32" s="18"/>
      <c r="B32" s="18"/>
      <c r="C32" s="18"/>
      <c r="D32" s="18"/>
      <c r="E32" s="70"/>
      <c r="F32" s="18"/>
    </row>
    <row r="33" spans="1:6">
      <c r="A33" s="18"/>
      <c r="B33" s="18"/>
      <c r="C33" s="18"/>
      <c r="D33" s="18"/>
      <c r="E33" s="70"/>
      <c r="F33" s="18"/>
    </row>
    <row r="34" spans="1:6">
      <c r="A34" s="18"/>
      <c r="B34" s="18"/>
      <c r="C34" s="18"/>
      <c r="D34" s="18"/>
      <c r="E34" s="70"/>
      <c r="F34" s="18"/>
    </row>
    <row r="35" spans="1:6">
      <c r="A35" s="18"/>
      <c r="B35" s="18"/>
      <c r="C35" s="18"/>
      <c r="D35" s="18"/>
      <c r="E35" s="70"/>
      <c r="F35" s="18"/>
    </row>
    <row r="36" spans="1:6">
      <c r="A36" s="18"/>
      <c r="B36" s="18"/>
      <c r="C36" s="18"/>
      <c r="D36" s="18"/>
      <c r="E36" s="70"/>
      <c r="F36" s="18"/>
    </row>
    <row r="37" spans="1:6">
      <c r="A37" s="18"/>
      <c r="B37" s="18"/>
      <c r="C37" s="18"/>
      <c r="D37" s="18"/>
      <c r="E37" s="70"/>
      <c r="F37" s="18"/>
    </row>
    <row r="38" spans="1:6">
      <c r="A38" s="18"/>
      <c r="B38" s="18"/>
      <c r="C38" s="18"/>
      <c r="D38" s="18"/>
      <c r="E38" s="70"/>
      <c r="F38" s="18"/>
    </row>
    <row r="39" spans="1:6">
      <c r="A39" s="18"/>
      <c r="B39" s="18"/>
      <c r="C39" s="18"/>
      <c r="D39" s="18"/>
      <c r="E39" s="70"/>
      <c r="F39" s="18"/>
    </row>
    <row r="40" spans="1:6">
      <c r="A40" s="18"/>
      <c r="B40" s="18"/>
      <c r="C40" s="18"/>
      <c r="D40" s="18"/>
      <c r="E40" s="70"/>
      <c r="F40" s="18"/>
    </row>
    <row r="41" spans="1:6">
      <c r="A41" s="18">
        <v>2029</v>
      </c>
      <c r="B41" s="18" t="s">
        <v>845</v>
      </c>
      <c r="C41" s="18" t="s">
        <v>106</v>
      </c>
      <c r="D41" s="18" t="s">
        <v>1110</v>
      </c>
      <c r="E41" s="70"/>
      <c r="F41" s="18" t="s">
        <v>1122</v>
      </c>
    </row>
    <row r="42" spans="1:6">
      <c r="A42" s="18">
        <v>2027</v>
      </c>
      <c r="B42" s="18" t="s">
        <v>843</v>
      </c>
      <c r="C42" s="18" t="s">
        <v>1110</v>
      </c>
      <c r="D42" s="18" t="s">
        <v>1110</v>
      </c>
      <c r="E42" s="70"/>
      <c r="F42" s="18" t="s">
        <v>1123</v>
      </c>
    </row>
    <row r="43" spans="1:6">
      <c r="A43" s="18">
        <v>2028</v>
      </c>
      <c r="B43" s="18" t="s">
        <v>843</v>
      </c>
      <c r="C43" s="18" t="s">
        <v>1110</v>
      </c>
      <c r="D43" s="18" t="s">
        <v>1110</v>
      </c>
      <c r="E43" s="70"/>
      <c r="F43" s="18" t="s">
        <v>1124</v>
      </c>
    </row>
    <row r="44" spans="1:6">
      <c r="A44" s="18">
        <v>2029</v>
      </c>
      <c r="B44" s="18" t="s">
        <v>843</v>
      </c>
      <c r="C44" s="18" t="s">
        <v>1110</v>
      </c>
      <c r="D44" s="18" t="s">
        <v>1110</v>
      </c>
      <c r="E44" s="70">
        <v>30000</v>
      </c>
      <c r="F44" s="18" t="s">
        <v>1125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69" t="s">
        <v>951</v>
      </c>
      <c r="B1" s="69" t="s">
        <v>940</v>
      </c>
    </row>
    <row r="2" spans="1:2">
      <c r="A2" s="18" t="s">
        <v>1126</v>
      </c>
      <c r="B2" s="18" t="s">
        <v>1127</v>
      </c>
    </row>
    <row r="3" spans="1:2">
      <c r="A3" s="18" t="s">
        <v>1128</v>
      </c>
      <c r="B3" s="18" t="s">
        <v>1129</v>
      </c>
    </row>
    <row r="4" spans="1:2">
      <c r="A4" s="18" t="s">
        <v>1130</v>
      </c>
      <c r="B4" s="18" t="s">
        <v>1131</v>
      </c>
    </row>
    <row r="5" spans="1:2">
      <c r="A5" s="18" t="s">
        <v>1132</v>
      </c>
      <c r="B5" s="18" t="s">
        <v>1133</v>
      </c>
    </row>
    <row r="6" spans="1:2">
      <c r="A6" s="18" t="s">
        <v>1134</v>
      </c>
      <c r="B6" s="18" t="s">
        <v>1135</v>
      </c>
    </row>
    <row r="7" spans="1:2">
      <c r="A7" s="18" t="s">
        <v>1136</v>
      </c>
      <c r="B7" s="18" t="s">
        <v>1137</v>
      </c>
    </row>
    <row r="8" spans="1:2">
      <c r="A8" s="18" t="s">
        <v>1138</v>
      </c>
      <c r="B8" s="18" t="s">
        <v>1139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9"/>
  <sheetViews>
    <sheetView workbookViewId="0"/>
  </sheetViews>
  <sheetFormatPr baseColWidth="10" defaultColWidth="8.6640625" defaultRowHeight="14"/>
  <cols>
    <col min="1" max="1" width="28" customWidth="1"/>
    <col min="2" max="2" width="34" customWidth="1"/>
    <col min="3" max="3" width="90" customWidth="1"/>
  </cols>
  <sheetData>
    <row r="1" spans="1:3">
      <c r="A1" s="71" t="s">
        <v>1140</v>
      </c>
      <c r="B1" s="71" t="s">
        <v>1141</v>
      </c>
      <c r="C1" s="71" t="s">
        <v>709</v>
      </c>
    </row>
    <row r="2" spans="1:3">
      <c r="A2" s="18" t="s">
        <v>1142</v>
      </c>
      <c r="B2" s="18" t="s">
        <v>1143</v>
      </c>
      <c r="C2" s="18" t="s">
        <v>1144</v>
      </c>
    </row>
    <row r="3" spans="1:3">
      <c r="A3" s="18" t="s">
        <v>691</v>
      </c>
      <c r="B3" s="18" t="s">
        <v>1145</v>
      </c>
      <c r="C3" s="18" t="s">
        <v>1146</v>
      </c>
    </row>
    <row r="4" spans="1:3">
      <c r="A4" s="18" t="s">
        <v>1147</v>
      </c>
      <c r="B4" s="18" t="s">
        <v>798</v>
      </c>
      <c r="C4" s="18" t="s">
        <v>1148</v>
      </c>
    </row>
    <row r="5" spans="1:3">
      <c r="A5" s="18" t="s">
        <v>1149</v>
      </c>
      <c r="B5" s="18" t="s">
        <v>798</v>
      </c>
      <c r="C5" s="18" t="s">
        <v>1148</v>
      </c>
    </row>
    <row r="6" spans="1:3">
      <c r="A6" s="18" t="s">
        <v>1150</v>
      </c>
      <c r="B6" s="18" t="s">
        <v>1151</v>
      </c>
      <c r="C6" s="18" t="s">
        <v>1152</v>
      </c>
    </row>
    <row r="7" spans="1:3">
      <c r="A7" s="18" t="s">
        <v>1070</v>
      </c>
      <c r="B7" s="18" t="s">
        <v>826</v>
      </c>
      <c r="C7" s="18" t="s">
        <v>1153</v>
      </c>
    </row>
    <row r="8" spans="1:3">
      <c r="A8" s="18" t="s">
        <v>1154</v>
      </c>
      <c r="B8" s="18" t="s">
        <v>1155</v>
      </c>
      <c r="C8" s="18" t="s">
        <v>1156</v>
      </c>
    </row>
    <row r="9" spans="1:3">
      <c r="A9" s="18" t="s">
        <v>1157</v>
      </c>
      <c r="B9" s="18" t="s">
        <v>911</v>
      </c>
      <c r="C9" s="18" t="s">
        <v>1158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D7"/>
  <sheetViews>
    <sheetView workbookViewId="0"/>
  </sheetViews>
  <sheetFormatPr baseColWidth="10" defaultColWidth="8.6640625" defaultRowHeight="14"/>
  <cols>
    <col min="1" max="3" width="28" customWidth="1"/>
    <col min="4" max="4" width="90" customWidth="1"/>
  </cols>
  <sheetData>
    <row r="1" spans="1:4">
      <c r="A1" s="71" t="s">
        <v>1159</v>
      </c>
      <c r="B1" s="71" t="s">
        <v>2</v>
      </c>
      <c r="C1" s="71" t="s">
        <v>1160</v>
      </c>
      <c r="D1" s="71" t="s">
        <v>709</v>
      </c>
    </row>
    <row r="2" spans="1:4">
      <c r="A2" s="18" t="s">
        <v>1157</v>
      </c>
      <c r="B2" s="18" t="s">
        <v>911</v>
      </c>
      <c r="C2" s="18" t="s">
        <v>1161</v>
      </c>
      <c r="D2" s="18" t="s">
        <v>1162</v>
      </c>
    </row>
    <row r="3" spans="1:4">
      <c r="A3" s="18" t="s">
        <v>415</v>
      </c>
      <c r="B3" s="18" t="s">
        <v>911</v>
      </c>
      <c r="C3" s="18" t="s">
        <v>1163</v>
      </c>
      <c r="D3" s="18" t="s">
        <v>1164</v>
      </c>
    </row>
    <row r="4" spans="1:4">
      <c r="A4" s="18" t="s">
        <v>416</v>
      </c>
      <c r="B4" s="18" t="s">
        <v>911</v>
      </c>
      <c r="C4" s="18" t="s">
        <v>1165</v>
      </c>
      <c r="D4" s="18" t="s">
        <v>1166</v>
      </c>
    </row>
    <row r="5" spans="1:4">
      <c r="A5" s="18" t="s">
        <v>1167</v>
      </c>
      <c r="B5" s="18" t="s">
        <v>911</v>
      </c>
      <c r="C5" s="18" t="s">
        <v>1168</v>
      </c>
      <c r="D5" s="18" t="s">
        <v>1169</v>
      </c>
    </row>
    <row r="6" spans="1:4">
      <c r="A6" s="18" t="s">
        <v>1170</v>
      </c>
      <c r="B6" s="18" t="s">
        <v>911</v>
      </c>
      <c r="C6" s="18" t="s">
        <v>1171</v>
      </c>
      <c r="D6" s="18" t="s">
        <v>1172</v>
      </c>
    </row>
    <row r="7" spans="1:4">
      <c r="A7" s="18" t="s">
        <v>1173</v>
      </c>
      <c r="B7" s="18" t="s">
        <v>1174</v>
      </c>
      <c r="C7" s="18" t="s">
        <v>1175</v>
      </c>
      <c r="D7" s="18" t="s">
        <v>1176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1" t="s">
        <v>951</v>
      </c>
      <c r="B1" s="71" t="s">
        <v>940</v>
      </c>
    </row>
    <row r="2" spans="1:2">
      <c r="A2" s="18" t="s">
        <v>1177</v>
      </c>
      <c r="B2" s="18" t="s">
        <v>1178</v>
      </c>
    </row>
    <row r="3" spans="1:2">
      <c r="A3" s="18" t="s">
        <v>1179</v>
      </c>
      <c r="B3" s="18" t="s">
        <v>1180</v>
      </c>
    </row>
    <row r="4" spans="1:2">
      <c r="A4" s="18" t="s">
        <v>1181</v>
      </c>
      <c r="B4" s="18" t="s">
        <v>1182</v>
      </c>
    </row>
    <row r="5" spans="1:2">
      <c r="A5" s="18" t="s">
        <v>1157</v>
      </c>
      <c r="B5" s="18" t="s">
        <v>1183</v>
      </c>
    </row>
    <row r="6" spans="1:2">
      <c r="A6" s="18" t="s">
        <v>1184</v>
      </c>
      <c r="B6" s="18" t="s">
        <v>1185</v>
      </c>
    </row>
    <row r="7" spans="1:2">
      <c r="A7" s="18" t="s">
        <v>1186</v>
      </c>
      <c r="B7" s="18" t="s">
        <v>1187</v>
      </c>
    </row>
    <row r="8" spans="1:2">
      <c r="A8" s="18" t="s">
        <v>1188</v>
      </c>
      <c r="B8" s="18" t="s">
        <v>1189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B8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2" t="s">
        <v>951</v>
      </c>
      <c r="B1" s="72" t="s">
        <v>940</v>
      </c>
    </row>
    <row r="2" spans="1:2">
      <c r="A2" s="18" t="s">
        <v>1190</v>
      </c>
      <c r="B2" s="18" t="s">
        <v>1191</v>
      </c>
    </row>
    <row r="3" spans="1:2">
      <c r="A3" s="18" t="s">
        <v>1192</v>
      </c>
      <c r="B3" s="18" t="s">
        <v>1193</v>
      </c>
    </row>
    <row r="4" spans="1:2">
      <c r="A4" s="18" t="s">
        <v>1186</v>
      </c>
      <c r="B4" s="18" t="s">
        <v>1194</v>
      </c>
    </row>
    <row r="5" spans="1:2">
      <c r="A5" s="18" t="s">
        <v>1195</v>
      </c>
      <c r="B5" s="18" t="s">
        <v>1196</v>
      </c>
    </row>
    <row r="6" spans="1:2">
      <c r="A6" s="18" t="s">
        <v>1197</v>
      </c>
      <c r="B6" s="18" t="s">
        <v>1198</v>
      </c>
    </row>
    <row r="7" spans="1:2">
      <c r="A7" s="18" t="s">
        <v>1199</v>
      </c>
      <c r="B7" s="18" t="s">
        <v>1200</v>
      </c>
    </row>
    <row r="8" spans="1:2">
      <c r="A8" s="18" t="s">
        <v>1201</v>
      </c>
      <c r="B8" s="18" t="s">
        <v>1202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F5"/>
  <sheetViews>
    <sheetView workbookViewId="0"/>
  </sheetViews>
  <sheetFormatPr baseColWidth="10" defaultColWidth="8.6640625" defaultRowHeight="14"/>
  <cols>
    <col min="1" max="4" width="16" customWidth="1"/>
    <col min="5" max="5" width="14" customWidth="1"/>
    <col min="6" max="6" width="75" customWidth="1"/>
  </cols>
  <sheetData>
    <row r="1" spans="1:6">
      <c r="A1" s="73" t="s">
        <v>841</v>
      </c>
      <c r="B1" s="73" t="s">
        <v>39</v>
      </c>
      <c r="C1" s="73" t="s">
        <v>37</v>
      </c>
      <c r="D1" s="73" t="s">
        <v>38</v>
      </c>
      <c r="E1" s="73" t="s">
        <v>30</v>
      </c>
      <c r="F1" s="73" t="s">
        <v>738</v>
      </c>
    </row>
    <row r="2" spans="1:6">
      <c r="A2" s="18">
        <v>2026</v>
      </c>
      <c r="B2" s="18" t="s">
        <v>843</v>
      </c>
      <c r="C2" s="18" t="s">
        <v>1110</v>
      </c>
      <c r="D2" s="18" t="s">
        <v>1110</v>
      </c>
      <c r="E2" s="70"/>
      <c r="F2" s="18" t="s">
        <v>1203</v>
      </c>
    </row>
    <row r="3" spans="1:6">
      <c r="A3" s="18">
        <v>2027</v>
      </c>
      <c r="B3" s="18" t="s">
        <v>843</v>
      </c>
      <c r="C3" s="18" t="s">
        <v>1110</v>
      </c>
      <c r="D3" s="18" t="s">
        <v>1110</v>
      </c>
      <c r="E3" s="70"/>
      <c r="F3" s="18" t="s">
        <v>1204</v>
      </c>
    </row>
    <row r="4" spans="1:6">
      <c r="A4" s="18">
        <v>2028</v>
      </c>
      <c r="B4" s="18" t="s">
        <v>843</v>
      </c>
      <c r="C4" s="18" t="s">
        <v>1110</v>
      </c>
      <c r="D4" s="18" t="s">
        <v>1110</v>
      </c>
      <c r="E4" s="70"/>
      <c r="F4" s="18" t="s">
        <v>1205</v>
      </c>
    </row>
    <row r="5" spans="1:6">
      <c r="A5" s="18">
        <v>2029</v>
      </c>
      <c r="B5" s="18" t="s">
        <v>843</v>
      </c>
      <c r="C5" s="18" t="s">
        <v>1110</v>
      </c>
      <c r="D5" s="18" t="s">
        <v>1110</v>
      </c>
      <c r="E5" s="70">
        <v>30000</v>
      </c>
      <c r="F5" s="18" t="s">
        <v>1125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B7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3" t="s">
        <v>951</v>
      </c>
      <c r="B1" s="73" t="s">
        <v>940</v>
      </c>
    </row>
    <row r="2" spans="1:2">
      <c r="A2" s="18" t="s">
        <v>1206</v>
      </c>
      <c r="B2" s="18" t="s">
        <v>1207</v>
      </c>
    </row>
    <row r="3" spans="1:2">
      <c r="A3" s="18" t="s">
        <v>1208</v>
      </c>
      <c r="B3" s="18" t="s">
        <v>1209</v>
      </c>
    </row>
    <row r="4" spans="1:2">
      <c r="A4" s="18" t="s">
        <v>1195</v>
      </c>
      <c r="B4" s="18" t="s">
        <v>1210</v>
      </c>
    </row>
    <row r="5" spans="1:2">
      <c r="A5" s="18" t="s">
        <v>1211</v>
      </c>
      <c r="B5" s="18" t="s">
        <v>1212</v>
      </c>
    </row>
    <row r="6" spans="1:2">
      <c r="A6" s="18" t="s">
        <v>1213</v>
      </c>
      <c r="B6" s="18" t="s">
        <v>1214</v>
      </c>
    </row>
    <row r="7" spans="1:2">
      <c r="A7" s="18" t="s">
        <v>1201</v>
      </c>
      <c r="B7" s="18" t="s">
        <v>1202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12"/>
  <sheetViews>
    <sheetView workbookViewId="0"/>
  </sheetViews>
  <sheetFormatPr baseColWidth="10" defaultColWidth="8.6640625" defaultRowHeight="14"/>
  <cols>
    <col min="1" max="4" width="20" customWidth="1"/>
    <col min="5" max="5" width="82" customWidth="1"/>
  </cols>
  <sheetData>
    <row r="1" spans="1:5">
      <c r="A1" s="77" t="s">
        <v>98</v>
      </c>
      <c r="B1" s="77" t="s">
        <v>842</v>
      </c>
      <c r="C1" s="77" t="s">
        <v>1258</v>
      </c>
      <c r="D1" s="77" t="s">
        <v>30</v>
      </c>
      <c r="E1" s="77" t="s">
        <v>738</v>
      </c>
    </row>
    <row r="2" spans="1:5">
      <c r="A2" s="18">
        <v>2026</v>
      </c>
      <c r="B2" s="70">
        <v>0</v>
      </c>
      <c r="C2" s="70">
        <f t="shared" ref="C2:C12" si="0">MAX(0,D2-(B2/5))</f>
        <v>0</v>
      </c>
      <c r="D2" s="70">
        <v>0</v>
      </c>
      <c r="E2" s="18" t="s">
        <v>1215</v>
      </c>
    </row>
    <row r="3" spans="1:5">
      <c r="A3" s="18">
        <v>2027</v>
      </c>
      <c r="B3" s="70">
        <v>307</v>
      </c>
      <c r="C3" s="70">
        <f t="shared" si="0"/>
        <v>193.57600000000002</v>
      </c>
      <c r="D3" s="70">
        <v>254.97600000000003</v>
      </c>
      <c r="E3" s="18" t="s">
        <v>1216</v>
      </c>
    </row>
    <row r="4" spans="1:5">
      <c r="A4" s="18">
        <v>2028</v>
      </c>
      <c r="B4" s="70">
        <v>1162</v>
      </c>
      <c r="C4" s="70">
        <f t="shared" si="0"/>
        <v>949.58655999999985</v>
      </c>
      <c r="D4" s="70">
        <v>1181.9865599999998</v>
      </c>
      <c r="E4" s="18" t="s">
        <v>1217</v>
      </c>
    </row>
    <row r="5" spans="1:5">
      <c r="A5" s="18">
        <v>2029</v>
      </c>
      <c r="B5" s="70">
        <v>1854</v>
      </c>
      <c r="C5" s="70">
        <f t="shared" si="0"/>
        <v>2159.1126144999998</v>
      </c>
      <c r="D5" s="70">
        <v>2529.9126145</v>
      </c>
      <c r="E5" s="18" t="s">
        <v>1218</v>
      </c>
    </row>
    <row r="6" spans="1:5">
      <c r="A6" s="18">
        <v>2030</v>
      </c>
      <c r="B6" s="70">
        <v>1989</v>
      </c>
      <c r="C6" s="70">
        <f t="shared" si="0"/>
        <v>3424.6650744999997</v>
      </c>
      <c r="D6" s="70">
        <v>3822.4650744999999</v>
      </c>
      <c r="E6" s="18" t="s">
        <v>1219</v>
      </c>
    </row>
    <row r="7" spans="1:5">
      <c r="A7" s="18">
        <v>2031</v>
      </c>
      <c r="B7" s="70">
        <v>2349</v>
      </c>
      <c r="C7" s="70">
        <f t="shared" si="0"/>
        <v>4864.9430769999999</v>
      </c>
      <c r="D7" s="70">
        <v>5334.7430770000001</v>
      </c>
      <c r="E7" s="18" t="s">
        <v>1220</v>
      </c>
    </row>
    <row r="8" spans="1:5">
      <c r="A8" s="18">
        <v>2032</v>
      </c>
      <c r="B8" s="70">
        <v>3667</v>
      </c>
      <c r="C8" s="70">
        <f t="shared" si="0"/>
        <v>6969.5933890000015</v>
      </c>
      <c r="D8" s="70">
        <v>7702.9933890000011</v>
      </c>
      <c r="E8" s="18" t="s">
        <v>1221</v>
      </c>
    </row>
    <row r="9" spans="1:5">
      <c r="A9" s="18">
        <v>2033</v>
      </c>
      <c r="B9" s="70">
        <v>3845</v>
      </c>
      <c r="C9" s="70">
        <f t="shared" si="0"/>
        <v>8847.848215</v>
      </c>
      <c r="D9" s="70">
        <v>9616.848215</v>
      </c>
      <c r="E9" s="18" t="s">
        <v>1222</v>
      </c>
    </row>
    <row r="10" spans="1:5">
      <c r="A10" s="18">
        <v>2034</v>
      </c>
      <c r="B10" s="70">
        <v>4543</v>
      </c>
      <c r="C10" s="70">
        <f t="shared" si="0"/>
        <v>10903.391531499999</v>
      </c>
      <c r="D10" s="70">
        <v>11811.9915315</v>
      </c>
      <c r="E10" s="18" t="s">
        <v>1223</v>
      </c>
    </row>
    <row r="11" spans="1:5">
      <c r="A11" s="18">
        <v>2035</v>
      </c>
      <c r="B11" s="70">
        <v>4543</v>
      </c>
      <c r="C11" s="70">
        <f t="shared" si="0"/>
        <v>12902.501949</v>
      </c>
      <c r="D11" s="70">
        <v>13811.101949</v>
      </c>
      <c r="E11" s="18" t="s">
        <v>1224</v>
      </c>
    </row>
    <row r="12" spans="1:5">
      <c r="A12" s="18">
        <v>2036</v>
      </c>
      <c r="B12" s="70">
        <v>4543</v>
      </c>
      <c r="C12" s="70">
        <f t="shared" si="0"/>
        <v>15562.886228000001</v>
      </c>
      <c r="D12" s="70">
        <v>16471.486228000002</v>
      </c>
      <c r="E12" s="18" t="s">
        <v>1225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E10"/>
  <sheetViews>
    <sheetView workbookViewId="0"/>
  </sheetViews>
  <sheetFormatPr baseColWidth="10" defaultColWidth="8.6640625" defaultRowHeight="14"/>
  <cols>
    <col min="1" max="1" width="12" customWidth="1"/>
    <col min="2" max="4" width="18" customWidth="1"/>
    <col min="5" max="5" width="75" customWidth="1"/>
  </cols>
  <sheetData>
    <row r="1" spans="1:5">
      <c r="A1" s="74" t="s">
        <v>98</v>
      </c>
      <c r="B1" s="74" t="s">
        <v>1226</v>
      </c>
      <c r="C1" s="74" t="s">
        <v>1227</v>
      </c>
      <c r="D1" s="74" t="s">
        <v>1228</v>
      </c>
      <c r="E1" s="74" t="s">
        <v>738</v>
      </c>
    </row>
    <row r="2" spans="1:5">
      <c r="A2" s="18">
        <v>2037</v>
      </c>
      <c r="B2" s="75">
        <v>0.03</v>
      </c>
      <c r="C2" s="75">
        <v>0.03</v>
      </c>
      <c r="D2" s="75">
        <v>0.03</v>
      </c>
      <c r="E2" s="18" t="s">
        <v>1229</v>
      </c>
    </row>
    <row r="3" spans="1:5">
      <c r="A3" s="18">
        <v>2038</v>
      </c>
      <c r="B3" s="75">
        <v>0.03</v>
      </c>
      <c r="C3" s="75">
        <v>0.03</v>
      </c>
      <c r="D3" s="75">
        <v>0.03</v>
      </c>
      <c r="E3" s="18" t="s">
        <v>1229</v>
      </c>
    </row>
    <row r="4" spans="1:5">
      <c r="A4" s="18">
        <v>2039</v>
      </c>
      <c r="B4" s="75">
        <v>0.03</v>
      </c>
      <c r="C4" s="75">
        <v>0.03</v>
      </c>
      <c r="D4" s="75">
        <v>0.03</v>
      </c>
      <c r="E4" s="18" t="s">
        <v>1229</v>
      </c>
    </row>
    <row r="5" spans="1:5">
      <c r="A5" s="18">
        <v>2040</v>
      </c>
      <c r="B5" s="75">
        <v>0.03</v>
      </c>
      <c r="C5" s="75">
        <v>0.03</v>
      </c>
      <c r="D5" s="75">
        <v>0.03</v>
      </c>
      <c r="E5" s="18" t="s">
        <v>1229</v>
      </c>
    </row>
    <row r="6" spans="1:5">
      <c r="A6" s="18">
        <v>2041</v>
      </c>
      <c r="B6" s="75">
        <v>0.03</v>
      </c>
      <c r="C6" s="75">
        <v>0.03</v>
      </c>
      <c r="D6" s="75">
        <v>0.03</v>
      </c>
      <c r="E6" s="18" t="s">
        <v>1229</v>
      </c>
    </row>
    <row r="7" spans="1:5">
      <c r="A7" s="18">
        <v>2042</v>
      </c>
      <c r="B7" s="75">
        <v>0.03</v>
      </c>
      <c r="C7" s="75">
        <v>0.03</v>
      </c>
      <c r="D7" s="75">
        <v>0.03</v>
      </c>
      <c r="E7" s="18" t="s">
        <v>1229</v>
      </c>
    </row>
    <row r="8" spans="1:5">
      <c r="A8" s="18">
        <v>2043</v>
      </c>
      <c r="B8" s="75">
        <v>0.03</v>
      </c>
      <c r="C8" s="75">
        <v>0.03</v>
      </c>
      <c r="D8" s="75">
        <v>0.03</v>
      </c>
      <c r="E8" s="18" t="s">
        <v>1229</v>
      </c>
    </row>
    <row r="9" spans="1:5">
      <c r="A9" s="18">
        <v>2044</v>
      </c>
      <c r="B9" s="75">
        <v>0.03</v>
      </c>
      <c r="C9" s="75">
        <v>0.03</v>
      </c>
      <c r="D9" s="75">
        <v>0.03</v>
      </c>
      <c r="E9" s="18" t="s">
        <v>1229</v>
      </c>
    </row>
    <row r="10" spans="1:5">
      <c r="A10" s="18">
        <v>2045</v>
      </c>
      <c r="B10" s="75">
        <v>0.03</v>
      </c>
      <c r="C10" s="75">
        <v>0.03</v>
      </c>
      <c r="D10" s="75">
        <v>0.03</v>
      </c>
      <c r="E10" s="18" t="s">
        <v>1229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B12"/>
  <sheetViews>
    <sheetView workbookViewId="0"/>
  </sheetViews>
  <sheetFormatPr baseColWidth="10" defaultColWidth="8.6640625" defaultRowHeight="14"/>
  <cols>
    <col min="1" max="1" width="30" customWidth="1"/>
    <col min="2" max="2" width="110" customWidth="1"/>
  </cols>
  <sheetData>
    <row r="1" spans="1:2">
      <c r="A1" s="74" t="s">
        <v>951</v>
      </c>
      <c r="B1" s="74" t="s">
        <v>940</v>
      </c>
    </row>
    <row r="2" spans="1:2">
      <c r="A2" s="18" t="s">
        <v>1230</v>
      </c>
      <c r="B2" s="18" t="s">
        <v>1231</v>
      </c>
    </row>
    <row r="3" spans="1:2">
      <c r="A3" s="18" t="s">
        <v>1232</v>
      </c>
      <c r="B3" s="18" t="s">
        <v>1233</v>
      </c>
    </row>
    <row r="4" spans="1:2">
      <c r="A4" s="18" t="s">
        <v>1234</v>
      </c>
      <c r="B4" s="18" t="s">
        <v>1235</v>
      </c>
    </row>
    <row r="5" spans="1:2">
      <c r="A5" s="18" t="s">
        <v>1236</v>
      </c>
      <c r="B5" s="18" t="s">
        <v>1237</v>
      </c>
    </row>
    <row r="6" spans="1:2">
      <c r="A6" s="18" t="s">
        <v>1238</v>
      </c>
      <c r="B6" s="18" t="s">
        <v>1239</v>
      </c>
    </row>
    <row r="7" spans="1:2">
      <c r="A7" s="18" t="s">
        <v>1240</v>
      </c>
      <c r="B7" s="18" t="s">
        <v>1241</v>
      </c>
    </row>
    <row r="8" spans="1:2">
      <c r="A8" s="18" t="s">
        <v>1242</v>
      </c>
      <c r="B8" s="18" t="s">
        <v>1243</v>
      </c>
    </row>
    <row r="9" spans="1:2">
      <c r="A9" s="18" t="s">
        <v>1244</v>
      </c>
      <c r="B9" s="18" t="s">
        <v>1245</v>
      </c>
    </row>
    <row r="10" spans="1:2">
      <c r="A10" s="18" t="s">
        <v>1246</v>
      </c>
      <c r="B10" s="18" t="s">
        <v>1247</v>
      </c>
    </row>
    <row r="11" spans="1:2">
      <c r="A11" s="18" t="s">
        <v>1248</v>
      </c>
      <c r="B11" s="18" t="s">
        <v>1249</v>
      </c>
    </row>
    <row r="12" spans="1:2">
      <c r="A12" s="18" t="s">
        <v>1250</v>
      </c>
      <c r="B12" s="18" t="s">
        <v>1251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I101"/>
  <sheetViews>
    <sheetView workbookViewId="0"/>
  </sheetViews>
  <sheetFormatPr baseColWidth="10" defaultColWidth="8.6640625" defaultRowHeight="14"/>
  <cols>
    <col min="1" max="2" width="45" customWidth="1"/>
    <col min="3" max="4" width="16" customWidth="1"/>
    <col min="5" max="9" width="20" customWidth="1"/>
  </cols>
  <sheetData>
    <row r="1" spans="1:9">
      <c r="A1" s="77" t="s">
        <v>1259</v>
      </c>
      <c r="B1" s="77" t="s">
        <v>1260</v>
      </c>
      <c r="C1" s="76"/>
      <c r="D1" s="76"/>
      <c r="E1" s="76"/>
      <c r="F1" s="76"/>
      <c r="G1" s="76"/>
      <c r="H1" s="76"/>
      <c r="I1" s="76"/>
    </row>
    <row r="2" spans="1:9" ht="28">
      <c r="A2" s="18" t="s">
        <v>1261</v>
      </c>
      <c r="B2" s="18" t="s">
        <v>1262</v>
      </c>
      <c r="C2" s="18"/>
      <c r="D2" s="18"/>
      <c r="E2" s="70"/>
      <c r="F2" s="70"/>
      <c r="G2" s="70"/>
      <c r="H2" s="70"/>
      <c r="I2" s="70"/>
    </row>
    <row r="3" spans="1:9" ht="28">
      <c r="A3" s="18" t="s">
        <v>837</v>
      </c>
      <c r="B3" s="18" t="s">
        <v>1263</v>
      </c>
      <c r="C3" s="18"/>
      <c r="D3" s="18"/>
      <c r="E3" s="70"/>
      <c r="F3" s="70"/>
      <c r="G3" s="70"/>
      <c r="H3" s="70"/>
      <c r="I3" s="70"/>
    </row>
    <row r="4" spans="1:9">
      <c r="A4" s="18"/>
      <c r="B4" s="18"/>
      <c r="C4" s="18"/>
      <c r="D4" s="18"/>
      <c r="E4" s="70"/>
      <c r="F4" s="70"/>
      <c r="G4" s="70"/>
      <c r="H4" s="70"/>
      <c r="I4" s="70"/>
    </row>
    <row r="5" spans="1:9">
      <c r="A5" s="18"/>
      <c r="B5" s="18"/>
      <c r="C5" s="18"/>
      <c r="D5" s="18"/>
      <c r="E5" s="70"/>
      <c r="F5" s="70"/>
      <c r="G5" s="70"/>
      <c r="H5" s="70"/>
      <c r="I5" s="70"/>
    </row>
    <row r="6" spans="1:9">
      <c r="A6" s="18"/>
      <c r="B6" s="18"/>
      <c r="C6" s="18"/>
      <c r="D6" s="18"/>
      <c r="E6" s="70"/>
      <c r="F6" s="70"/>
      <c r="G6" s="70"/>
      <c r="H6" s="70"/>
      <c r="I6" s="70"/>
    </row>
    <row r="7" spans="1:9">
      <c r="A7" s="18"/>
      <c r="B7" s="18"/>
      <c r="C7" s="18"/>
      <c r="D7" s="18"/>
      <c r="E7" s="70"/>
      <c r="F7" s="70"/>
      <c r="G7" s="70"/>
      <c r="H7" s="70"/>
      <c r="I7" s="70"/>
    </row>
    <row r="8" spans="1:9">
      <c r="A8" s="18"/>
      <c r="B8" s="18"/>
      <c r="C8" s="18"/>
      <c r="D8" s="18"/>
      <c r="E8" s="70"/>
      <c r="F8" s="70"/>
      <c r="G8" s="70"/>
      <c r="H8" s="70"/>
      <c r="I8" s="70"/>
    </row>
    <row r="9" spans="1:9">
      <c r="A9" s="18"/>
      <c r="B9" s="18"/>
      <c r="C9" s="18"/>
      <c r="D9" s="18"/>
      <c r="E9" s="70"/>
      <c r="F9" s="70"/>
      <c r="G9" s="70"/>
      <c r="H9" s="70"/>
      <c r="I9" s="70"/>
    </row>
    <row r="10" spans="1:9">
      <c r="A10" s="18"/>
      <c r="B10" s="18"/>
      <c r="C10" s="18"/>
      <c r="D10" s="18"/>
      <c r="E10" s="70"/>
      <c r="F10" s="70"/>
      <c r="G10" s="70"/>
      <c r="H10" s="70"/>
      <c r="I10" s="70"/>
    </row>
    <row r="11" spans="1:9">
      <c r="A11" s="18"/>
      <c r="B11" s="18"/>
      <c r="C11" s="18"/>
      <c r="D11" s="18"/>
      <c r="E11" s="70"/>
      <c r="F11" s="70"/>
      <c r="G11" s="70"/>
      <c r="H11" s="70"/>
      <c r="I11" s="70"/>
    </row>
    <row r="12" spans="1:9">
      <c r="A12" s="18"/>
      <c r="B12" s="18"/>
      <c r="C12" s="18"/>
      <c r="D12" s="18"/>
      <c r="E12" s="70"/>
      <c r="F12" s="70"/>
      <c r="G12" s="70"/>
      <c r="H12" s="70"/>
      <c r="I12" s="70"/>
    </row>
    <row r="13" spans="1:9">
      <c r="A13" s="18"/>
      <c r="B13" s="18"/>
      <c r="C13" s="18"/>
      <c r="D13" s="18"/>
      <c r="E13" s="70"/>
      <c r="F13" s="70"/>
      <c r="G13" s="70"/>
      <c r="H13" s="70"/>
      <c r="I13" s="70"/>
    </row>
    <row r="14" spans="1:9">
      <c r="A14" s="18"/>
      <c r="B14" s="18"/>
      <c r="C14" s="18"/>
      <c r="D14" s="18"/>
      <c r="E14" s="70"/>
      <c r="F14" s="70"/>
      <c r="G14" s="70"/>
      <c r="H14" s="70"/>
      <c r="I14" s="70"/>
    </row>
    <row r="15" spans="1:9">
      <c r="A15" s="18"/>
      <c r="B15" s="18"/>
      <c r="C15" s="18"/>
      <c r="D15" s="18"/>
      <c r="E15" s="70"/>
      <c r="F15" s="70"/>
      <c r="G15" s="70"/>
      <c r="H15" s="70"/>
      <c r="I15" s="70"/>
    </row>
    <row r="16" spans="1:9">
      <c r="A16" s="18"/>
      <c r="B16" s="18"/>
      <c r="C16" s="18"/>
      <c r="D16" s="18"/>
      <c r="E16" s="70"/>
      <c r="F16" s="70"/>
      <c r="G16" s="70"/>
      <c r="H16" s="70"/>
      <c r="I16" s="70"/>
    </row>
    <row r="17" spans="1:9">
      <c r="A17" s="18"/>
      <c r="B17" s="18"/>
      <c r="C17" s="18"/>
      <c r="D17" s="18"/>
      <c r="E17" s="70"/>
      <c r="F17" s="70"/>
      <c r="G17" s="70"/>
      <c r="H17" s="70"/>
      <c r="I17" s="70"/>
    </row>
    <row r="18" spans="1:9">
      <c r="A18" s="18"/>
      <c r="B18" s="18"/>
      <c r="C18" s="18"/>
      <c r="D18" s="18"/>
      <c r="E18" s="70"/>
      <c r="F18" s="70"/>
      <c r="G18" s="70"/>
      <c r="H18" s="70"/>
      <c r="I18" s="70"/>
    </row>
    <row r="19" spans="1:9">
      <c r="A19" s="18"/>
      <c r="B19" s="18"/>
      <c r="C19" s="18"/>
      <c r="D19" s="18"/>
      <c r="E19" s="70"/>
      <c r="F19" s="70"/>
      <c r="G19" s="70"/>
      <c r="H19" s="70"/>
      <c r="I19" s="70"/>
    </row>
    <row r="20" spans="1:9">
      <c r="A20" s="18"/>
      <c r="B20" s="18"/>
      <c r="C20" s="18"/>
      <c r="D20" s="18"/>
      <c r="E20" s="70"/>
      <c r="F20" s="70"/>
      <c r="G20" s="70"/>
      <c r="H20" s="70"/>
      <c r="I20" s="70"/>
    </row>
    <row r="21" spans="1:9">
      <c r="A21" s="18"/>
      <c r="B21" s="18"/>
      <c r="C21" s="18"/>
      <c r="D21" s="18"/>
      <c r="E21" s="70"/>
      <c r="F21" s="70"/>
      <c r="G21" s="70"/>
      <c r="H21" s="70"/>
      <c r="I21" s="70"/>
    </row>
    <row r="22" spans="1:9">
      <c r="A22" s="18"/>
      <c r="B22" s="18"/>
      <c r="C22" s="18"/>
      <c r="D22" s="18"/>
      <c r="E22" s="70"/>
      <c r="F22" s="70"/>
      <c r="G22" s="70"/>
      <c r="H22" s="70"/>
      <c r="I22" s="70"/>
    </row>
    <row r="23" spans="1:9">
      <c r="A23" s="18"/>
      <c r="B23" s="18"/>
      <c r="C23" s="18"/>
      <c r="D23" s="18"/>
      <c r="E23" s="70"/>
      <c r="F23" s="70"/>
      <c r="G23" s="70"/>
      <c r="H23" s="70"/>
      <c r="I23" s="70"/>
    </row>
    <row r="24" spans="1:9">
      <c r="A24" s="18"/>
      <c r="B24" s="18"/>
      <c r="C24" s="18"/>
      <c r="D24" s="18"/>
      <c r="E24" s="70"/>
      <c r="F24" s="70"/>
      <c r="G24" s="70"/>
      <c r="H24" s="70"/>
      <c r="I24" s="70"/>
    </row>
    <row r="25" spans="1:9">
      <c r="A25" s="18"/>
      <c r="B25" s="18"/>
      <c r="C25" s="18"/>
      <c r="D25" s="18"/>
      <c r="E25" s="70"/>
      <c r="F25" s="70"/>
      <c r="G25" s="70"/>
      <c r="H25" s="70"/>
      <c r="I25" s="70"/>
    </row>
    <row r="26" spans="1:9">
      <c r="A26" s="18"/>
      <c r="B26" s="18"/>
      <c r="C26" s="18"/>
      <c r="D26" s="18"/>
      <c r="E26" s="70"/>
      <c r="F26" s="70"/>
      <c r="G26" s="70"/>
      <c r="H26" s="70"/>
      <c r="I26" s="70"/>
    </row>
    <row r="27" spans="1:9">
      <c r="A27" s="18"/>
      <c r="B27" s="18"/>
      <c r="C27" s="18"/>
      <c r="D27" s="18"/>
      <c r="E27" s="70"/>
      <c r="F27" s="70"/>
      <c r="G27" s="70"/>
      <c r="H27" s="70"/>
      <c r="I27" s="70"/>
    </row>
    <row r="28" spans="1:9">
      <c r="A28" s="18"/>
      <c r="B28" s="18"/>
      <c r="C28" s="18"/>
      <c r="D28" s="18"/>
      <c r="E28" s="70"/>
      <c r="F28" s="70"/>
      <c r="G28" s="70"/>
      <c r="H28" s="70"/>
      <c r="I28" s="70"/>
    </row>
    <row r="29" spans="1:9">
      <c r="A29" s="18"/>
      <c r="B29" s="18"/>
      <c r="C29" s="18"/>
      <c r="D29" s="18"/>
      <c r="E29" s="70"/>
      <c r="F29" s="70"/>
      <c r="G29" s="70"/>
      <c r="H29" s="70"/>
      <c r="I29" s="70"/>
    </row>
    <row r="30" spans="1:9">
      <c r="A30" s="18"/>
      <c r="B30" s="18"/>
      <c r="C30" s="18"/>
      <c r="D30" s="18"/>
      <c r="E30" s="70"/>
      <c r="F30" s="70"/>
      <c r="G30" s="70"/>
      <c r="H30" s="70"/>
      <c r="I30" s="70"/>
    </row>
    <row r="31" spans="1:9">
      <c r="A31" s="18"/>
      <c r="B31" s="18"/>
      <c r="C31" s="18"/>
      <c r="D31" s="18"/>
      <c r="E31" s="70"/>
      <c r="F31" s="70"/>
      <c r="G31" s="70"/>
      <c r="H31" s="70"/>
      <c r="I31" s="70"/>
    </row>
    <row r="32" spans="1:9">
      <c r="A32" s="18"/>
      <c r="B32" s="18"/>
      <c r="C32" s="18"/>
      <c r="D32" s="18"/>
      <c r="E32" s="70"/>
      <c r="F32" s="70"/>
      <c r="G32" s="70"/>
      <c r="H32" s="70"/>
      <c r="I32" s="70"/>
    </row>
    <row r="33" spans="1:9">
      <c r="A33" s="18"/>
      <c r="B33" s="18"/>
      <c r="C33" s="18"/>
      <c r="D33" s="18"/>
      <c r="E33" s="70"/>
      <c r="F33" s="70"/>
      <c r="G33" s="70"/>
      <c r="H33" s="70"/>
      <c r="I33" s="70"/>
    </row>
    <row r="34" spans="1:9">
      <c r="A34" s="18"/>
      <c r="B34" s="18"/>
      <c r="C34" s="18"/>
      <c r="D34" s="18"/>
      <c r="E34" s="70"/>
      <c r="F34" s="70"/>
      <c r="G34" s="70"/>
      <c r="H34" s="70"/>
      <c r="I34" s="70"/>
    </row>
    <row r="35" spans="1:9">
      <c r="A35" s="18"/>
      <c r="B35" s="18"/>
      <c r="C35" s="18"/>
      <c r="D35" s="18"/>
      <c r="E35" s="70"/>
      <c r="F35" s="70"/>
      <c r="G35" s="70"/>
      <c r="H35" s="70"/>
      <c r="I35" s="70"/>
    </row>
    <row r="36" spans="1:9">
      <c r="A36" s="18"/>
      <c r="B36" s="18"/>
      <c r="C36" s="18"/>
      <c r="D36" s="18"/>
      <c r="E36" s="70"/>
      <c r="F36" s="70"/>
      <c r="G36" s="70"/>
      <c r="H36" s="70"/>
      <c r="I36" s="70"/>
    </row>
    <row r="37" spans="1:9">
      <c r="A37" s="18"/>
      <c r="B37" s="18"/>
      <c r="C37" s="18"/>
      <c r="D37" s="18"/>
      <c r="E37" s="70"/>
      <c r="F37" s="70"/>
      <c r="G37" s="70"/>
      <c r="H37" s="70"/>
      <c r="I37" s="70"/>
    </row>
    <row r="38" spans="1:9">
      <c r="A38" s="18"/>
      <c r="B38" s="18"/>
      <c r="C38" s="18"/>
      <c r="D38" s="18"/>
      <c r="E38" s="70"/>
      <c r="F38" s="70"/>
      <c r="G38" s="70"/>
      <c r="H38" s="70"/>
      <c r="I38" s="70"/>
    </row>
    <row r="39" spans="1:9">
      <c r="A39" s="18"/>
      <c r="B39" s="18"/>
      <c r="C39" s="18"/>
      <c r="D39" s="18"/>
      <c r="E39" s="70"/>
      <c r="F39" s="70"/>
      <c r="G39" s="70"/>
      <c r="H39" s="70"/>
      <c r="I39" s="70"/>
    </row>
    <row r="40" spans="1:9">
      <c r="A40" s="18"/>
      <c r="B40" s="18"/>
      <c r="C40" s="18"/>
      <c r="D40" s="18"/>
      <c r="E40" s="70"/>
      <c r="F40" s="70"/>
      <c r="G40" s="70"/>
      <c r="H40" s="70"/>
      <c r="I40" s="70"/>
    </row>
    <row r="41" spans="1:9">
      <c r="A41" s="18"/>
      <c r="B41" s="18"/>
      <c r="C41" s="18"/>
      <c r="D41" s="18"/>
      <c r="E41" s="70"/>
      <c r="F41" s="70"/>
      <c r="G41" s="70"/>
      <c r="H41" s="70"/>
      <c r="I41" s="70"/>
    </row>
    <row r="42" spans="1:9">
      <c r="A42" s="18"/>
      <c r="B42" s="18"/>
      <c r="C42" s="18"/>
      <c r="D42" s="18"/>
      <c r="E42" s="70"/>
      <c r="F42" s="70"/>
      <c r="G42" s="70"/>
      <c r="H42" s="70"/>
      <c r="I42" s="70"/>
    </row>
    <row r="43" spans="1:9">
      <c r="A43" s="18"/>
      <c r="B43" s="18"/>
      <c r="C43" s="18"/>
      <c r="D43" s="18"/>
      <c r="E43" s="70"/>
      <c r="F43" s="70"/>
      <c r="G43" s="70"/>
      <c r="H43" s="70"/>
      <c r="I43" s="70"/>
    </row>
    <row r="44" spans="1:9">
      <c r="A44" s="18"/>
      <c r="B44" s="18"/>
      <c r="C44" s="18"/>
      <c r="D44" s="18"/>
      <c r="E44" s="70"/>
      <c r="F44" s="70"/>
      <c r="G44" s="70"/>
      <c r="H44" s="70"/>
      <c r="I44" s="70"/>
    </row>
    <row r="45" spans="1:9">
      <c r="A45" s="18"/>
      <c r="B45" s="18"/>
      <c r="C45" s="18"/>
      <c r="D45" s="18"/>
      <c r="E45" s="70"/>
      <c r="F45" s="70"/>
      <c r="G45" s="70"/>
      <c r="H45" s="70"/>
      <c r="I45" s="70"/>
    </row>
    <row r="46" spans="1:9">
      <c r="A46" s="18"/>
      <c r="B46" s="18"/>
      <c r="C46" s="18"/>
      <c r="D46" s="18"/>
      <c r="E46" s="70"/>
      <c r="F46" s="70"/>
      <c r="G46" s="70"/>
      <c r="H46" s="70"/>
      <c r="I46" s="70"/>
    </row>
    <row r="47" spans="1:9">
      <c r="A47" s="18"/>
      <c r="B47" s="18"/>
      <c r="C47" s="18"/>
      <c r="D47" s="18"/>
      <c r="E47" s="70"/>
      <c r="F47" s="70"/>
      <c r="G47" s="70"/>
      <c r="H47" s="70"/>
      <c r="I47" s="70"/>
    </row>
    <row r="48" spans="1:9">
      <c r="A48" s="18"/>
      <c r="B48" s="18"/>
      <c r="C48" s="18"/>
      <c r="D48" s="18"/>
      <c r="E48" s="70"/>
      <c r="F48" s="70"/>
      <c r="G48" s="70"/>
      <c r="H48" s="70"/>
      <c r="I48" s="70"/>
    </row>
    <row r="49" spans="1:9">
      <c r="A49" s="18"/>
      <c r="B49" s="18"/>
      <c r="C49" s="18"/>
      <c r="D49" s="18"/>
      <c r="E49" s="70"/>
      <c r="F49" s="70"/>
      <c r="G49" s="70"/>
      <c r="H49" s="70"/>
      <c r="I49" s="70"/>
    </row>
    <row r="50" spans="1:9">
      <c r="A50" s="18"/>
      <c r="B50" s="18"/>
      <c r="C50" s="18"/>
      <c r="D50" s="18"/>
      <c r="E50" s="70"/>
      <c r="F50" s="70"/>
      <c r="G50" s="70"/>
      <c r="H50" s="70"/>
      <c r="I50" s="70"/>
    </row>
    <row r="51" spans="1:9">
      <c r="A51" s="18"/>
      <c r="B51" s="18"/>
      <c r="C51" s="18"/>
      <c r="D51" s="18"/>
      <c r="E51" s="70"/>
      <c r="F51" s="70"/>
      <c r="G51" s="70"/>
      <c r="H51" s="70"/>
      <c r="I51" s="70"/>
    </row>
    <row r="52" spans="1:9">
      <c r="A52" s="18"/>
      <c r="B52" s="18"/>
      <c r="C52" s="18"/>
      <c r="D52" s="18"/>
      <c r="E52" s="70"/>
      <c r="F52" s="70"/>
      <c r="G52" s="70"/>
      <c r="H52" s="70"/>
      <c r="I52" s="70"/>
    </row>
    <row r="53" spans="1:9">
      <c r="A53" s="18"/>
      <c r="B53" s="18"/>
      <c r="C53" s="18"/>
      <c r="D53" s="18"/>
      <c r="E53" s="70"/>
      <c r="F53" s="70"/>
      <c r="G53" s="70"/>
      <c r="H53" s="70"/>
      <c r="I53" s="70"/>
    </row>
    <row r="54" spans="1:9">
      <c r="A54" s="18"/>
      <c r="B54" s="18"/>
      <c r="C54" s="18"/>
      <c r="D54" s="18"/>
      <c r="E54" s="70"/>
      <c r="F54" s="70"/>
      <c r="G54" s="70"/>
      <c r="H54" s="70"/>
      <c r="I54" s="70"/>
    </row>
    <row r="55" spans="1:9">
      <c r="A55" s="18"/>
      <c r="B55" s="18"/>
      <c r="C55" s="18"/>
      <c r="D55" s="18"/>
      <c r="E55" s="70"/>
      <c r="F55" s="70"/>
      <c r="G55" s="70"/>
      <c r="H55" s="70"/>
      <c r="I55" s="70"/>
    </row>
    <row r="56" spans="1:9">
      <c r="A56" s="18"/>
      <c r="B56" s="18"/>
      <c r="C56" s="18"/>
      <c r="D56" s="18"/>
      <c r="E56" s="70"/>
      <c r="F56" s="70"/>
      <c r="G56" s="70"/>
      <c r="H56" s="70"/>
      <c r="I56" s="70"/>
    </row>
    <row r="57" spans="1:9">
      <c r="A57" s="18"/>
      <c r="B57" s="18"/>
      <c r="C57" s="18"/>
      <c r="D57" s="18"/>
      <c r="E57" s="70"/>
      <c r="F57" s="70"/>
      <c r="G57" s="70"/>
      <c r="H57" s="70"/>
      <c r="I57" s="70"/>
    </row>
    <row r="58" spans="1:9">
      <c r="A58" s="18"/>
      <c r="B58" s="18"/>
      <c r="C58" s="18"/>
      <c r="D58" s="18"/>
      <c r="E58" s="70"/>
      <c r="F58" s="70"/>
      <c r="G58" s="70"/>
      <c r="H58" s="70"/>
      <c r="I58" s="70"/>
    </row>
    <row r="59" spans="1:9">
      <c r="A59" s="18"/>
      <c r="B59" s="18"/>
      <c r="C59" s="18"/>
      <c r="D59" s="18"/>
      <c r="E59" s="70"/>
      <c r="F59" s="70"/>
      <c r="G59" s="70"/>
      <c r="H59" s="70"/>
      <c r="I59" s="70"/>
    </row>
    <row r="60" spans="1:9">
      <c r="A60" s="18"/>
      <c r="B60" s="18"/>
      <c r="C60" s="18"/>
      <c r="D60" s="18"/>
      <c r="E60" s="70"/>
      <c r="F60" s="70"/>
      <c r="G60" s="70"/>
      <c r="H60" s="70"/>
      <c r="I60" s="70"/>
    </row>
    <row r="61" spans="1:9">
      <c r="A61" s="18"/>
      <c r="B61" s="18"/>
      <c r="C61" s="18"/>
      <c r="D61" s="18"/>
      <c r="E61" s="70"/>
      <c r="F61" s="70"/>
      <c r="G61" s="70"/>
      <c r="H61" s="70"/>
      <c r="I61" s="70"/>
    </row>
    <row r="62" spans="1:9">
      <c r="A62" s="18"/>
      <c r="B62" s="18"/>
      <c r="C62" s="18"/>
      <c r="D62" s="18"/>
      <c r="E62" s="70"/>
      <c r="F62" s="70"/>
      <c r="G62" s="70"/>
      <c r="H62" s="70"/>
      <c r="I62" s="70"/>
    </row>
    <row r="63" spans="1:9">
      <c r="A63" s="18"/>
      <c r="B63" s="18"/>
      <c r="C63" s="18"/>
      <c r="D63" s="18"/>
      <c r="E63" s="70"/>
      <c r="F63" s="70"/>
      <c r="G63" s="70"/>
      <c r="H63" s="70"/>
      <c r="I63" s="70"/>
    </row>
    <row r="64" spans="1:9">
      <c r="A64" s="18"/>
      <c r="B64" s="18"/>
      <c r="C64" s="18"/>
      <c r="D64" s="18"/>
      <c r="E64" s="70"/>
      <c r="F64" s="70"/>
      <c r="G64" s="70"/>
      <c r="H64" s="70"/>
      <c r="I64" s="70"/>
    </row>
    <row r="65" spans="1:9">
      <c r="A65" s="18"/>
      <c r="B65" s="18"/>
      <c r="C65" s="18"/>
      <c r="D65" s="18"/>
      <c r="E65" s="70"/>
      <c r="F65" s="70"/>
      <c r="G65" s="70"/>
      <c r="H65" s="70"/>
      <c r="I65" s="70"/>
    </row>
    <row r="66" spans="1:9">
      <c r="A66" s="18"/>
      <c r="B66" s="18"/>
      <c r="C66" s="18"/>
      <c r="D66" s="18"/>
      <c r="E66" s="70"/>
      <c r="F66" s="70"/>
      <c r="G66" s="70"/>
      <c r="H66" s="70"/>
      <c r="I66" s="70"/>
    </row>
    <row r="67" spans="1:9">
      <c r="A67" s="18"/>
      <c r="B67" s="18"/>
      <c r="C67" s="18"/>
      <c r="D67" s="18"/>
      <c r="E67" s="70"/>
      <c r="F67" s="70"/>
      <c r="G67" s="70"/>
      <c r="H67" s="70"/>
      <c r="I67" s="70"/>
    </row>
    <row r="68" spans="1:9">
      <c r="A68" s="18"/>
      <c r="B68" s="18"/>
      <c r="C68" s="18"/>
      <c r="D68" s="18"/>
      <c r="E68" s="70"/>
      <c r="F68" s="70"/>
      <c r="G68" s="70"/>
      <c r="H68" s="70"/>
      <c r="I68" s="70"/>
    </row>
    <row r="69" spans="1:9">
      <c r="A69" s="18"/>
      <c r="B69" s="18"/>
      <c r="C69" s="18"/>
      <c r="D69" s="18"/>
      <c r="E69" s="70"/>
      <c r="F69" s="70"/>
      <c r="G69" s="70"/>
      <c r="H69" s="70"/>
      <c r="I69" s="70"/>
    </row>
    <row r="70" spans="1:9">
      <c r="A70" s="18"/>
      <c r="B70" s="18"/>
      <c r="C70" s="18"/>
      <c r="D70" s="18"/>
      <c r="E70" s="70"/>
      <c r="F70" s="70"/>
      <c r="G70" s="70"/>
      <c r="H70" s="70"/>
      <c r="I70" s="70"/>
    </row>
    <row r="71" spans="1:9">
      <c r="A71" s="18"/>
      <c r="B71" s="18"/>
      <c r="C71" s="18"/>
      <c r="D71" s="18"/>
      <c r="E71" s="70"/>
      <c r="F71" s="70"/>
      <c r="G71" s="70"/>
      <c r="H71" s="70"/>
      <c r="I71" s="70"/>
    </row>
    <row r="72" spans="1:9">
      <c r="A72" s="18"/>
      <c r="B72" s="18"/>
      <c r="C72" s="18"/>
      <c r="D72" s="18"/>
      <c r="E72" s="70"/>
      <c r="F72" s="70"/>
      <c r="G72" s="70"/>
      <c r="H72" s="70"/>
      <c r="I72" s="70"/>
    </row>
    <row r="73" spans="1:9">
      <c r="A73" s="18"/>
      <c r="B73" s="18"/>
      <c r="C73" s="18"/>
      <c r="D73" s="18"/>
      <c r="E73" s="70"/>
      <c r="F73" s="70"/>
      <c r="G73" s="70"/>
      <c r="H73" s="70"/>
      <c r="I73" s="70"/>
    </row>
    <row r="74" spans="1:9">
      <c r="A74" s="18"/>
      <c r="B74" s="18"/>
      <c r="C74" s="18"/>
      <c r="D74" s="18"/>
      <c r="E74" s="70"/>
      <c r="F74" s="70"/>
      <c r="G74" s="70"/>
      <c r="H74" s="70"/>
      <c r="I74" s="70"/>
    </row>
    <row r="75" spans="1:9">
      <c r="A75" s="18"/>
      <c r="B75" s="18"/>
      <c r="C75" s="18"/>
      <c r="D75" s="18"/>
      <c r="E75" s="70"/>
      <c r="F75" s="70"/>
      <c r="G75" s="70"/>
      <c r="H75" s="70"/>
      <c r="I75" s="70"/>
    </row>
    <row r="76" spans="1:9">
      <c r="A76" s="18"/>
      <c r="B76" s="18"/>
      <c r="C76" s="18"/>
      <c r="D76" s="18"/>
      <c r="E76" s="70"/>
      <c r="F76" s="70"/>
      <c r="G76" s="70"/>
      <c r="H76" s="70"/>
      <c r="I76" s="70"/>
    </row>
    <row r="77" spans="1:9">
      <c r="A77" s="18"/>
      <c r="B77" s="18"/>
      <c r="C77" s="18"/>
      <c r="D77" s="18"/>
      <c r="E77" s="70"/>
      <c r="F77" s="70"/>
      <c r="G77" s="70"/>
      <c r="H77" s="70"/>
      <c r="I77" s="70"/>
    </row>
    <row r="78" spans="1:9">
      <c r="A78" s="18"/>
      <c r="B78" s="18"/>
      <c r="C78" s="18"/>
      <c r="D78" s="18"/>
      <c r="E78" s="70"/>
      <c r="F78" s="70"/>
      <c r="G78" s="70"/>
      <c r="H78" s="70"/>
      <c r="I78" s="70"/>
    </row>
    <row r="79" spans="1:9">
      <c r="A79" s="18"/>
      <c r="B79" s="18"/>
      <c r="C79" s="18"/>
      <c r="D79" s="18"/>
      <c r="E79" s="70"/>
      <c r="F79" s="70"/>
      <c r="G79" s="70"/>
      <c r="H79" s="70"/>
      <c r="I79" s="70"/>
    </row>
    <row r="80" spans="1:9">
      <c r="A80" s="18"/>
      <c r="B80" s="18"/>
      <c r="C80" s="18"/>
      <c r="D80" s="18"/>
      <c r="E80" s="70"/>
      <c r="F80" s="70"/>
      <c r="G80" s="70"/>
      <c r="H80" s="70"/>
      <c r="I80" s="70"/>
    </row>
    <row r="81" spans="1:9">
      <c r="A81" s="18"/>
      <c r="B81" s="18"/>
      <c r="C81" s="18"/>
      <c r="D81" s="18"/>
      <c r="E81" s="70"/>
      <c r="F81" s="70"/>
      <c r="G81" s="70"/>
      <c r="H81" s="70"/>
      <c r="I81" s="70"/>
    </row>
    <row r="82" spans="1:9">
      <c r="A82" s="18"/>
      <c r="B82" s="18"/>
      <c r="C82" s="18"/>
      <c r="D82" s="18"/>
      <c r="E82" s="70"/>
      <c r="F82" s="70"/>
      <c r="G82" s="70"/>
      <c r="H82" s="70"/>
      <c r="I82" s="70"/>
    </row>
    <row r="83" spans="1:9">
      <c r="A83" s="18"/>
      <c r="B83" s="18"/>
      <c r="C83" s="18"/>
      <c r="D83" s="18"/>
      <c r="E83" s="70"/>
      <c r="F83" s="70"/>
      <c r="G83" s="70"/>
      <c r="H83" s="70"/>
      <c r="I83" s="70"/>
    </row>
    <row r="84" spans="1:9">
      <c r="A84" s="18"/>
      <c r="B84" s="18"/>
      <c r="C84" s="18"/>
      <c r="D84" s="18"/>
      <c r="E84" s="70"/>
      <c r="F84" s="70"/>
      <c r="G84" s="70"/>
      <c r="H84" s="70"/>
      <c r="I84" s="70"/>
    </row>
    <row r="85" spans="1:9">
      <c r="A85" s="18"/>
      <c r="B85" s="18"/>
      <c r="C85" s="18"/>
      <c r="D85" s="18"/>
      <c r="E85" s="70"/>
      <c r="F85" s="70"/>
      <c r="G85" s="70"/>
      <c r="H85" s="70"/>
      <c r="I85" s="70"/>
    </row>
    <row r="86" spans="1:9">
      <c r="A86" s="18"/>
      <c r="B86" s="18"/>
      <c r="C86" s="18"/>
      <c r="D86" s="18"/>
      <c r="E86" s="70"/>
      <c r="F86" s="70"/>
      <c r="G86" s="70"/>
      <c r="H86" s="70"/>
      <c r="I86" s="70"/>
    </row>
    <row r="87" spans="1:9">
      <c r="A87" s="18"/>
      <c r="B87" s="18"/>
      <c r="C87" s="18"/>
      <c r="D87" s="18"/>
      <c r="E87" s="70"/>
      <c r="F87" s="70"/>
      <c r="G87" s="70"/>
      <c r="H87" s="70"/>
      <c r="I87" s="70"/>
    </row>
    <row r="88" spans="1:9">
      <c r="A88" s="18"/>
      <c r="B88" s="18"/>
      <c r="C88" s="18"/>
      <c r="D88" s="18"/>
      <c r="E88" s="70"/>
      <c r="F88" s="70"/>
      <c r="G88" s="70"/>
      <c r="H88" s="70"/>
      <c r="I88" s="70"/>
    </row>
    <row r="89" spans="1:9">
      <c r="A89" s="18"/>
      <c r="B89" s="18"/>
      <c r="C89" s="18"/>
      <c r="D89" s="18"/>
      <c r="E89" s="70"/>
      <c r="F89" s="70"/>
      <c r="G89" s="70"/>
      <c r="H89" s="70"/>
      <c r="I89" s="70"/>
    </row>
    <row r="90" spans="1:9">
      <c r="A90" s="18"/>
      <c r="B90" s="18"/>
      <c r="C90" s="18"/>
      <c r="D90" s="18"/>
      <c r="E90" s="70"/>
      <c r="F90" s="70"/>
      <c r="G90" s="70"/>
      <c r="H90" s="70"/>
      <c r="I90" s="70"/>
    </row>
    <row r="91" spans="1:9">
      <c r="A91" s="18"/>
      <c r="B91" s="18"/>
      <c r="C91" s="18"/>
      <c r="D91" s="18"/>
      <c r="E91" s="70"/>
      <c r="F91" s="70"/>
      <c r="G91" s="70"/>
      <c r="H91" s="70"/>
      <c r="I91" s="70"/>
    </row>
    <row r="92" spans="1:9">
      <c r="A92" s="18"/>
      <c r="B92" s="18"/>
      <c r="C92" s="18"/>
      <c r="D92" s="18"/>
      <c r="E92" s="70"/>
      <c r="F92" s="70"/>
      <c r="G92" s="70"/>
      <c r="H92" s="70"/>
      <c r="I92" s="70"/>
    </row>
    <row r="93" spans="1:9">
      <c r="A93" s="18"/>
      <c r="B93" s="18"/>
      <c r="C93" s="18"/>
      <c r="D93" s="18"/>
      <c r="E93" s="70"/>
      <c r="F93" s="70"/>
      <c r="G93" s="70"/>
      <c r="H93" s="70"/>
      <c r="I93" s="70"/>
    </row>
    <row r="94" spans="1:9">
      <c r="A94" s="18"/>
      <c r="B94" s="18"/>
      <c r="C94" s="18"/>
      <c r="D94" s="18"/>
      <c r="E94" s="70"/>
      <c r="F94" s="70"/>
      <c r="G94" s="70"/>
      <c r="H94" s="70"/>
      <c r="I94" s="70"/>
    </row>
    <row r="95" spans="1:9">
      <c r="A95" s="18"/>
      <c r="B95" s="18"/>
      <c r="C95" s="18"/>
      <c r="D95" s="18"/>
      <c r="E95" s="70"/>
      <c r="F95" s="70"/>
      <c r="G95" s="70"/>
      <c r="H95" s="70"/>
      <c r="I95" s="70"/>
    </row>
    <row r="96" spans="1:9">
      <c r="A96" s="18"/>
      <c r="B96" s="18"/>
      <c r="C96" s="18"/>
      <c r="D96" s="18"/>
      <c r="E96" s="70"/>
      <c r="F96" s="70"/>
      <c r="G96" s="70"/>
      <c r="H96" s="70"/>
      <c r="I96" s="70"/>
    </row>
    <row r="97" spans="1:9">
      <c r="A97" s="18"/>
      <c r="B97" s="18"/>
      <c r="C97" s="18"/>
      <c r="D97" s="18"/>
      <c r="E97" s="70"/>
      <c r="F97" s="70"/>
      <c r="G97" s="70"/>
      <c r="H97" s="70"/>
      <c r="I97" s="70"/>
    </row>
    <row r="98" spans="1:9">
      <c r="A98" s="18"/>
      <c r="B98" s="18"/>
      <c r="C98" s="18"/>
      <c r="D98" s="18"/>
      <c r="E98" s="70"/>
      <c r="F98" s="70"/>
      <c r="G98" s="70"/>
      <c r="H98" s="70"/>
      <c r="I98" s="70"/>
    </row>
    <row r="99" spans="1:9">
      <c r="A99" s="18"/>
      <c r="B99" s="18"/>
      <c r="C99" s="18"/>
      <c r="D99" s="18"/>
      <c r="E99" s="70"/>
      <c r="F99" s="70"/>
      <c r="G99" s="70"/>
      <c r="H99" s="70"/>
      <c r="I99" s="70"/>
    </row>
    <row r="100" spans="1:9">
      <c r="A100" s="18"/>
      <c r="B100" s="18"/>
      <c r="C100" s="18"/>
      <c r="D100" s="18"/>
      <c r="E100" s="70"/>
      <c r="F100" s="70"/>
      <c r="G100" s="70"/>
      <c r="H100" s="70"/>
      <c r="I100" s="70"/>
    </row>
    <row r="101" spans="1:9">
      <c r="A101" s="18"/>
      <c r="B101" s="18"/>
      <c r="C101" s="18"/>
      <c r="D101" s="18"/>
      <c r="E101" s="70"/>
      <c r="F101" s="70"/>
      <c r="G101" s="70"/>
      <c r="H101" s="70"/>
      <c r="I101" s="70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6" t="s">
        <v>951</v>
      </c>
      <c r="B1" s="76" t="s">
        <v>940</v>
      </c>
    </row>
    <row r="2" spans="1:2">
      <c r="A2" s="18" t="s">
        <v>1230</v>
      </c>
      <c r="B2" s="18" t="s">
        <v>1264</v>
      </c>
    </row>
    <row r="3" spans="1:2">
      <c r="A3" s="18" t="s">
        <v>1265</v>
      </c>
      <c r="B3" s="18" t="s">
        <v>1266</v>
      </c>
    </row>
    <row r="4" spans="1:2">
      <c r="A4" s="18" t="s">
        <v>1267</v>
      </c>
      <c r="B4" s="18" t="s">
        <v>1268</v>
      </c>
    </row>
    <row r="5" spans="1:2">
      <c r="A5" s="18" t="s">
        <v>1269</v>
      </c>
      <c r="B5" s="18" t="s">
        <v>1270</v>
      </c>
    </row>
    <row r="6" spans="1:2">
      <c r="A6" s="18" t="s">
        <v>1271</v>
      </c>
      <c r="B6" s="18" t="s">
        <v>1272</v>
      </c>
    </row>
    <row r="7" spans="1:2">
      <c r="A7" s="18" t="s">
        <v>1273</v>
      </c>
      <c r="B7" s="18" t="s">
        <v>1274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21"/>
  <sheetViews>
    <sheetView workbookViewId="0"/>
  </sheetViews>
  <sheetFormatPr baseColWidth="10" defaultColWidth="8.6640625" defaultRowHeight="14"/>
  <cols>
    <col min="1" max="3" width="16" customWidth="1"/>
    <col min="4" max="8" width="22" customWidth="1"/>
  </cols>
  <sheetData>
    <row r="1" spans="1:8">
      <c r="A1" s="77" t="s">
        <v>98</v>
      </c>
      <c r="B1" s="77" t="s">
        <v>39</v>
      </c>
      <c r="C1" s="77" t="s">
        <v>786</v>
      </c>
      <c r="D1" s="77" t="s">
        <v>1275</v>
      </c>
      <c r="E1" s="77" t="s">
        <v>1276</v>
      </c>
      <c r="F1" s="77" t="s">
        <v>1277</v>
      </c>
      <c r="G1" s="77" t="s">
        <v>1258</v>
      </c>
      <c r="H1" s="77" t="s">
        <v>1278</v>
      </c>
    </row>
    <row r="2" spans="1:8">
      <c r="A2" s="18">
        <v>2026</v>
      </c>
      <c r="B2" s="18" t="s">
        <v>843</v>
      </c>
      <c r="C2" s="18" t="str">
        <f t="shared" ref="C2:C12" si="0">"Base Excel"</f>
        <v>Base Excel</v>
      </c>
      <c r="D2" s="70">
        <f>IFERROR(INDEX(internacional_base!$B:$B,MATCH(A2,internacional_base!$A:$A,0)),0)</f>
        <v>0</v>
      </c>
      <c r="E2" s="70">
        <f>IFERROR(INDEX(internacional_base!$D:$D,MATCH(A2,internacional_base!$A:$A,0)),0)</f>
        <v>0</v>
      </c>
      <c r="F2" s="70">
        <f t="shared" ref="F2:F21" si="1">D2/5</f>
        <v>0</v>
      </c>
      <c r="G2" s="70">
        <f t="shared" ref="G2:G21" si="2">MAX(0,E2-F2)</f>
        <v>0</v>
      </c>
      <c r="H2" s="70">
        <f t="shared" ref="H2:H21" si="3">F2+G2</f>
        <v>0</v>
      </c>
    </row>
    <row r="3" spans="1:8">
      <c r="A3" s="18">
        <v>2027</v>
      </c>
      <c r="B3" s="18" t="s">
        <v>843</v>
      </c>
      <c r="C3" s="18" t="str">
        <f t="shared" si="0"/>
        <v>Base Excel</v>
      </c>
      <c r="D3" s="70">
        <f>IFERROR(INDEX(internacional_base!$B:$B,MATCH(A3,internacional_base!$A:$A,0)),0)</f>
        <v>307</v>
      </c>
      <c r="E3" s="70">
        <f>IFERROR(INDEX(internacional_base!$D:$D,MATCH(A3,internacional_base!$A:$A,0)),0)</f>
        <v>254.97600000000003</v>
      </c>
      <c r="F3" s="70">
        <f t="shared" si="1"/>
        <v>61.4</v>
      </c>
      <c r="G3" s="70">
        <f t="shared" si="2"/>
        <v>193.57600000000002</v>
      </c>
      <c r="H3" s="70">
        <f t="shared" si="3"/>
        <v>254.97600000000003</v>
      </c>
    </row>
    <row r="4" spans="1:8">
      <c r="A4" s="18">
        <v>2028</v>
      </c>
      <c r="B4" s="18" t="s">
        <v>843</v>
      </c>
      <c r="C4" s="18" t="str">
        <f t="shared" si="0"/>
        <v>Base Excel</v>
      </c>
      <c r="D4" s="70">
        <f>IFERROR(INDEX(internacional_base!$B:$B,MATCH(A4,internacional_base!$A:$A,0)),0)</f>
        <v>1162</v>
      </c>
      <c r="E4" s="70">
        <f>IFERROR(INDEX(internacional_base!$D:$D,MATCH(A4,internacional_base!$A:$A,0)),0)</f>
        <v>1181.9865599999998</v>
      </c>
      <c r="F4" s="70">
        <f t="shared" si="1"/>
        <v>232.4</v>
      </c>
      <c r="G4" s="70">
        <f t="shared" si="2"/>
        <v>949.58655999999985</v>
      </c>
      <c r="H4" s="70">
        <f t="shared" si="3"/>
        <v>1181.9865599999998</v>
      </c>
    </row>
    <row r="5" spans="1:8">
      <c r="A5" s="18">
        <v>2029</v>
      </c>
      <c r="B5" s="18" t="s">
        <v>843</v>
      </c>
      <c r="C5" s="18" t="str">
        <f t="shared" si="0"/>
        <v>Base Excel</v>
      </c>
      <c r="D5" s="70">
        <f>IFERROR(INDEX(internacional_base!$B:$B,MATCH(A5,internacional_base!$A:$A,0)),0)</f>
        <v>1854</v>
      </c>
      <c r="E5" s="70">
        <f>IFERROR(INDEX(internacional_base!$D:$D,MATCH(A5,internacional_base!$A:$A,0)),0)</f>
        <v>2529.9126145</v>
      </c>
      <c r="F5" s="70">
        <f t="shared" si="1"/>
        <v>370.8</v>
      </c>
      <c r="G5" s="70">
        <f t="shared" si="2"/>
        <v>2159.1126144999998</v>
      </c>
      <c r="H5" s="70">
        <f t="shared" si="3"/>
        <v>2529.9126145</v>
      </c>
    </row>
    <row r="6" spans="1:8">
      <c r="A6" s="18">
        <v>2030</v>
      </c>
      <c r="B6" s="18" t="s">
        <v>843</v>
      </c>
      <c r="C6" s="18" t="str">
        <f t="shared" si="0"/>
        <v>Base Excel</v>
      </c>
      <c r="D6" s="70">
        <f>IFERROR(INDEX(internacional_base!$B:$B,MATCH(A6,internacional_base!$A:$A,0)),0)</f>
        <v>1989</v>
      </c>
      <c r="E6" s="70">
        <f>IFERROR(INDEX(internacional_base!$D:$D,MATCH(A6,internacional_base!$A:$A,0)),0)</f>
        <v>3822.4650744999999</v>
      </c>
      <c r="F6" s="70">
        <f t="shared" si="1"/>
        <v>397.8</v>
      </c>
      <c r="G6" s="70">
        <f t="shared" si="2"/>
        <v>3424.6650744999997</v>
      </c>
      <c r="H6" s="70">
        <f t="shared" si="3"/>
        <v>3822.4650744999999</v>
      </c>
    </row>
    <row r="7" spans="1:8">
      <c r="A7" s="18">
        <v>2031</v>
      </c>
      <c r="B7" s="18" t="s">
        <v>843</v>
      </c>
      <c r="C7" s="18" t="str">
        <f t="shared" si="0"/>
        <v>Base Excel</v>
      </c>
      <c r="D7" s="70">
        <f>IFERROR(INDEX(internacional_base!$B:$B,MATCH(A7,internacional_base!$A:$A,0)),0)</f>
        <v>2349</v>
      </c>
      <c r="E7" s="70">
        <f>IFERROR(INDEX(internacional_base!$D:$D,MATCH(A7,internacional_base!$A:$A,0)),0)</f>
        <v>5334.7430770000001</v>
      </c>
      <c r="F7" s="70">
        <f t="shared" si="1"/>
        <v>469.8</v>
      </c>
      <c r="G7" s="70">
        <f t="shared" si="2"/>
        <v>4864.9430769999999</v>
      </c>
      <c r="H7" s="70">
        <f t="shared" si="3"/>
        <v>5334.7430770000001</v>
      </c>
    </row>
    <row r="8" spans="1:8">
      <c r="A8" s="18">
        <v>2032</v>
      </c>
      <c r="B8" s="18" t="s">
        <v>843</v>
      </c>
      <c r="C8" s="18" t="str">
        <f t="shared" si="0"/>
        <v>Base Excel</v>
      </c>
      <c r="D8" s="70">
        <f>IFERROR(INDEX(internacional_base!$B:$B,MATCH(A8,internacional_base!$A:$A,0)),0)</f>
        <v>3667</v>
      </c>
      <c r="E8" s="70">
        <f>IFERROR(INDEX(internacional_base!$D:$D,MATCH(A8,internacional_base!$A:$A,0)),0)</f>
        <v>7702.9933890000011</v>
      </c>
      <c r="F8" s="70">
        <f t="shared" si="1"/>
        <v>733.4</v>
      </c>
      <c r="G8" s="70">
        <f t="shared" si="2"/>
        <v>6969.5933890000015</v>
      </c>
      <c r="H8" s="70">
        <f t="shared" si="3"/>
        <v>7702.9933890000011</v>
      </c>
    </row>
    <row r="9" spans="1:8">
      <c r="A9" s="18">
        <v>2033</v>
      </c>
      <c r="B9" s="18" t="s">
        <v>843</v>
      </c>
      <c r="C9" s="18" t="str">
        <f t="shared" si="0"/>
        <v>Base Excel</v>
      </c>
      <c r="D9" s="70">
        <f>IFERROR(INDEX(internacional_base!$B:$B,MATCH(A9,internacional_base!$A:$A,0)),0)</f>
        <v>3845</v>
      </c>
      <c r="E9" s="70">
        <f>IFERROR(INDEX(internacional_base!$D:$D,MATCH(A9,internacional_base!$A:$A,0)),0)</f>
        <v>9616.848215</v>
      </c>
      <c r="F9" s="70">
        <f t="shared" si="1"/>
        <v>769</v>
      </c>
      <c r="G9" s="70">
        <f t="shared" si="2"/>
        <v>8847.848215</v>
      </c>
      <c r="H9" s="70">
        <f t="shared" si="3"/>
        <v>9616.848215</v>
      </c>
    </row>
    <row r="10" spans="1:8">
      <c r="A10" s="18">
        <v>2034</v>
      </c>
      <c r="B10" s="18" t="s">
        <v>843</v>
      </c>
      <c r="C10" s="18" t="str">
        <f t="shared" si="0"/>
        <v>Base Excel</v>
      </c>
      <c r="D10" s="70">
        <f>IFERROR(INDEX(internacional_base!$B:$B,MATCH(A10,internacional_base!$A:$A,0)),0)</f>
        <v>4543</v>
      </c>
      <c r="E10" s="70">
        <f>IFERROR(INDEX(internacional_base!$D:$D,MATCH(A10,internacional_base!$A:$A,0)),0)</f>
        <v>11811.9915315</v>
      </c>
      <c r="F10" s="70">
        <f t="shared" si="1"/>
        <v>908.6</v>
      </c>
      <c r="G10" s="70">
        <f t="shared" si="2"/>
        <v>10903.391531499999</v>
      </c>
      <c r="H10" s="70">
        <f t="shared" si="3"/>
        <v>11811.9915315</v>
      </c>
    </row>
    <row r="11" spans="1:8">
      <c r="A11" s="18">
        <v>2035</v>
      </c>
      <c r="B11" s="18" t="s">
        <v>843</v>
      </c>
      <c r="C11" s="18" t="str">
        <f t="shared" si="0"/>
        <v>Base Excel</v>
      </c>
      <c r="D11" s="70">
        <f>IFERROR(INDEX(internacional_base!$B:$B,MATCH(A11,internacional_base!$A:$A,0)),0)</f>
        <v>4543</v>
      </c>
      <c r="E11" s="70">
        <f>IFERROR(INDEX(internacional_base!$D:$D,MATCH(A11,internacional_base!$A:$A,0)),0)</f>
        <v>13811.101949</v>
      </c>
      <c r="F11" s="70">
        <f t="shared" si="1"/>
        <v>908.6</v>
      </c>
      <c r="G11" s="70">
        <f t="shared" si="2"/>
        <v>12902.501949</v>
      </c>
      <c r="H11" s="70">
        <f t="shared" si="3"/>
        <v>13811.101949</v>
      </c>
    </row>
    <row r="12" spans="1:8">
      <c r="A12" s="18">
        <v>2036</v>
      </c>
      <c r="B12" s="18" t="s">
        <v>843</v>
      </c>
      <c r="C12" s="18" t="str">
        <f t="shared" si="0"/>
        <v>Base Excel</v>
      </c>
      <c r="D12" s="70">
        <f>IFERROR(INDEX(internacional_base!$B:$B,MATCH(A12,internacional_base!$A:$A,0)),0)</f>
        <v>4543</v>
      </c>
      <c r="E12" s="70">
        <f>IFERROR(INDEX(internacional_base!$D:$D,MATCH(A12,internacional_base!$A:$A,0)),0)</f>
        <v>16471.486228000002</v>
      </c>
      <c r="F12" s="70">
        <f t="shared" si="1"/>
        <v>908.6</v>
      </c>
      <c r="G12" s="70">
        <f t="shared" si="2"/>
        <v>15562.886228000001</v>
      </c>
      <c r="H12" s="70">
        <f t="shared" si="3"/>
        <v>16471.486228000002</v>
      </c>
    </row>
    <row r="13" spans="1:8">
      <c r="A13" s="18">
        <v>2037</v>
      </c>
      <c r="B13" s="18" t="s">
        <v>843</v>
      </c>
      <c r="C13" s="18" t="str">
        <f t="shared" ref="C13:C21" si="4">"Proyección"</f>
        <v>Proyección</v>
      </c>
      <c r="D13" s="70">
        <f>D12*(1+IFERROR(INDEX(internacional_crecimiento!$B:$B,MATCH(A13,internacional_crecimiento!$A:$A,0)),3%))</f>
        <v>4679.29</v>
      </c>
      <c r="E13" s="70">
        <f>E12*(1+IFERROR(INDEX(internacional_crecimiento!$D:$D,MATCH(A13,internacional_crecimiento!$A:$A,0)),3%))</f>
        <v>16965.630814840002</v>
      </c>
      <c r="F13" s="70">
        <f t="shared" si="1"/>
        <v>935.85799999999995</v>
      </c>
      <c r="G13" s="70">
        <f t="shared" si="2"/>
        <v>16029.772814840002</v>
      </c>
      <c r="H13" s="70">
        <f t="shared" si="3"/>
        <v>16965.630814840002</v>
      </c>
    </row>
    <row r="14" spans="1:8">
      <c r="A14" s="18">
        <v>2038</v>
      </c>
      <c r="B14" s="18" t="s">
        <v>843</v>
      </c>
      <c r="C14" s="18" t="str">
        <f t="shared" si="4"/>
        <v>Proyección</v>
      </c>
      <c r="D14" s="70">
        <f>D13*(1+IFERROR(INDEX(internacional_crecimiento!$B:$B,MATCH(A14,internacional_crecimiento!$A:$A,0)),3%))</f>
        <v>4819.6687000000002</v>
      </c>
      <c r="E14" s="70">
        <f>E13*(1+IFERROR(INDEX(internacional_crecimiento!$D:$D,MATCH(A14,internacional_crecimiento!$A:$A,0)),3%))</f>
        <v>17474.599739285204</v>
      </c>
      <c r="F14" s="70">
        <f t="shared" si="1"/>
        <v>963.93374000000006</v>
      </c>
      <c r="G14" s="70">
        <f t="shared" si="2"/>
        <v>16510.665999285204</v>
      </c>
      <c r="H14" s="70">
        <f t="shared" si="3"/>
        <v>17474.599739285204</v>
      </c>
    </row>
    <row r="15" spans="1:8">
      <c r="A15" s="18">
        <v>2039</v>
      </c>
      <c r="B15" s="18" t="s">
        <v>843</v>
      </c>
      <c r="C15" s="18" t="str">
        <f t="shared" si="4"/>
        <v>Proyección</v>
      </c>
      <c r="D15" s="70">
        <f>D14*(1+IFERROR(INDEX(internacional_crecimiento!$B:$B,MATCH(A15,internacional_crecimiento!$A:$A,0)),3%))</f>
        <v>4964.258761</v>
      </c>
      <c r="E15" s="70">
        <f>E14*(1+IFERROR(INDEX(internacional_crecimiento!$D:$D,MATCH(A15,internacional_crecimiento!$A:$A,0)),3%))</f>
        <v>17998.837731463762</v>
      </c>
      <c r="F15" s="70">
        <f t="shared" si="1"/>
        <v>992.85175219999996</v>
      </c>
      <c r="G15" s="70">
        <f t="shared" si="2"/>
        <v>17005.985979263762</v>
      </c>
      <c r="H15" s="70">
        <f t="shared" si="3"/>
        <v>17998.837731463762</v>
      </c>
    </row>
    <row r="16" spans="1:8">
      <c r="A16" s="18">
        <v>2040</v>
      </c>
      <c r="B16" s="18" t="s">
        <v>843</v>
      </c>
      <c r="C16" s="18" t="str">
        <f t="shared" si="4"/>
        <v>Proyección</v>
      </c>
      <c r="D16" s="70">
        <f>D15*(1+IFERROR(INDEX(internacional_crecimiento!$B:$B,MATCH(A16,internacional_crecimiento!$A:$A,0)),3%))</f>
        <v>5113.1865238300006</v>
      </c>
      <c r="E16" s="70">
        <f>E15*(1+IFERROR(INDEX(internacional_crecimiento!$D:$D,MATCH(A16,internacional_crecimiento!$A:$A,0)),3%))</f>
        <v>18538.802863407676</v>
      </c>
      <c r="F16" s="70">
        <f t="shared" si="1"/>
        <v>1022.6373047660002</v>
      </c>
      <c r="G16" s="70">
        <f t="shared" si="2"/>
        <v>17516.165558641675</v>
      </c>
      <c r="H16" s="70">
        <f t="shared" si="3"/>
        <v>18538.802863407676</v>
      </c>
    </row>
    <row r="17" spans="1:8">
      <c r="A17" s="18">
        <v>2041</v>
      </c>
      <c r="B17" s="18" t="s">
        <v>843</v>
      </c>
      <c r="C17" s="18" t="str">
        <f t="shared" si="4"/>
        <v>Proyección</v>
      </c>
      <c r="D17" s="70">
        <f>D16*(1+IFERROR(INDEX(internacional_crecimiento!$B:$B,MATCH(A17,internacional_crecimiento!$A:$A,0)),3%))</f>
        <v>5266.5821195449007</v>
      </c>
      <c r="E17" s="70">
        <f>E16*(1+IFERROR(INDEX(internacional_crecimiento!$D:$D,MATCH(A17,internacional_crecimiento!$A:$A,0)),3%))</f>
        <v>19094.966949309906</v>
      </c>
      <c r="F17" s="70">
        <f t="shared" si="1"/>
        <v>1053.3164239089801</v>
      </c>
      <c r="G17" s="70">
        <f t="shared" si="2"/>
        <v>18041.650525400924</v>
      </c>
      <c r="H17" s="70">
        <f t="shared" si="3"/>
        <v>19094.966949309906</v>
      </c>
    </row>
    <row r="18" spans="1:8">
      <c r="A18" s="18">
        <v>2042</v>
      </c>
      <c r="B18" s="18" t="s">
        <v>843</v>
      </c>
      <c r="C18" s="18" t="str">
        <f t="shared" si="4"/>
        <v>Proyección</v>
      </c>
      <c r="D18" s="70">
        <f>D17*(1+IFERROR(INDEX(internacional_crecimiento!$B:$B,MATCH(A18,internacional_crecimiento!$A:$A,0)),3%))</f>
        <v>5424.579583131248</v>
      </c>
      <c r="E18" s="70">
        <f>E17*(1+IFERROR(INDEX(internacional_crecimiento!$D:$D,MATCH(A18,internacional_crecimiento!$A:$A,0)),3%))</f>
        <v>19667.815957789204</v>
      </c>
      <c r="F18" s="70">
        <f t="shared" si="1"/>
        <v>1084.9159166262496</v>
      </c>
      <c r="G18" s="70">
        <f t="shared" si="2"/>
        <v>18582.900041162953</v>
      </c>
      <c r="H18" s="70">
        <f t="shared" si="3"/>
        <v>19667.815957789204</v>
      </c>
    </row>
    <row r="19" spans="1:8">
      <c r="A19" s="18">
        <v>2043</v>
      </c>
      <c r="B19" s="18" t="s">
        <v>843</v>
      </c>
      <c r="C19" s="18" t="str">
        <f t="shared" si="4"/>
        <v>Proyección</v>
      </c>
      <c r="D19" s="70">
        <f>D18*(1+IFERROR(INDEX(internacional_crecimiento!$B:$B,MATCH(A19,internacional_crecimiento!$A:$A,0)),3%))</f>
        <v>5587.3169706251856</v>
      </c>
      <c r="E19" s="70">
        <f>E18*(1+IFERROR(INDEX(internacional_crecimiento!$D:$D,MATCH(A19,internacional_crecimiento!$A:$A,0)),3%))</f>
        <v>20257.85043652288</v>
      </c>
      <c r="F19" s="70">
        <f t="shared" si="1"/>
        <v>1117.4633941250372</v>
      </c>
      <c r="G19" s="70">
        <f t="shared" si="2"/>
        <v>19140.387042397844</v>
      </c>
      <c r="H19" s="70">
        <f t="shared" si="3"/>
        <v>20257.85043652288</v>
      </c>
    </row>
    <row r="20" spans="1:8">
      <c r="A20" s="18">
        <v>2044</v>
      </c>
      <c r="B20" s="18" t="s">
        <v>843</v>
      </c>
      <c r="C20" s="18" t="str">
        <f t="shared" si="4"/>
        <v>Proyección</v>
      </c>
      <c r="D20" s="70">
        <f>D19*(1+IFERROR(INDEX(internacional_crecimiento!$B:$B,MATCH(A20,internacional_crecimiento!$A:$A,0)),3%))</f>
        <v>5754.9364797439412</v>
      </c>
      <c r="E20" s="70">
        <f>E19*(1+IFERROR(INDEX(internacional_crecimiento!$D:$D,MATCH(A20,internacional_crecimiento!$A:$A,0)),3%))</f>
        <v>20865.585949618566</v>
      </c>
      <c r="F20" s="70">
        <f t="shared" si="1"/>
        <v>1150.9872959487882</v>
      </c>
      <c r="G20" s="70">
        <f t="shared" si="2"/>
        <v>19714.598653669778</v>
      </c>
      <c r="H20" s="70">
        <f t="shared" si="3"/>
        <v>20865.585949618566</v>
      </c>
    </row>
    <row r="21" spans="1:8">
      <c r="A21" s="18">
        <v>2045</v>
      </c>
      <c r="B21" s="18" t="s">
        <v>843</v>
      </c>
      <c r="C21" s="18" t="str">
        <f t="shared" si="4"/>
        <v>Proyección</v>
      </c>
      <c r="D21" s="70">
        <f>D20*(1+IFERROR(INDEX(internacional_crecimiento!$B:$B,MATCH(A21,internacional_crecimiento!$A:$A,0)),3%))</f>
        <v>5927.5845741362591</v>
      </c>
      <c r="E21" s="70">
        <f>E20*(1+IFERROR(INDEX(internacional_crecimiento!$D:$D,MATCH(A21,internacional_crecimiento!$A:$A,0)),3%))</f>
        <v>21491.553528107124</v>
      </c>
      <c r="F21" s="70">
        <f t="shared" si="1"/>
        <v>1185.5169148272519</v>
      </c>
      <c r="G21" s="70">
        <f t="shared" si="2"/>
        <v>20306.036613279874</v>
      </c>
      <c r="H21" s="70">
        <f t="shared" si="3"/>
        <v>21491.553528107124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E5"/>
  <sheetViews>
    <sheetView workbookViewId="0"/>
  </sheetViews>
  <sheetFormatPr baseColWidth="10" defaultColWidth="8.6640625" defaultRowHeight="14"/>
  <cols>
    <col min="1" max="2" width="28" customWidth="1"/>
    <col min="3" max="4" width="48" customWidth="1"/>
    <col min="5" max="5" width="28" customWidth="1"/>
  </cols>
  <sheetData>
    <row r="1" spans="1:5">
      <c r="A1" s="79" t="s">
        <v>98</v>
      </c>
      <c r="B1" s="79" t="s">
        <v>1279</v>
      </c>
      <c r="C1" s="79" t="s">
        <v>151</v>
      </c>
      <c r="D1" s="79" t="s">
        <v>1280</v>
      </c>
      <c r="E1" s="79" t="s">
        <v>1281</v>
      </c>
    </row>
    <row r="2" spans="1:5">
      <c r="A2" s="78">
        <v>2036</v>
      </c>
      <c r="B2" s="78" t="s">
        <v>1068</v>
      </c>
      <c r="C2" s="78" t="s">
        <v>1282</v>
      </c>
      <c r="D2" s="78" t="s">
        <v>1283</v>
      </c>
      <c r="E2" s="78" t="s">
        <v>1284</v>
      </c>
    </row>
    <row r="3" spans="1:5">
      <c r="A3" s="78">
        <v>2036</v>
      </c>
      <c r="B3" s="78" t="s">
        <v>1285</v>
      </c>
      <c r="C3" s="78" t="s">
        <v>1286</v>
      </c>
      <c r="D3" s="78" t="s">
        <v>1287</v>
      </c>
      <c r="E3" s="78" t="s">
        <v>1284</v>
      </c>
    </row>
    <row r="4" spans="1:5">
      <c r="A4" s="78">
        <v>2036</v>
      </c>
      <c r="B4" s="78" t="s">
        <v>1288</v>
      </c>
      <c r="C4" s="78" t="s">
        <v>1289</v>
      </c>
      <c r="D4" s="78" t="s">
        <v>1290</v>
      </c>
      <c r="E4" s="78" t="s">
        <v>1284</v>
      </c>
    </row>
    <row r="5" spans="1:5">
      <c r="A5" s="18">
        <v>2037</v>
      </c>
      <c r="B5" s="18" t="s">
        <v>1291</v>
      </c>
      <c r="C5" s="18" t="s">
        <v>1292</v>
      </c>
      <c r="D5" s="18" t="s">
        <v>1293</v>
      </c>
      <c r="E5" s="18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F5"/>
  <sheetViews>
    <sheetView workbookViewId="0"/>
  </sheetViews>
  <sheetFormatPr baseColWidth="10" defaultColWidth="8.6640625" defaultRowHeight="14"/>
  <cols>
    <col min="1" max="2" width="24" customWidth="1"/>
    <col min="3" max="5" width="48" customWidth="1"/>
    <col min="6" max="6" width="24" customWidth="1"/>
  </cols>
  <sheetData>
    <row r="1" spans="1:6">
      <c r="A1" s="77" t="s">
        <v>1294</v>
      </c>
      <c r="B1" s="77" t="s">
        <v>1295</v>
      </c>
      <c r="C1" s="77" t="s">
        <v>152</v>
      </c>
      <c r="D1" s="77" t="s">
        <v>1296</v>
      </c>
      <c r="E1" s="77" t="s">
        <v>738</v>
      </c>
      <c r="F1" s="77"/>
    </row>
    <row r="2" spans="1:6">
      <c r="A2" s="18" t="s">
        <v>1297</v>
      </c>
      <c r="B2" s="18" t="s">
        <v>1298</v>
      </c>
      <c r="C2" s="18" t="s">
        <v>1299</v>
      </c>
      <c r="D2" s="18" t="s">
        <v>1300</v>
      </c>
      <c r="E2" s="18" t="s">
        <v>1301</v>
      </c>
      <c r="F2" s="18"/>
    </row>
    <row r="3" spans="1:6">
      <c r="A3" s="18" t="s">
        <v>36</v>
      </c>
      <c r="B3" s="18" t="s">
        <v>1302</v>
      </c>
      <c r="C3" s="18" t="s">
        <v>1303</v>
      </c>
      <c r="D3" s="18" t="s">
        <v>1300</v>
      </c>
      <c r="E3" s="18" t="s">
        <v>1304</v>
      </c>
      <c r="F3" s="18"/>
    </row>
    <row r="4" spans="1:6">
      <c r="A4" s="18" t="s">
        <v>37</v>
      </c>
      <c r="B4" s="18" t="s">
        <v>1305</v>
      </c>
      <c r="C4" s="18" t="s">
        <v>1306</v>
      </c>
      <c r="D4" s="18" t="s">
        <v>1300</v>
      </c>
      <c r="E4" s="18" t="s">
        <v>1307</v>
      </c>
      <c r="F4" s="18"/>
    </row>
    <row r="5" spans="1:6">
      <c r="A5" s="18" t="s">
        <v>842</v>
      </c>
      <c r="B5" s="18" t="s">
        <v>1308</v>
      </c>
      <c r="C5" s="18" t="s">
        <v>1309</v>
      </c>
      <c r="D5" s="18" t="s">
        <v>1310</v>
      </c>
      <c r="E5" s="18" t="s">
        <v>1311</v>
      </c>
      <c r="F5" s="18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B10"/>
  <sheetViews>
    <sheetView workbookViewId="0"/>
  </sheetViews>
  <sheetFormatPr baseColWidth="10" defaultColWidth="8.6640625" defaultRowHeight="14"/>
  <cols>
    <col min="1" max="1" width="26" customWidth="1"/>
    <col min="2" max="2" width="105" customWidth="1"/>
  </cols>
  <sheetData>
    <row r="1" spans="1:2">
      <c r="A1" s="77" t="s">
        <v>951</v>
      </c>
      <c r="B1" s="77" t="s">
        <v>940</v>
      </c>
    </row>
    <row r="2" spans="1:2">
      <c r="A2" s="18" t="s">
        <v>1312</v>
      </c>
      <c r="B2" s="18" t="s">
        <v>1313</v>
      </c>
    </row>
    <row r="3" spans="1:2">
      <c r="A3" s="18" t="s">
        <v>1314</v>
      </c>
      <c r="B3" s="18" t="s">
        <v>1315</v>
      </c>
    </row>
    <row r="4" spans="1:2">
      <c r="A4" s="18" t="s">
        <v>1316</v>
      </c>
      <c r="B4" s="18" t="s">
        <v>1317</v>
      </c>
    </row>
    <row r="5" spans="1:2">
      <c r="A5" s="18" t="s">
        <v>1232</v>
      </c>
      <c r="B5" s="18" t="s">
        <v>1318</v>
      </c>
    </row>
    <row r="6" spans="1:2">
      <c r="A6" s="18" t="s">
        <v>1319</v>
      </c>
      <c r="B6" s="18" t="s">
        <v>1320</v>
      </c>
    </row>
    <row r="7" spans="1:2">
      <c r="A7" s="18" t="s">
        <v>1298</v>
      </c>
      <c r="B7" s="18" t="s">
        <v>1321</v>
      </c>
    </row>
    <row r="8" spans="1:2">
      <c r="A8" s="18" t="s">
        <v>1322</v>
      </c>
      <c r="B8" s="18" t="s">
        <v>1323</v>
      </c>
    </row>
    <row r="9" spans="1:2">
      <c r="A9" s="18" t="s">
        <v>1197</v>
      </c>
      <c r="B9" s="18" t="s">
        <v>1324</v>
      </c>
    </row>
    <row r="10" spans="1:2">
      <c r="A10" s="18" t="s">
        <v>130</v>
      </c>
      <c r="B10" s="18" t="s">
        <v>1325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B5"/>
  <sheetViews>
    <sheetView workbookViewId="0"/>
  </sheetViews>
  <sheetFormatPr baseColWidth="10" defaultColWidth="8.6640625" defaultRowHeight="14"/>
  <cols>
    <col min="1" max="1" width="26" customWidth="1"/>
    <col min="2" max="2" width="100" customWidth="1"/>
  </cols>
  <sheetData>
    <row r="1" spans="1:2">
      <c r="A1" s="79" t="s">
        <v>951</v>
      </c>
      <c r="B1" s="79" t="s">
        <v>940</v>
      </c>
    </row>
    <row r="2" spans="1:2">
      <c r="A2" s="18" t="s">
        <v>1326</v>
      </c>
      <c r="B2" s="18" t="s">
        <v>1327</v>
      </c>
    </row>
    <row r="3" spans="1:2">
      <c r="A3" s="18" t="s">
        <v>1328</v>
      </c>
      <c r="B3" s="18" t="s">
        <v>1329</v>
      </c>
    </row>
    <row r="4" spans="1:2">
      <c r="A4" s="18" t="s">
        <v>130</v>
      </c>
      <c r="B4" s="18" t="s">
        <v>1330</v>
      </c>
    </row>
    <row r="5" spans="1:2">
      <c r="A5" s="18" t="s">
        <v>1331</v>
      </c>
      <c r="B5" s="18" t="s">
        <v>1332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I7"/>
  <sheetViews>
    <sheetView workbookViewId="0"/>
  </sheetViews>
  <sheetFormatPr baseColWidth="10" defaultColWidth="8.6640625" defaultRowHeight="14"/>
  <cols>
    <col min="1" max="9" width="22" customWidth="1"/>
  </cols>
  <sheetData>
    <row r="1" spans="1:9" ht="28">
      <c r="A1" s="80" t="s">
        <v>98</v>
      </c>
      <c r="B1" s="80" t="s">
        <v>37</v>
      </c>
      <c r="C1" s="80" t="s">
        <v>1277</v>
      </c>
      <c r="D1" s="80" t="s">
        <v>1333</v>
      </c>
      <c r="E1" s="80" t="s">
        <v>1334</v>
      </c>
      <c r="F1" s="80" t="s">
        <v>1278</v>
      </c>
      <c r="G1" s="80" t="s">
        <v>1335</v>
      </c>
      <c r="H1" s="80" t="s">
        <v>1336</v>
      </c>
      <c r="I1" s="80" t="s">
        <v>1337</v>
      </c>
    </row>
    <row r="2" spans="1:9">
      <c r="A2" s="81">
        <v>2036</v>
      </c>
      <c r="B2" s="81" t="s">
        <v>105</v>
      </c>
      <c r="C2" s="81"/>
      <c r="D2" s="81"/>
      <c r="E2" s="81"/>
      <c r="F2" s="81"/>
      <c r="G2" s="81"/>
      <c r="H2" s="81"/>
      <c r="I2" s="81" t="s">
        <v>1338</v>
      </c>
    </row>
    <row r="3" spans="1:9">
      <c r="A3" s="81">
        <v>2036</v>
      </c>
      <c r="B3" s="81" t="s">
        <v>106</v>
      </c>
      <c r="C3" s="81"/>
      <c r="D3" s="81"/>
      <c r="E3" s="81"/>
      <c r="F3" s="81"/>
      <c r="G3" s="81"/>
      <c r="H3" s="81"/>
      <c r="I3" s="81" t="s">
        <v>1338</v>
      </c>
    </row>
    <row r="4" spans="1:9">
      <c r="A4" s="81">
        <v>2036</v>
      </c>
      <c r="B4" s="81" t="s">
        <v>1110</v>
      </c>
      <c r="C4" s="81"/>
      <c r="D4" s="81"/>
      <c r="E4" s="81"/>
      <c r="F4" s="81"/>
      <c r="G4" s="81" t="s">
        <v>1339</v>
      </c>
      <c r="H4" s="81" t="s">
        <v>1340</v>
      </c>
      <c r="I4" s="81" t="s">
        <v>1338</v>
      </c>
    </row>
    <row r="5" spans="1:9">
      <c r="A5" s="18">
        <v>2037</v>
      </c>
      <c r="B5" s="18" t="s">
        <v>105</v>
      </c>
      <c r="C5" s="18"/>
      <c r="D5" s="18"/>
      <c r="E5" s="18"/>
      <c r="F5" s="18"/>
      <c r="G5" s="18"/>
      <c r="H5" s="18"/>
      <c r="I5" s="18"/>
    </row>
    <row r="6" spans="1:9">
      <c r="A6" s="18">
        <v>2037</v>
      </c>
      <c r="B6" s="18" t="s">
        <v>106</v>
      </c>
      <c r="C6" s="18"/>
      <c r="D6" s="18"/>
      <c r="E6" s="18"/>
      <c r="F6" s="18"/>
      <c r="G6" s="18"/>
      <c r="H6" s="18"/>
      <c r="I6" s="18"/>
    </row>
    <row r="7" spans="1:9" ht="28">
      <c r="A7" s="18">
        <v>2037</v>
      </c>
      <c r="B7" s="18" t="s">
        <v>1110</v>
      </c>
      <c r="C7" s="18"/>
      <c r="D7" s="18"/>
      <c r="E7" s="18"/>
      <c r="F7" s="18"/>
      <c r="G7" s="18"/>
      <c r="H7" s="18"/>
      <c r="I7" s="18" t="s">
        <v>1341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0" t="s">
        <v>951</v>
      </c>
      <c r="B1" s="80" t="s">
        <v>940</v>
      </c>
    </row>
    <row r="2" spans="1:2">
      <c r="A2" s="18" t="s">
        <v>1232</v>
      </c>
      <c r="B2" s="18" t="s">
        <v>1342</v>
      </c>
    </row>
    <row r="3" spans="1:2">
      <c r="A3" s="18" t="s">
        <v>1343</v>
      </c>
      <c r="B3" s="18" t="s">
        <v>1344</v>
      </c>
    </row>
    <row r="4" spans="1:2">
      <c r="A4" s="18" t="s">
        <v>744</v>
      </c>
      <c r="B4" s="18" t="s">
        <v>1345</v>
      </c>
    </row>
    <row r="5" spans="1:2">
      <c r="A5" s="18" t="s">
        <v>1346</v>
      </c>
      <c r="B5" s="18" t="s">
        <v>1347</v>
      </c>
    </row>
    <row r="6" spans="1:2">
      <c r="A6" s="18" t="s">
        <v>1072</v>
      </c>
      <c r="B6" s="18" t="s">
        <v>1348</v>
      </c>
    </row>
    <row r="7" spans="1:2">
      <c r="A7" s="18" t="s">
        <v>1349</v>
      </c>
      <c r="B7" s="18" t="s">
        <v>1350</v>
      </c>
    </row>
    <row r="8" spans="1:2">
      <c r="A8" s="18" t="s">
        <v>1248</v>
      </c>
      <c r="B8" s="18" t="s">
        <v>1351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G81"/>
  <sheetViews>
    <sheetView tabSelected="1" workbookViewId="0">
      <selection activeCell="E9" sqref="E9"/>
    </sheetView>
  </sheetViews>
  <sheetFormatPr baseColWidth="10" defaultColWidth="8.6640625" defaultRowHeight="14"/>
  <cols>
    <col min="1" max="6" width="16" customWidth="1"/>
    <col min="7" max="7" width="78" customWidth="1"/>
  </cols>
  <sheetData>
    <row r="1" spans="1:7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1352</v>
      </c>
      <c r="G1" s="82" t="s">
        <v>738</v>
      </c>
    </row>
    <row r="2" spans="1:7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>
        <v>0</v>
      </c>
      <c r="G2" s="18" t="s">
        <v>1353</v>
      </c>
    </row>
    <row r="3" spans="1:7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>
        <v>0</v>
      </c>
      <c r="G3" s="18" t="s">
        <v>1353</v>
      </c>
    </row>
    <row r="4" spans="1:7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>
        <v>2023</v>
      </c>
      <c r="G4" s="18" t="s">
        <v>1353</v>
      </c>
    </row>
    <row r="5" spans="1:7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/>
      <c r="G5" s="18" t="s">
        <v>1353</v>
      </c>
    </row>
    <row r="6" spans="1:7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>
        <v>1697</v>
      </c>
      <c r="G6" s="18" t="s">
        <v>1353</v>
      </c>
    </row>
    <row r="7" spans="1:7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/>
      <c r="G7" s="18" t="s">
        <v>1353</v>
      </c>
    </row>
    <row r="8" spans="1:7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>
        <v>2702</v>
      </c>
      <c r="G8" s="18" t="s">
        <v>1353</v>
      </c>
    </row>
    <row r="9" spans="1:7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/>
      <c r="G9" s="18" t="s">
        <v>1353</v>
      </c>
    </row>
    <row r="10" spans="1:7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>
        <v>3107</v>
      </c>
      <c r="G10" s="18" t="s">
        <v>1353</v>
      </c>
    </row>
    <row r="11" spans="1:7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/>
      <c r="G11" s="18" t="s">
        <v>1353</v>
      </c>
    </row>
    <row r="12" spans="1:7">
      <c r="A12" s="18">
        <v>2027</v>
      </c>
      <c r="B12" s="18" t="s">
        <v>846</v>
      </c>
      <c r="C12" s="18">
        <v>2027</v>
      </c>
      <c r="D12" s="18" t="s">
        <v>106</v>
      </c>
      <c r="E12" s="18" t="s">
        <v>844</v>
      </c>
      <c r="F12" s="70">
        <v>3104</v>
      </c>
      <c r="G12" s="18" t="s">
        <v>1353</v>
      </c>
    </row>
    <row r="13" spans="1:7">
      <c r="A13" s="18">
        <v>2027</v>
      </c>
      <c r="B13" s="18" t="s">
        <v>846</v>
      </c>
      <c r="C13" s="18">
        <v>2027</v>
      </c>
      <c r="D13" s="18" t="s">
        <v>106</v>
      </c>
      <c r="E13" s="18" t="s">
        <v>849</v>
      </c>
      <c r="F13" s="70"/>
      <c r="G13" s="18" t="s">
        <v>1353</v>
      </c>
    </row>
    <row r="14" spans="1:7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>
        <v>4809</v>
      </c>
      <c r="G14" s="18" t="s">
        <v>1353</v>
      </c>
    </row>
    <row r="15" spans="1:7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/>
      <c r="G15" s="18" t="s">
        <v>1353</v>
      </c>
    </row>
    <row r="16" spans="1:7">
      <c r="A16" s="18">
        <v>2027</v>
      </c>
      <c r="B16" s="18" t="s">
        <v>847</v>
      </c>
      <c r="C16" s="18">
        <v>2027</v>
      </c>
      <c r="D16" s="18" t="s">
        <v>106</v>
      </c>
      <c r="E16" s="18" t="s">
        <v>844</v>
      </c>
      <c r="F16" s="70">
        <v>3528</v>
      </c>
      <c r="G16" s="18" t="s">
        <v>1353</v>
      </c>
    </row>
    <row r="17" spans="1:7">
      <c r="A17" s="18">
        <v>2027</v>
      </c>
      <c r="B17" s="18" t="s">
        <v>847</v>
      </c>
      <c r="C17" s="18">
        <v>2027</v>
      </c>
      <c r="D17" s="18" t="s">
        <v>106</v>
      </c>
      <c r="E17" s="18" t="s">
        <v>849</v>
      </c>
      <c r="F17" s="70"/>
      <c r="G17" s="18" t="s">
        <v>1353</v>
      </c>
    </row>
    <row r="18" spans="1:7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>
        <v>5886</v>
      </c>
      <c r="G18" s="18" t="s">
        <v>1353</v>
      </c>
    </row>
    <row r="19" spans="1:7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/>
      <c r="G19" s="18" t="s">
        <v>1353</v>
      </c>
    </row>
    <row r="20" spans="1:7">
      <c r="A20" s="18">
        <v>2027</v>
      </c>
      <c r="B20" s="18" t="s">
        <v>848</v>
      </c>
      <c r="C20" s="18">
        <v>2027</v>
      </c>
      <c r="D20" s="18" t="s">
        <v>106</v>
      </c>
      <c r="E20" s="18" t="s">
        <v>844</v>
      </c>
      <c r="F20" s="70">
        <v>3798</v>
      </c>
      <c r="G20" s="18" t="s">
        <v>1353</v>
      </c>
    </row>
    <row r="21" spans="1:7">
      <c r="A21" s="18">
        <v>2027</v>
      </c>
      <c r="B21" s="18" t="s">
        <v>848</v>
      </c>
      <c r="C21" s="18">
        <v>2027</v>
      </c>
      <c r="D21" s="18" t="s">
        <v>106</v>
      </c>
      <c r="E21" s="18" t="s">
        <v>849</v>
      </c>
      <c r="F21" s="70"/>
      <c r="G21" s="18" t="s">
        <v>1353</v>
      </c>
    </row>
    <row r="22" spans="1:7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>
        <v>7563</v>
      </c>
      <c r="G22" s="18" t="s">
        <v>1353</v>
      </c>
    </row>
    <row r="23" spans="1:7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/>
      <c r="G23" s="18" t="s">
        <v>1353</v>
      </c>
    </row>
    <row r="24" spans="1:7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>
        <v>4070</v>
      </c>
      <c r="G24" s="18" t="s">
        <v>1353</v>
      </c>
    </row>
    <row r="25" spans="1:7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/>
      <c r="G25" s="18" t="s">
        <v>1353</v>
      </c>
    </row>
    <row r="26" spans="1:7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>
        <v>8762</v>
      </c>
      <c r="G26" s="18" t="s">
        <v>1353</v>
      </c>
    </row>
    <row r="27" spans="1:7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/>
      <c r="G27" s="18" t="s">
        <v>1353</v>
      </c>
    </row>
    <row r="28" spans="1:7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>
        <v>4672</v>
      </c>
      <c r="G28" s="18" t="s">
        <v>1353</v>
      </c>
    </row>
    <row r="29" spans="1:7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/>
      <c r="G29" s="18" t="s">
        <v>1353</v>
      </c>
    </row>
    <row r="30" spans="1:7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>
        <v>9833</v>
      </c>
      <c r="G30" s="18" t="s">
        <v>1353</v>
      </c>
    </row>
    <row r="31" spans="1:7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/>
      <c r="G31" s="18" t="s">
        <v>1353</v>
      </c>
    </row>
    <row r="32" spans="1:7">
      <c r="A32" s="18">
        <v>2028</v>
      </c>
      <c r="B32" s="18" t="s">
        <v>846</v>
      </c>
      <c r="C32" s="18">
        <v>2028</v>
      </c>
      <c r="D32" s="18" t="s">
        <v>106</v>
      </c>
      <c r="E32" s="18" t="s">
        <v>844</v>
      </c>
      <c r="F32" s="70">
        <v>4949</v>
      </c>
      <c r="G32" s="18" t="s">
        <v>1353</v>
      </c>
    </row>
    <row r="33" spans="1:7">
      <c r="A33" s="18">
        <v>2028</v>
      </c>
      <c r="B33" s="18" t="s">
        <v>846</v>
      </c>
      <c r="C33" s="18">
        <v>2028</v>
      </c>
      <c r="D33" s="18" t="s">
        <v>106</v>
      </c>
      <c r="E33" s="18" t="s">
        <v>849</v>
      </c>
      <c r="F33" s="70"/>
      <c r="G33" s="18" t="s">
        <v>1353</v>
      </c>
    </row>
    <row r="34" spans="1:7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>
        <v>11303</v>
      </c>
      <c r="G34" s="18" t="s">
        <v>1353</v>
      </c>
    </row>
    <row r="35" spans="1:7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/>
      <c r="G35" s="18" t="s">
        <v>1353</v>
      </c>
    </row>
    <row r="36" spans="1:7">
      <c r="A36" s="18">
        <v>2028</v>
      </c>
      <c r="B36" s="18" t="s">
        <v>847</v>
      </c>
      <c r="C36" s="18">
        <v>2028</v>
      </c>
      <c r="D36" s="18" t="s">
        <v>106</v>
      </c>
      <c r="E36" s="18" t="s">
        <v>844</v>
      </c>
      <c r="F36" s="70">
        <v>5352</v>
      </c>
      <c r="G36" s="18" t="s">
        <v>1353</v>
      </c>
    </row>
    <row r="37" spans="1:7">
      <c r="A37" s="18">
        <v>2028</v>
      </c>
      <c r="B37" s="18" t="s">
        <v>847</v>
      </c>
      <c r="C37" s="18">
        <v>2028</v>
      </c>
      <c r="D37" s="18" t="s">
        <v>106</v>
      </c>
      <c r="E37" s="18" t="s">
        <v>849</v>
      </c>
      <c r="F37" s="70"/>
      <c r="G37" s="18" t="s">
        <v>1353</v>
      </c>
    </row>
    <row r="38" spans="1:7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>
        <v>12071</v>
      </c>
      <c r="G38" s="18" t="s">
        <v>1353</v>
      </c>
    </row>
    <row r="39" spans="1:7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/>
      <c r="G39" s="18" t="s">
        <v>1353</v>
      </c>
    </row>
    <row r="40" spans="1:7">
      <c r="A40" s="18">
        <v>2028</v>
      </c>
      <c r="B40" s="18" t="s">
        <v>848</v>
      </c>
      <c r="C40" s="18">
        <v>2028</v>
      </c>
      <c r="D40" s="18" t="s">
        <v>106</v>
      </c>
      <c r="E40" s="18" t="s">
        <v>844</v>
      </c>
      <c r="F40" s="70">
        <v>5847</v>
      </c>
      <c r="G40" s="18" t="s">
        <v>1353</v>
      </c>
    </row>
    <row r="41" spans="1:7">
      <c r="A41" s="18">
        <v>2028</v>
      </c>
      <c r="B41" s="18" t="s">
        <v>848</v>
      </c>
      <c r="C41" s="18">
        <v>2028</v>
      </c>
      <c r="D41" s="18" t="s">
        <v>106</v>
      </c>
      <c r="E41" s="18" t="s">
        <v>849</v>
      </c>
      <c r="F41" s="70"/>
      <c r="G41" s="18" t="s">
        <v>1353</v>
      </c>
    </row>
    <row r="42" spans="1:7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>
        <v>13052</v>
      </c>
      <c r="G42" s="18" t="s">
        <v>1353</v>
      </c>
    </row>
    <row r="43" spans="1:7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/>
      <c r="G43" s="18" t="s">
        <v>1353</v>
      </c>
    </row>
    <row r="44" spans="1:7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>
        <v>6377</v>
      </c>
      <c r="G44" s="18" t="s">
        <v>1353</v>
      </c>
    </row>
    <row r="45" spans="1:7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/>
      <c r="G45" s="18" t="s">
        <v>1353</v>
      </c>
    </row>
    <row r="46" spans="1:7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>
        <v>13294</v>
      </c>
      <c r="G46" s="18" t="s">
        <v>1353</v>
      </c>
    </row>
    <row r="47" spans="1:7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/>
      <c r="G47" s="18" t="s">
        <v>1353</v>
      </c>
    </row>
    <row r="48" spans="1:7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>
        <v>6525</v>
      </c>
      <c r="G48" s="18" t="s">
        <v>1353</v>
      </c>
    </row>
    <row r="49" spans="1:7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/>
      <c r="G49" s="18" t="s">
        <v>1353</v>
      </c>
    </row>
    <row r="50" spans="1:7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>
        <v>13470</v>
      </c>
      <c r="G50" s="18" t="s">
        <v>1353</v>
      </c>
    </row>
    <row r="51" spans="1:7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/>
      <c r="G51" s="18" t="s">
        <v>1353</v>
      </c>
    </row>
    <row r="52" spans="1:7">
      <c r="A52" s="18">
        <v>2029</v>
      </c>
      <c r="B52" s="18" t="s">
        <v>846</v>
      </c>
      <c r="C52" s="18">
        <v>2029</v>
      </c>
      <c r="D52" s="18" t="s">
        <v>106</v>
      </c>
      <c r="E52" s="18" t="s">
        <v>844</v>
      </c>
      <c r="F52" s="70">
        <v>6633</v>
      </c>
      <c r="G52" s="18" t="s">
        <v>1353</v>
      </c>
    </row>
    <row r="53" spans="1:7">
      <c r="A53" s="18">
        <v>2029</v>
      </c>
      <c r="B53" s="18" t="s">
        <v>846</v>
      </c>
      <c r="C53" s="18">
        <v>2029</v>
      </c>
      <c r="D53" s="18" t="s">
        <v>106</v>
      </c>
      <c r="E53" s="18" t="s">
        <v>849</v>
      </c>
      <c r="F53" s="70"/>
      <c r="G53" s="18" t="s">
        <v>1353</v>
      </c>
    </row>
    <row r="54" spans="1:7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>
        <v>13844</v>
      </c>
      <c r="G54" s="18" t="s">
        <v>1353</v>
      </c>
    </row>
    <row r="55" spans="1:7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/>
      <c r="G55" s="18" t="s">
        <v>1353</v>
      </c>
    </row>
    <row r="56" spans="1:7">
      <c r="A56" s="18">
        <v>2029</v>
      </c>
      <c r="B56" s="18" t="s">
        <v>847</v>
      </c>
      <c r="C56" s="18">
        <v>2029</v>
      </c>
      <c r="D56" s="18" t="s">
        <v>106</v>
      </c>
      <c r="E56" s="18" t="s">
        <v>844</v>
      </c>
      <c r="F56" s="70">
        <v>7373</v>
      </c>
      <c r="G56" s="18" t="s">
        <v>1353</v>
      </c>
    </row>
    <row r="57" spans="1:7">
      <c r="A57" s="18">
        <v>2029</v>
      </c>
      <c r="B57" s="18" t="s">
        <v>847</v>
      </c>
      <c r="C57" s="18">
        <v>2029</v>
      </c>
      <c r="D57" s="18" t="s">
        <v>106</v>
      </c>
      <c r="E57" s="18" t="s">
        <v>849</v>
      </c>
      <c r="F57" s="70"/>
      <c r="G57" s="18" t="s">
        <v>1353</v>
      </c>
    </row>
    <row r="58" spans="1:7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>
        <v>14119</v>
      </c>
      <c r="G58" s="18" t="s">
        <v>1353</v>
      </c>
    </row>
    <row r="59" spans="1:7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/>
      <c r="G59" s="18" t="s">
        <v>1353</v>
      </c>
    </row>
    <row r="60" spans="1:7">
      <c r="A60" s="18">
        <v>2029</v>
      </c>
      <c r="B60" s="18" t="s">
        <v>848</v>
      </c>
      <c r="C60" s="18">
        <v>2029</v>
      </c>
      <c r="D60" s="18" t="s">
        <v>106</v>
      </c>
      <c r="E60" s="18" t="s">
        <v>844</v>
      </c>
      <c r="F60" s="70">
        <v>7521</v>
      </c>
      <c r="G60" s="18" t="s">
        <v>1353</v>
      </c>
    </row>
    <row r="61" spans="1:7">
      <c r="A61" s="18">
        <v>2029</v>
      </c>
      <c r="B61" s="18" t="s">
        <v>848</v>
      </c>
      <c r="C61" s="18">
        <v>2029</v>
      </c>
      <c r="D61" s="18" t="s">
        <v>106</v>
      </c>
      <c r="E61" s="18" t="s">
        <v>849</v>
      </c>
      <c r="F61" s="70"/>
      <c r="G61" s="18" t="s">
        <v>1353</v>
      </c>
    </row>
    <row r="62" spans="1:7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>
        <v>14902</v>
      </c>
      <c r="G62" s="18" t="s">
        <v>1353</v>
      </c>
    </row>
    <row r="63" spans="1:7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/>
      <c r="G63" s="18" t="s">
        <v>1353</v>
      </c>
    </row>
    <row r="64" spans="1:7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>
        <v>7764</v>
      </c>
      <c r="G64" s="18" t="s">
        <v>1353</v>
      </c>
    </row>
    <row r="65" spans="1:7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/>
      <c r="G65" s="18" t="s">
        <v>1353</v>
      </c>
    </row>
    <row r="66" spans="1:7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>
        <v>15196</v>
      </c>
      <c r="G66" s="18" t="s">
        <v>1353</v>
      </c>
    </row>
    <row r="67" spans="1:7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/>
      <c r="G67" s="18" t="s">
        <v>1353</v>
      </c>
    </row>
    <row r="68" spans="1:7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>
        <v>8479</v>
      </c>
      <c r="G68" s="18" t="s">
        <v>1353</v>
      </c>
    </row>
    <row r="69" spans="1:7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/>
      <c r="G69" s="18" t="s">
        <v>1353</v>
      </c>
    </row>
    <row r="70" spans="1:7">
      <c r="A70" s="18">
        <v>2030</v>
      </c>
      <c r="B70" s="18" t="s">
        <v>846</v>
      </c>
      <c r="C70" s="18">
        <v>2030</v>
      </c>
      <c r="D70" s="18" t="s">
        <v>105</v>
      </c>
      <c r="E70" s="18" t="s">
        <v>844</v>
      </c>
      <c r="F70" s="70">
        <v>14986</v>
      </c>
      <c r="G70" s="18" t="s">
        <v>1353</v>
      </c>
    </row>
    <row r="71" spans="1:7">
      <c r="A71" s="18">
        <v>2030</v>
      </c>
      <c r="B71" s="18" t="s">
        <v>846</v>
      </c>
      <c r="C71" s="18">
        <v>2030</v>
      </c>
      <c r="D71" s="18" t="s">
        <v>105</v>
      </c>
      <c r="E71" s="18" t="s">
        <v>849</v>
      </c>
      <c r="F71" s="70"/>
      <c r="G71" s="18" t="s">
        <v>1353</v>
      </c>
    </row>
    <row r="72" spans="1:7">
      <c r="A72" s="18">
        <v>2030</v>
      </c>
      <c r="B72" s="18" t="s">
        <v>846</v>
      </c>
      <c r="C72" s="18">
        <v>2030</v>
      </c>
      <c r="D72" s="18" t="s">
        <v>106</v>
      </c>
      <c r="E72" s="18" t="s">
        <v>844</v>
      </c>
      <c r="F72" s="70">
        <v>8122</v>
      </c>
      <c r="G72" s="18" t="s">
        <v>1353</v>
      </c>
    </row>
    <row r="73" spans="1:7">
      <c r="A73" s="18">
        <v>2030</v>
      </c>
      <c r="B73" s="18" t="s">
        <v>846</v>
      </c>
      <c r="C73" s="18">
        <v>2030</v>
      </c>
      <c r="D73" s="18" t="s">
        <v>106</v>
      </c>
      <c r="E73" s="18" t="s">
        <v>849</v>
      </c>
      <c r="F73" s="70"/>
      <c r="G73" s="18" t="s">
        <v>1353</v>
      </c>
    </row>
    <row r="74" spans="1:7">
      <c r="A74" s="18">
        <v>2030</v>
      </c>
      <c r="B74" s="18" t="s">
        <v>847</v>
      </c>
      <c r="C74" s="18">
        <v>2030</v>
      </c>
      <c r="D74" s="18" t="s">
        <v>105</v>
      </c>
      <c r="E74" s="18" t="s">
        <v>844</v>
      </c>
      <c r="F74" s="70">
        <v>15496</v>
      </c>
      <c r="G74" s="18" t="s">
        <v>1353</v>
      </c>
    </row>
    <row r="75" spans="1:7">
      <c r="A75" s="18">
        <v>2030</v>
      </c>
      <c r="B75" s="18" t="s">
        <v>847</v>
      </c>
      <c r="C75" s="18">
        <v>2030</v>
      </c>
      <c r="D75" s="18" t="s">
        <v>105</v>
      </c>
      <c r="E75" s="18" t="s">
        <v>849</v>
      </c>
      <c r="F75" s="70"/>
      <c r="G75" s="18" t="s">
        <v>1353</v>
      </c>
    </row>
    <row r="76" spans="1:7">
      <c r="A76" s="18">
        <v>2030</v>
      </c>
      <c r="B76" s="18" t="s">
        <v>847</v>
      </c>
      <c r="C76" s="18">
        <v>2030</v>
      </c>
      <c r="D76" s="18" t="s">
        <v>106</v>
      </c>
      <c r="E76" s="18" t="s">
        <v>844</v>
      </c>
      <c r="F76" s="70">
        <v>9538</v>
      </c>
      <c r="G76" s="18" t="s">
        <v>1353</v>
      </c>
    </row>
    <row r="77" spans="1:7">
      <c r="A77" s="18">
        <v>2030</v>
      </c>
      <c r="B77" s="18" t="s">
        <v>847</v>
      </c>
      <c r="C77" s="18">
        <v>2030</v>
      </c>
      <c r="D77" s="18" t="s">
        <v>106</v>
      </c>
      <c r="E77" s="18" t="s">
        <v>849</v>
      </c>
      <c r="F77" s="70"/>
      <c r="G77" s="18" t="s">
        <v>1353</v>
      </c>
    </row>
    <row r="78" spans="1:7">
      <c r="A78" s="18">
        <v>2030</v>
      </c>
      <c r="B78" s="18" t="s">
        <v>848</v>
      </c>
      <c r="C78" s="18">
        <v>2030</v>
      </c>
      <c r="D78" s="18" t="s">
        <v>105</v>
      </c>
      <c r="E78" s="18" t="s">
        <v>844</v>
      </c>
      <c r="F78" s="70">
        <v>15802</v>
      </c>
      <c r="G78" s="18" t="s">
        <v>1353</v>
      </c>
    </row>
    <row r="79" spans="1:7">
      <c r="A79" s="18">
        <v>2030</v>
      </c>
      <c r="B79" s="18" t="s">
        <v>848</v>
      </c>
      <c r="C79" s="18">
        <v>2030</v>
      </c>
      <c r="D79" s="18" t="s">
        <v>105</v>
      </c>
      <c r="E79" s="18" t="s">
        <v>849</v>
      </c>
      <c r="F79" s="70"/>
      <c r="G79" s="18" t="s">
        <v>1353</v>
      </c>
    </row>
    <row r="80" spans="1:7">
      <c r="A80" s="18">
        <v>2030</v>
      </c>
      <c r="B80" s="18" t="s">
        <v>848</v>
      </c>
      <c r="C80" s="18">
        <v>2030</v>
      </c>
      <c r="D80" s="18" t="s">
        <v>106</v>
      </c>
      <c r="E80" s="18" t="s">
        <v>844</v>
      </c>
      <c r="F80" s="70">
        <v>10052</v>
      </c>
      <c r="G80" s="18" t="s">
        <v>1353</v>
      </c>
    </row>
    <row r="81" spans="1:7">
      <c r="A81" s="18">
        <v>2030</v>
      </c>
      <c r="B81" s="18" t="s">
        <v>848</v>
      </c>
      <c r="C81" s="18">
        <v>2030</v>
      </c>
      <c r="D81" s="18" t="s">
        <v>106</v>
      </c>
      <c r="E81" s="18" t="s">
        <v>849</v>
      </c>
      <c r="F81" s="70"/>
      <c r="G81" s="18" t="s">
        <v>1353</v>
      </c>
    </row>
  </sheetData>
  <autoFilter ref="A1:G81" xr:uid="{00000000-0001-0000-3F00-000000000000}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E430-F33B-49EE-861E-5AB361478164}">
  <dimension ref="A1:E30"/>
  <sheetViews>
    <sheetView workbookViewId="0">
      <selection activeCell="D10" sqref="D10"/>
    </sheetView>
  </sheetViews>
  <sheetFormatPr baseColWidth="10" defaultRowHeight="14"/>
  <sheetData>
    <row r="1" spans="1:5" ht="28">
      <c r="A1" s="89" t="s">
        <v>841</v>
      </c>
      <c r="B1" s="90" t="s">
        <v>39</v>
      </c>
      <c r="C1" s="90" t="s">
        <v>37</v>
      </c>
      <c r="D1" s="90" t="s">
        <v>38</v>
      </c>
      <c r="E1" s="89" t="s">
        <v>1334</v>
      </c>
    </row>
    <row r="2" spans="1:5">
      <c r="A2" s="88">
        <v>2026</v>
      </c>
      <c r="B2" s="6" t="s">
        <v>846</v>
      </c>
      <c r="C2" s="6" t="s">
        <v>105</v>
      </c>
      <c r="D2" s="6" t="s">
        <v>844</v>
      </c>
      <c r="E2" s="88" t="s">
        <v>1439</v>
      </c>
    </row>
    <row r="3" spans="1:5">
      <c r="A3" s="88">
        <v>2026</v>
      </c>
      <c r="B3" s="6" t="s">
        <v>1440</v>
      </c>
      <c r="C3" s="6" t="s">
        <v>105</v>
      </c>
      <c r="D3" s="6" t="s">
        <v>844</v>
      </c>
      <c r="E3" s="88" t="s">
        <v>1439</v>
      </c>
    </row>
    <row r="4" spans="1:5">
      <c r="A4" s="88">
        <v>2026</v>
      </c>
      <c r="B4" s="6" t="s">
        <v>1441</v>
      </c>
      <c r="C4" s="6" t="s">
        <v>105</v>
      </c>
      <c r="D4" s="6" t="s">
        <v>844</v>
      </c>
      <c r="E4" s="88">
        <v>9820</v>
      </c>
    </row>
    <row r="5" spans="1:5">
      <c r="A5" s="88">
        <v>2026</v>
      </c>
      <c r="B5" s="6" t="s">
        <v>846</v>
      </c>
      <c r="C5" s="6" t="s">
        <v>106</v>
      </c>
      <c r="D5" s="6" t="s">
        <v>844</v>
      </c>
      <c r="E5" s="88" t="s">
        <v>1439</v>
      </c>
    </row>
    <row r="6" spans="1:5">
      <c r="A6" s="88">
        <v>2026</v>
      </c>
      <c r="B6" s="6" t="s">
        <v>1440</v>
      </c>
      <c r="C6" s="6" t="s">
        <v>106</v>
      </c>
      <c r="D6" s="6" t="s">
        <v>844</v>
      </c>
      <c r="E6" s="88" t="s">
        <v>1439</v>
      </c>
    </row>
    <row r="7" spans="1:5">
      <c r="A7" s="88">
        <v>2026</v>
      </c>
      <c r="B7" s="6" t="s">
        <v>1441</v>
      </c>
      <c r="C7" s="6" t="s">
        <v>106</v>
      </c>
      <c r="D7" s="6" t="s">
        <v>844</v>
      </c>
      <c r="E7" s="88">
        <v>6185</v>
      </c>
    </row>
    <row r="8" spans="1:5">
      <c r="A8" s="88">
        <v>2027</v>
      </c>
      <c r="B8" s="6" t="s">
        <v>846</v>
      </c>
      <c r="C8" s="6" t="s">
        <v>105</v>
      </c>
      <c r="D8" s="6" t="s">
        <v>844</v>
      </c>
      <c r="E8">
        <v>7800</v>
      </c>
    </row>
    <row r="9" spans="1:5">
      <c r="A9" s="88">
        <v>2027</v>
      </c>
      <c r="B9" s="6" t="s">
        <v>1440</v>
      </c>
      <c r="C9" s="6" t="s">
        <v>105</v>
      </c>
      <c r="D9" s="6" t="s">
        <v>844</v>
      </c>
      <c r="E9" s="88">
        <v>5810</v>
      </c>
    </row>
    <row r="10" spans="1:5">
      <c r="A10" s="88">
        <v>2027</v>
      </c>
      <c r="B10" s="6" t="s">
        <v>1441</v>
      </c>
      <c r="C10" s="6" t="s">
        <v>105</v>
      </c>
      <c r="D10" s="6" t="s">
        <v>844</v>
      </c>
      <c r="E10" s="88">
        <v>3800</v>
      </c>
    </row>
    <row r="11" spans="1:5">
      <c r="A11" s="88">
        <v>2027</v>
      </c>
      <c r="B11" s="6" t="s">
        <v>846</v>
      </c>
      <c r="C11" s="6" t="s">
        <v>106</v>
      </c>
      <c r="D11" s="6" t="s">
        <v>844</v>
      </c>
      <c r="E11" s="88">
        <v>5709</v>
      </c>
    </row>
    <row r="12" spans="1:5">
      <c r="A12" s="88">
        <v>2027</v>
      </c>
      <c r="B12" s="6" t="s">
        <v>1440</v>
      </c>
      <c r="C12" s="6" t="s">
        <v>106</v>
      </c>
      <c r="D12" s="6" t="s">
        <v>844</v>
      </c>
      <c r="E12" s="88">
        <v>5500</v>
      </c>
    </row>
    <row r="13" spans="1:5">
      <c r="A13" s="88">
        <v>2027</v>
      </c>
      <c r="B13" s="6" t="s">
        <v>1441</v>
      </c>
      <c r="C13" s="6" t="s">
        <v>106</v>
      </c>
      <c r="D13" s="6" t="s">
        <v>844</v>
      </c>
      <c r="E13" s="88">
        <v>5100</v>
      </c>
    </row>
    <row r="14" spans="1:5">
      <c r="A14" s="88">
        <v>2028</v>
      </c>
      <c r="B14" s="6" t="s">
        <v>846</v>
      </c>
      <c r="C14" s="6" t="s">
        <v>105</v>
      </c>
      <c r="D14" s="6" t="s">
        <v>844</v>
      </c>
      <c r="E14" s="88">
        <v>1800</v>
      </c>
    </row>
    <row r="15" spans="1:5">
      <c r="A15" s="88">
        <v>2028</v>
      </c>
      <c r="B15" s="6" t="s">
        <v>1440</v>
      </c>
      <c r="C15" s="6" t="s">
        <v>105</v>
      </c>
      <c r="D15" s="6" t="s">
        <v>844</v>
      </c>
      <c r="E15" s="88">
        <v>1000</v>
      </c>
    </row>
    <row r="16" spans="1:5">
      <c r="A16" s="88">
        <v>2028</v>
      </c>
      <c r="B16" s="6" t="s">
        <v>1441</v>
      </c>
      <c r="C16" s="6" t="s">
        <v>105</v>
      </c>
      <c r="D16" s="6" t="s">
        <v>844</v>
      </c>
    </row>
    <row r="17" spans="1:5">
      <c r="A17" s="88">
        <v>2028</v>
      </c>
      <c r="B17" s="6" t="s">
        <v>846</v>
      </c>
      <c r="C17" s="6" t="s">
        <v>106</v>
      </c>
      <c r="D17" s="6" t="s">
        <v>844</v>
      </c>
      <c r="E17" s="88">
        <v>4756</v>
      </c>
    </row>
    <row r="18" spans="1:5">
      <c r="A18" s="88">
        <v>2028</v>
      </c>
      <c r="B18" s="6" t="s">
        <v>1440</v>
      </c>
      <c r="C18" s="6" t="s">
        <v>106</v>
      </c>
      <c r="D18" s="6" t="s">
        <v>844</v>
      </c>
      <c r="E18" s="88">
        <v>4225</v>
      </c>
    </row>
    <row r="19" spans="1:5">
      <c r="A19" s="88">
        <v>2028</v>
      </c>
      <c r="B19" s="6" t="s">
        <v>1441</v>
      </c>
      <c r="C19" s="6" t="s">
        <v>106</v>
      </c>
      <c r="D19" s="6" t="s">
        <v>844</v>
      </c>
      <c r="E19" s="88">
        <v>3976</v>
      </c>
    </row>
    <row r="20" spans="1:5">
      <c r="A20" s="88">
        <v>2029</v>
      </c>
      <c r="B20" s="6" t="s">
        <v>846</v>
      </c>
      <c r="C20" s="6" t="s">
        <v>105</v>
      </c>
      <c r="D20" s="6" t="s">
        <v>844</v>
      </c>
    </row>
    <row r="21" spans="1:5">
      <c r="A21" s="88">
        <v>2029</v>
      </c>
      <c r="B21" s="6" t="s">
        <v>1440</v>
      </c>
      <c r="C21" s="6" t="s">
        <v>105</v>
      </c>
      <c r="D21" s="6" t="s">
        <v>844</v>
      </c>
    </row>
    <row r="22" spans="1:5">
      <c r="A22" s="88">
        <v>2029</v>
      </c>
      <c r="B22" s="6" t="s">
        <v>1441</v>
      </c>
      <c r="C22" s="6" t="s">
        <v>105</v>
      </c>
      <c r="D22" s="6" t="s">
        <v>844</v>
      </c>
    </row>
    <row r="23" spans="1:5">
      <c r="A23" s="88">
        <v>2029</v>
      </c>
      <c r="B23" s="6" t="s">
        <v>846</v>
      </c>
      <c r="C23" s="6" t="s">
        <v>106</v>
      </c>
      <c r="D23" s="6" t="s">
        <v>844</v>
      </c>
      <c r="E23" s="88">
        <v>3745</v>
      </c>
    </row>
    <row r="24" spans="1:5">
      <c r="A24" s="88">
        <v>2029</v>
      </c>
      <c r="B24" s="6" t="s">
        <v>1440</v>
      </c>
      <c r="C24" s="6" t="s">
        <v>106</v>
      </c>
      <c r="D24" s="6" t="s">
        <v>844</v>
      </c>
      <c r="E24" s="88">
        <v>3500</v>
      </c>
    </row>
    <row r="25" spans="1:5">
      <c r="A25" s="88">
        <v>2029</v>
      </c>
      <c r="B25" s="6" t="s">
        <v>1441</v>
      </c>
      <c r="C25" s="6" t="s">
        <v>106</v>
      </c>
      <c r="D25" s="6" t="s">
        <v>844</v>
      </c>
      <c r="E25" s="88">
        <v>2900</v>
      </c>
    </row>
    <row r="26" spans="1:5">
      <c r="A26" s="88">
        <v>2030</v>
      </c>
      <c r="B26" s="6" t="s">
        <v>846</v>
      </c>
      <c r="C26" s="6" t="s">
        <v>106</v>
      </c>
      <c r="D26" s="6" t="s">
        <v>1442</v>
      </c>
      <c r="E26" s="88">
        <v>2056</v>
      </c>
    </row>
    <row r="27" spans="1:5">
      <c r="A27" s="88">
        <v>2030</v>
      </c>
      <c r="B27" s="6" t="s">
        <v>1440</v>
      </c>
      <c r="C27" s="6" t="s">
        <v>106</v>
      </c>
      <c r="D27" s="6" t="s">
        <v>1442</v>
      </c>
      <c r="E27" s="88">
        <v>1656</v>
      </c>
    </row>
    <row r="28" spans="1:5">
      <c r="A28" s="88">
        <v>2030</v>
      </c>
      <c r="B28" s="6" t="s">
        <v>1441</v>
      </c>
      <c r="C28" s="6" t="s">
        <v>106</v>
      </c>
      <c r="D28" s="6" t="s">
        <v>1442</v>
      </c>
      <c r="E28" s="88">
        <v>1045</v>
      </c>
    </row>
    <row r="29" spans="1:5">
      <c r="A29" s="88">
        <v>2031</v>
      </c>
      <c r="B29" s="6" t="s">
        <v>846</v>
      </c>
      <c r="C29" s="6" t="s">
        <v>106</v>
      </c>
      <c r="D29" s="6" t="s">
        <v>1442</v>
      </c>
      <c r="E29" s="88">
        <v>645</v>
      </c>
    </row>
    <row r="30" spans="1:5">
      <c r="A30" s="88"/>
      <c r="B30" s="6"/>
      <c r="C30" s="6"/>
      <c r="D30" s="6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36061-0178-47FC-A024-05B4CBF4A196}">
  <dimension ref="A1:F104"/>
  <sheetViews>
    <sheetView topLeftCell="A99" workbookViewId="0">
      <selection activeCell="E104" sqref="E104"/>
    </sheetView>
  </sheetViews>
  <sheetFormatPr baseColWidth="10" defaultRowHeight="14"/>
  <cols>
    <col min="5" max="5" width="10.6640625" style="26"/>
  </cols>
  <sheetData>
    <row r="1" spans="1:6" ht="28">
      <c r="A1" s="89" t="s">
        <v>841</v>
      </c>
      <c r="B1" s="90" t="s">
        <v>39</v>
      </c>
      <c r="C1" s="90" t="s">
        <v>37</v>
      </c>
      <c r="D1" s="90" t="s">
        <v>1444</v>
      </c>
      <c r="E1" s="91" t="s">
        <v>842</v>
      </c>
      <c r="F1" s="89" t="s">
        <v>1445</v>
      </c>
    </row>
    <row r="2" spans="1:6">
      <c r="A2" s="88">
        <v>2026</v>
      </c>
      <c r="B2" s="6" t="s">
        <v>843</v>
      </c>
      <c r="C2" s="6" t="s">
        <v>106</v>
      </c>
      <c r="D2" s="6" t="s">
        <v>1443</v>
      </c>
      <c r="E2" s="92">
        <v>952</v>
      </c>
      <c r="F2" s="88">
        <v>1</v>
      </c>
    </row>
    <row r="3" spans="1:6">
      <c r="A3" s="88">
        <v>2026</v>
      </c>
      <c r="B3" s="6" t="s">
        <v>845</v>
      </c>
      <c r="C3" s="6" t="s">
        <v>106</v>
      </c>
      <c r="D3" s="6" t="s">
        <v>1443</v>
      </c>
      <c r="E3" s="92">
        <v>867</v>
      </c>
      <c r="F3" s="88">
        <v>1</v>
      </c>
    </row>
    <row r="4" spans="1:6">
      <c r="A4" s="88">
        <v>2027</v>
      </c>
      <c r="B4" s="6" t="s">
        <v>846</v>
      </c>
      <c r="C4" s="6" t="s">
        <v>106</v>
      </c>
      <c r="D4" s="6" t="s">
        <v>1443</v>
      </c>
      <c r="E4" s="92">
        <v>1020</v>
      </c>
      <c r="F4" s="88">
        <v>1</v>
      </c>
    </row>
    <row r="5" spans="1:6">
      <c r="A5" s="88">
        <v>2027</v>
      </c>
      <c r="B5" s="6" t="s">
        <v>847</v>
      </c>
      <c r="C5" s="6" t="s">
        <v>106</v>
      </c>
      <c r="D5" s="6" t="s">
        <v>1443</v>
      </c>
      <c r="E5" s="92">
        <v>778</v>
      </c>
      <c r="F5" s="88">
        <v>1</v>
      </c>
    </row>
    <row r="6" spans="1:6">
      <c r="A6" s="88">
        <v>2027</v>
      </c>
      <c r="B6" s="6" t="s">
        <v>848</v>
      </c>
      <c r="C6" s="6" t="s">
        <v>106</v>
      </c>
      <c r="D6" s="6" t="s">
        <v>1443</v>
      </c>
      <c r="E6" s="92">
        <v>1016</v>
      </c>
      <c r="F6" s="88">
        <v>1</v>
      </c>
    </row>
    <row r="7" spans="1:6">
      <c r="A7" s="88">
        <v>2027</v>
      </c>
      <c r="B7" s="6" t="s">
        <v>843</v>
      </c>
      <c r="C7" s="6" t="s">
        <v>106</v>
      </c>
      <c r="D7" s="6" t="s">
        <v>1443</v>
      </c>
      <c r="E7" s="92">
        <v>1114</v>
      </c>
      <c r="F7" s="88">
        <v>1</v>
      </c>
    </row>
    <row r="8" spans="1:6" ht="42">
      <c r="A8" s="88">
        <v>2027</v>
      </c>
      <c r="B8" s="6" t="s">
        <v>843</v>
      </c>
      <c r="C8" s="6" t="s">
        <v>106</v>
      </c>
      <c r="D8" s="6" t="s">
        <v>1446</v>
      </c>
      <c r="E8" s="92">
        <v>13</v>
      </c>
      <c r="F8" s="88">
        <v>1</v>
      </c>
    </row>
    <row r="9" spans="1:6" ht="42">
      <c r="A9" s="88">
        <v>2027</v>
      </c>
      <c r="B9" s="6" t="s">
        <v>843</v>
      </c>
      <c r="C9" s="6" t="s">
        <v>106</v>
      </c>
      <c r="D9" s="6" t="s">
        <v>1447</v>
      </c>
      <c r="E9" s="92">
        <v>0</v>
      </c>
      <c r="F9" s="88">
        <v>1</v>
      </c>
    </row>
    <row r="10" spans="1:6" ht="56">
      <c r="A10" s="88">
        <v>2027</v>
      </c>
      <c r="B10" s="6" t="s">
        <v>843</v>
      </c>
      <c r="C10" s="6" t="s">
        <v>106</v>
      </c>
      <c r="D10" s="6" t="s">
        <v>1448</v>
      </c>
      <c r="E10" s="92">
        <v>0</v>
      </c>
      <c r="F10" s="88">
        <v>1</v>
      </c>
    </row>
    <row r="11" spans="1:6" ht="56">
      <c r="A11" s="88">
        <v>2027</v>
      </c>
      <c r="B11" s="6" t="s">
        <v>843</v>
      </c>
      <c r="C11" s="6" t="s">
        <v>106</v>
      </c>
      <c r="D11" s="6" t="s">
        <v>1449</v>
      </c>
      <c r="E11" s="92">
        <v>32</v>
      </c>
      <c r="F11" s="88">
        <v>1</v>
      </c>
    </row>
    <row r="12" spans="1:6">
      <c r="A12" s="88">
        <v>2027</v>
      </c>
      <c r="B12" s="6" t="s">
        <v>845</v>
      </c>
      <c r="C12" s="6" t="s">
        <v>106</v>
      </c>
      <c r="D12" s="6" t="s">
        <v>1443</v>
      </c>
      <c r="E12" s="92">
        <v>1005</v>
      </c>
      <c r="F12" s="88">
        <v>1</v>
      </c>
    </row>
    <row r="13" spans="1:6" ht="42">
      <c r="A13" s="88">
        <v>2027</v>
      </c>
      <c r="B13" s="6" t="s">
        <v>845</v>
      </c>
      <c r="C13" s="6" t="s">
        <v>106</v>
      </c>
      <c r="D13" s="6" t="s">
        <v>1446</v>
      </c>
      <c r="E13" s="92">
        <v>25</v>
      </c>
      <c r="F13" s="88">
        <v>1</v>
      </c>
    </row>
    <row r="14" spans="1:6" ht="42">
      <c r="A14" s="88">
        <v>2027</v>
      </c>
      <c r="B14" s="6" t="s">
        <v>845</v>
      </c>
      <c r="C14" s="6" t="s">
        <v>106</v>
      </c>
      <c r="D14" s="6" t="s">
        <v>1447</v>
      </c>
      <c r="E14" s="92">
        <v>0</v>
      </c>
      <c r="F14" s="88">
        <v>1</v>
      </c>
    </row>
    <row r="15" spans="1:6" ht="56">
      <c r="A15" s="88">
        <v>2027</v>
      </c>
      <c r="B15" s="6" t="s">
        <v>845</v>
      </c>
      <c r="C15" s="6" t="s">
        <v>106</v>
      </c>
      <c r="D15" s="6" t="s">
        <v>1448</v>
      </c>
      <c r="E15" s="92">
        <v>0</v>
      </c>
      <c r="F15" s="88">
        <v>1</v>
      </c>
    </row>
    <row r="16" spans="1:6" ht="56">
      <c r="A16" s="88">
        <v>2027</v>
      </c>
      <c r="B16" s="6" t="s">
        <v>845</v>
      </c>
      <c r="C16" s="6" t="s">
        <v>106</v>
      </c>
      <c r="D16" s="6" t="s">
        <v>1449</v>
      </c>
      <c r="E16" s="92">
        <v>15</v>
      </c>
      <c r="F16" s="88">
        <v>1</v>
      </c>
    </row>
    <row r="17" spans="1:6">
      <c r="A17" s="88">
        <v>2028</v>
      </c>
      <c r="B17" s="6" t="s">
        <v>846</v>
      </c>
      <c r="C17" s="6" t="s">
        <v>106</v>
      </c>
      <c r="D17" s="6" t="s">
        <v>1443</v>
      </c>
      <c r="E17" s="92">
        <v>1042</v>
      </c>
      <c r="F17" s="88">
        <v>1</v>
      </c>
    </row>
    <row r="18" spans="1:6" ht="42">
      <c r="A18" s="88">
        <v>2028</v>
      </c>
      <c r="B18" s="6" t="s">
        <v>846</v>
      </c>
      <c r="C18" s="6" t="s">
        <v>106</v>
      </c>
      <c r="D18" s="6" t="s">
        <v>1446</v>
      </c>
      <c r="E18" s="92">
        <v>50</v>
      </c>
      <c r="F18" s="88">
        <v>1</v>
      </c>
    </row>
    <row r="19" spans="1:6" ht="42">
      <c r="A19" s="88">
        <v>2028</v>
      </c>
      <c r="B19" s="6" t="s">
        <v>846</v>
      </c>
      <c r="C19" s="6" t="s">
        <v>106</v>
      </c>
      <c r="D19" s="6" t="s">
        <v>1447</v>
      </c>
      <c r="E19" s="92">
        <v>0</v>
      </c>
      <c r="F19" s="88">
        <v>1</v>
      </c>
    </row>
    <row r="20" spans="1:6" ht="56">
      <c r="A20" s="88">
        <v>2028</v>
      </c>
      <c r="B20" s="6" t="s">
        <v>846</v>
      </c>
      <c r="C20" s="6" t="s">
        <v>106</v>
      </c>
      <c r="D20" s="6" t="s">
        <v>1448</v>
      </c>
      <c r="E20" s="92">
        <v>0</v>
      </c>
      <c r="F20" s="88">
        <v>1</v>
      </c>
    </row>
    <row r="21" spans="1:6" ht="56">
      <c r="A21" s="88">
        <v>2028</v>
      </c>
      <c r="B21" s="6" t="s">
        <v>846</v>
      </c>
      <c r="C21" s="6" t="s">
        <v>106</v>
      </c>
      <c r="D21" s="6" t="s">
        <v>1449</v>
      </c>
      <c r="E21" s="92">
        <v>13</v>
      </c>
      <c r="F21" s="88">
        <v>1</v>
      </c>
    </row>
    <row r="22" spans="1:6">
      <c r="A22" s="88">
        <v>2028</v>
      </c>
      <c r="B22" s="6" t="s">
        <v>847</v>
      </c>
      <c r="C22" s="6" t="s">
        <v>106</v>
      </c>
      <c r="D22" s="6" t="s">
        <v>1443</v>
      </c>
      <c r="E22" s="92">
        <v>789</v>
      </c>
      <c r="F22" s="88">
        <v>1</v>
      </c>
    </row>
    <row r="23" spans="1:6" ht="42">
      <c r="A23" s="88">
        <v>2028</v>
      </c>
      <c r="B23" s="6" t="s">
        <v>847</v>
      </c>
      <c r="C23" s="6" t="s">
        <v>106</v>
      </c>
      <c r="D23" s="6" t="s">
        <v>1446</v>
      </c>
      <c r="E23" s="92">
        <v>75</v>
      </c>
      <c r="F23" s="88">
        <v>1</v>
      </c>
    </row>
    <row r="24" spans="1:6" ht="42">
      <c r="A24" s="88">
        <v>2028</v>
      </c>
      <c r="B24" s="6" t="s">
        <v>847</v>
      </c>
      <c r="C24" s="6" t="s">
        <v>106</v>
      </c>
      <c r="D24" s="6" t="s">
        <v>1447</v>
      </c>
      <c r="E24" s="92">
        <v>0</v>
      </c>
      <c r="F24" s="88">
        <v>1</v>
      </c>
    </row>
    <row r="25" spans="1:6" ht="56">
      <c r="A25" s="88">
        <v>2028</v>
      </c>
      <c r="B25" s="6" t="s">
        <v>847</v>
      </c>
      <c r="C25" s="6" t="s">
        <v>106</v>
      </c>
      <c r="D25" s="6" t="s">
        <v>1448</v>
      </c>
      <c r="E25" s="92">
        <v>0</v>
      </c>
      <c r="F25" s="88">
        <v>1</v>
      </c>
    </row>
    <row r="26" spans="1:6" ht="56">
      <c r="A26" s="88">
        <v>2028</v>
      </c>
      <c r="B26" s="6" t="s">
        <v>847</v>
      </c>
      <c r="C26" s="6" t="s">
        <v>106</v>
      </c>
      <c r="D26" s="6" t="s">
        <v>1449</v>
      </c>
      <c r="E26" s="92">
        <v>8</v>
      </c>
      <c r="F26" s="88">
        <v>1</v>
      </c>
    </row>
    <row r="27" spans="1:6">
      <c r="A27" s="88">
        <v>2028</v>
      </c>
      <c r="B27" s="6" t="s">
        <v>848</v>
      </c>
      <c r="C27" s="6" t="s">
        <v>106</v>
      </c>
      <c r="D27" s="6" t="s">
        <v>1443</v>
      </c>
      <c r="E27" s="92">
        <v>1032</v>
      </c>
      <c r="F27" s="88">
        <v>1</v>
      </c>
    </row>
    <row r="28" spans="1:6" ht="42">
      <c r="A28" s="88">
        <v>2028</v>
      </c>
      <c r="B28" s="6" t="s">
        <v>848</v>
      </c>
      <c r="C28" s="6" t="s">
        <v>106</v>
      </c>
      <c r="D28" s="6" t="s">
        <v>1446</v>
      </c>
      <c r="E28" s="92">
        <v>88</v>
      </c>
      <c r="F28" s="88">
        <v>1</v>
      </c>
    </row>
    <row r="29" spans="1:6" ht="42">
      <c r="A29" s="88">
        <v>2028</v>
      </c>
      <c r="B29" s="6" t="s">
        <v>848</v>
      </c>
      <c r="C29" s="6" t="s">
        <v>106</v>
      </c>
      <c r="D29" s="6" t="s">
        <v>1447</v>
      </c>
      <c r="E29" s="92">
        <v>0</v>
      </c>
      <c r="F29" s="88">
        <v>1</v>
      </c>
    </row>
    <row r="30" spans="1:6" ht="56">
      <c r="A30" s="88">
        <v>2028</v>
      </c>
      <c r="B30" s="6" t="s">
        <v>848</v>
      </c>
      <c r="C30" s="6" t="s">
        <v>106</v>
      </c>
      <c r="D30" s="6" t="s">
        <v>1448</v>
      </c>
      <c r="E30" s="92">
        <v>0</v>
      </c>
      <c r="F30" s="88">
        <v>1</v>
      </c>
    </row>
    <row r="31" spans="1:6" ht="56">
      <c r="A31" s="88">
        <v>2028</v>
      </c>
      <c r="B31" s="6" t="s">
        <v>848</v>
      </c>
      <c r="C31" s="6" t="s">
        <v>106</v>
      </c>
      <c r="D31" s="6" t="s">
        <v>1449</v>
      </c>
      <c r="E31" s="92">
        <v>11</v>
      </c>
      <c r="F31" s="88">
        <v>1</v>
      </c>
    </row>
    <row r="32" spans="1:6">
      <c r="A32" s="88">
        <v>2028</v>
      </c>
      <c r="B32" s="6" t="s">
        <v>843</v>
      </c>
      <c r="C32" s="6" t="s">
        <v>106</v>
      </c>
      <c r="D32" s="6" t="s">
        <v>1443</v>
      </c>
      <c r="E32" s="92">
        <v>1161</v>
      </c>
      <c r="F32" s="88">
        <v>1</v>
      </c>
    </row>
    <row r="33" spans="1:6" ht="42">
      <c r="A33" s="88">
        <v>2028</v>
      </c>
      <c r="B33" s="6" t="s">
        <v>843</v>
      </c>
      <c r="C33" s="6" t="s">
        <v>106</v>
      </c>
      <c r="D33" s="6" t="s">
        <v>1446</v>
      </c>
      <c r="E33" s="92">
        <v>38</v>
      </c>
      <c r="F33" s="88">
        <v>1</v>
      </c>
    </row>
    <row r="34" spans="1:6" ht="42">
      <c r="A34" s="88">
        <v>2028</v>
      </c>
      <c r="B34" s="6" t="s">
        <v>843</v>
      </c>
      <c r="C34" s="6" t="s">
        <v>106</v>
      </c>
      <c r="D34" s="6" t="s">
        <v>1447</v>
      </c>
      <c r="E34" s="92">
        <v>36</v>
      </c>
      <c r="F34" s="88">
        <v>1</v>
      </c>
    </row>
    <row r="35" spans="1:6" ht="56">
      <c r="A35" s="88">
        <v>2028</v>
      </c>
      <c r="B35" s="6" t="s">
        <v>843</v>
      </c>
      <c r="C35" s="6" t="s">
        <v>106</v>
      </c>
      <c r="D35" s="6" t="s">
        <v>1448</v>
      </c>
      <c r="E35" s="92">
        <v>15</v>
      </c>
      <c r="F35" s="88">
        <v>1</v>
      </c>
    </row>
    <row r="36" spans="1:6" ht="56">
      <c r="A36" s="88">
        <v>2028</v>
      </c>
      <c r="B36" s="6" t="s">
        <v>843</v>
      </c>
      <c r="C36" s="6" t="s">
        <v>106</v>
      </c>
      <c r="D36" s="6" t="s">
        <v>1449</v>
      </c>
      <c r="E36" s="92">
        <v>40</v>
      </c>
      <c r="F36" s="88">
        <v>1</v>
      </c>
    </row>
    <row r="37" spans="1:6">
      <c r="A37" s="88">
        <v>2028</v>
      </c>
      <c r="B37" s="6" t="s">
        <v>845</v>
      </c>
      <c r="C37" s="6" t="s">
        <v>106</v>
      </c>
      <c r="D37" s="6" t="s">
        <v>1443</v>
      </c>
      <c r="E37" s="92">
        <v>1018</v>
      </c>
      <c r="F37" s="88">
        <v>1</v>
      </c>
    </row>
    <row r="38" spans="1:6" ht="42">
      <c r="A38" s="88">
        <v>2028</v>
      </c>
      <c r="B38" s="6" t="s">
        <v>845</v>
      </c>
      <c r="C38" s="6" t="s">
        <v>106</v>
      </c>
      <c r="D38" s="6" t="s">
        <v>1446</v>
      </c>
      <c r="E38" s="92">
        <v>38</v>
      </c>
      <c r="F38" s="88">
        <v>1</v>
      </c>
    </row>
    <row r="39" spans="1:6" ht="42">
      <c r="A39" s="88">
        <v>2028</v>
      </c>
      <c r="B39" s="6" t="s">
        <v>845</v>
      </c>
      <c r="C39" s="6" t="s">
        <v>106</v>
      </c>
      <c r="D39" s="6" t="s">
        <v>1447</v>
      </c>
      <c r="E39" s="92">
        <v>31</v>
      </c>
      <c r="F39" s="88">
        <v>1</v>
      </c>
    </row>
    <row r="40" spans="1:6" ht="56">
      <c r="A40" s="88">
        <v>2028</v>
      </c>
      <c r="B40" s="6" t="s">
        <v>845</v>
      </c>
      <c r="C40" s="6" t="s">
        <v>106</v>
      </c>
      <c r="D40" s="6" t="s">
        <v>1448</v>
      </c>
      <c r="E40" s="92">
        <v>5</v>
      </c>
      <c r="F40" s="88">
        <v>1</v>
      </c>
    </row>
    <row r="41" spans="1:6" ht="56">
      <c r="A41" s="88">
        <v>2028</v>
      </c>
      <c r="B41" s="6" t="s">
        <v>845</v>
      </c>
      <c r="C41" s="6" t="s">
        <v>106</v>
      </c>
      <c r="D41" s="6" t="s">
        <v>1449</v>
      </c>
      <c r="E41" s="92">
        <v>25</v>
      </c>
      <c r="F41" s="88">
        <v>1</v>
      </c>
    </row>
    <row r="42" spans="1:6">
      <c r="A42" s="88">
        <v>2029</v>
      </c>
      <c r="B42" s="6" t="s">
        <v>846</v>
      </c>
      <c r="C42" s="6" t="s">
        <v>106</v>
      </c>
      <c r="D42" s="6" t="s">
        <v>1443</v>
      </c>
      <c r="E42" s="92">
        <v>1109</v>
      </c>
      <c r="F42" s="88">
        <v>1</v>
      </c>
    </row>
    <row r="43" spans="1:6" ht="42">
      <c r="A43" s="88">
        <v>2029</v>
      </c>
      <c r="B43" s="6" t="s">
        <v>846</v>
      </c>
      <c r="C43" s="6" t="s">
        <v>106</v>
      </c>
      <c r="D43" s="6" t="s">
        <v>1446</v>
      </c>
      <c r="E43" s="92">
        <v>76</v>
      </c>
      <c r="F43" s="88">
        <v>1</v>
      </c>
    </row>
    <row r="44" spans="1:6" ht="42">
      <c r="A44" s="88">
        <v>2029</v>
      </c>
      <c r="B44" s="6" t="s">
        <v>846</v>
      </c>
      <c r="C44" s="6" t="s">
        <v>106</v>
      </c>
      <c r="D44" s="6" t="s">
        <v>1447</v>
      </c>
      <c r="E44" s="92">
        <v>33</v>
      </c>
      <c r="F44" s="88">
        <v>1</v>
      </c>
    </row>
    <row r="45" spans="1:6" ht="56">
      <c r="A45" s="88">
        <v>2029</v>
      </c>
      <c r="B45" s="6" t="s">
        <v>846</v>
      </c>
      <c r="C45" s="6" t="s">
        <v>106</v>
      </c>
      <c r="D45" s="6" t="s">
        <v>1448</v>
      </c>
      <c r="E45" s="92">
        <v>10</v>
      </c>
      <c r="F45" s="88">
        <v>1</v>
      </c>
    </row>
    <row r="46" spans="1:6" ht="56">
      <c r="A46" s="88">
        <v>2029</v>
      </c>
      <c r="B46" s="6" t="s">
        <v>846</v>
      </c>
      <c r="C46" s="6" t="s">
        <v>106</v>
      </c>
      <c r="D46" s="6" t="s">
        <v>1449</v>
      </c>
      <c r="E46" s="92">
        <v>25</v>
      </c>
      <c r="F46" s="88">
        <v>1</v>
      </c>
    </row>
    <row r="47" spans="1:6">
      <c r="A47" s="88">
        <v>2029</v>
      </c>
      <c r="B47" s="6" t="s">
        <v>847</v>
      </c>
      <c r="C47" s="6" t="s">
        <v>106</v>
      </c>
      <c r="D47" s="6" t="s">
        <v>1443</v>
      </c>
      <c r="E47" s="92">
        <v>834</v>
      </c>
      <c r="F47" s="88">
        <v>1</v>
      </c>
    </row>
    <row r="48" spans="1:6" ht="42">
      <c r="A48" s="88">
        <v>2029</v>
      </c>
      <c r="B48" s="6" t="s">
        <v>847</v>
      </c>
      <c r="C48" s="6" t="s">
        <v>106</v>
      </c>
      <c r="D48" s="6" t="s">
        <v>1446</v>
      </c>
      <c r="E48" s="92">
        <v>113</v>
      </c>
      <c r="F48" s="88">
        <v>1</v>
      </c>
    </row>
    <row r="49" spans="1:6" ht="42">
      <c r="A49" s="88">
        <v>2029</v>
      </c>
      <c r="B49" s="6" t="s">
        <v>847</v>
      </c>
      <c r="C49" s="6" t="s">
        <v>106</v>
      </c>
      <c r="D49" s="6" t="s">
        <v>1447</v>
      </c>
      <c r="E49" s="92">
        <v>28</v>
      </c>
      <c r="F49" s="88">
        <v>1</v>
      </c>
    </row>
    <row r="50" spans="1:6" ht="56">
      <c r="A50" s="88">
        <v>2029</v>
      </c>
      <c r="B50" s="6" t="s">
        <v>847</v>
      </c>
      <c r="C50" s="6" t="s">
        <v>106</v>
      </c>
      <c r="D50" s="6" t="s">
        <v>1448</v>
      </c>
      <c r="E50" s="92">
        <v>5</v>
      </c>
      <c r="F50" s="88">
        <v>1</v>
      </c>
    </row>
    <row r="51" spans="1:6" ht="56">
      <c r="A51" s="88">
        <v>2029</v>
      </c>
      <c r="B51" s="6" t="s">
        <v>847</v>
      </c>
      <c r="C51" s="6" t="s">
        <v>106</v>
      </c>
      <c r="D51" s="6" t="s">
        <v>1449</v>
      </c>
      <c r="E51" s="92">
        <v>18</v>
      </c>
      <c r="F51" s="88">
        <v>1</v>
      </c>
    </row>
    <row r="52" spans="1:6">
      <c r="A52" s="88">
        <v>2029</v>
      </c>
      <c r="B52" s="6" t="s">
        <v>848</v>
      </c>
      <c r="C52" s="6" t="s">
        <v>106</v>
      </c>
      <c r="D52" s="6" t="s">
        <v>1443</v>
      </c>
      <c r="E52" s="92">
        <v>1105</v>
      </c>
      <c r="F52" s="88">
        <v>1</v>
      </c>
    </row>
    <row r="53" spans="1:6" ht="42">
      <c r="A53" s="88">
        <v>2029</v>
      </c>
      <c r="B53" s="6" t="s">
        <v>848</v>
      </c>
      <c r="C53" s="6" t="s">
        <v>106</v>
      </c>
      <c r="D53" s="6" t="s">
        <v>1446</v>
      </c>
      <c r="E53" s="92">
        <v>113</v>
      </c>
      <c r="F53" s="88">
        <v>1</v>
      </c>
    </row>
    <row r="54" spans="1:6" ht="42">
      <c r="A54" s="88">
        <v>2029</v>
      </c>
      <c r="B54" s="6" t="s">
        <v>848</v>
      </c>
      <c r="C54" s="6" t="s">
        <v>106</v>
      </c>
      <c r="D54" s="6" t="s">
        <v>1447</v>
      </c>
      <c r="E54" s="92">
        <v>36</v>
      </c>
      <c r="F54" s="88">
        <v>1</v>
      </c>
    </row>
    <row r="55" spans="1:6" ht="56">
      <c r="A55" s="88">
        <v>2029</v>
      </c>
      <c r="B55" s="6" t="s">
        <v>848</v>
      </c>
      <c r="C55" s="6" t="s">
        <v>106</v>
      </c>
      <c r="D55" s="6" t="s">
        <v>1448</v>
      </c>
      <c r="E55" s="92">
        <v>5</v>
      </c>
      <c r="F55" s="88">
        <v>1</v>
      </c>
    </row>
    <row r="56" spans="1:6" ht="56">
      <c r="A56" s="88">
        <v>2029</v>
      </c>
      <c r="B56" s="6" t="s">
        <v>848</v>
      </c>
      <c r="C56" s="6" t="s">
        <v>106</v>
      </c>
      <c r="D56" s="6" t="s">
        <v>1449</v>
      </c>
      <c r="E56" s="92">
        <v>25</v>
      </c>
      <c r="F56" s="88">
        <v>1</v>
      </c>
    </row>
    <row r="57" spans="1:6">
      <c r="A57" s="88">
        <v>2029</v>
      </c>
      <c r="B57" s="6" t="s">
        <v>843</v>
      </c>
      <c r="C57" s="6" t="s">
        <v>106</v>
      </c>
      <c r="D57" s="6" t="s">
        <v>1443</v>
      </c>
      <c r="E57" s="92">
        <v>1194</v>
      </c>
      <c r="F57" s="88">
        <v>1</v>
      </c>
    </row>
    <row r="58" spans="1:6" ht="42">
      <c r="A58" s="88">
        <v>2029</v>
      </c>
      <c r="B58" s="6" t="s">
        <v>843</v>
      </c>
      <c r="C58" s="6" t="s">
        <v>106</v>
      </c>
      <c r="D58" s="6" t="s">
        <v>1446</v>
      </c>
      <c r="E58" s="92">
        <v>31</v>
      </c>
      <c r="F58" s="88">
        <v>1</v>
      </c>
    </row>
    <row r="59" spans="1:6" ht="42">
      <c r="A59" s="88">
        <v>2029</v>
      </c>
      <c r="B59" s="6" t="s">
        <v>843</v>
      </c>
      <c r="C59" s="6" t="s">
        <v>106</v>
      </c>
      <c r="D59" s="6" t="s">
        <v>1447</v>
      </c>
      <c r="E59" s="92">
        <v>49</v>
      </c>
      <c r="F59" s="88">
        <v>1</v>
      </c>
    </row>
    <row r="60" spans="1:6" ht="56">
      <c r="A60" s="88">
        <v>2029</v>
      </c>
      <c r="B60" s="6" t="s">
        <v>843</v>
      </c>
      <c r="C60" s="6" t="s">
        <v>106</v>
      </c>
      <c r="D60" s="6" t="s">
        <v>1448</v>
      </c>
      <c r="E60" s="92">
        <v>35</v>
      </c>
      <c r="F60" s="88">
        <v>1</v>
      </c>
    </row>
    <row r="61" spans="1:6" ht="56">
      <c r="A61" s="88">
        <v>2029</v>
      </c>
      <c r="B61" s="6" t="s">
        <v>843</v>
      </c>
      <c r="C61" s="6" t="s">
        <v>106</v>
      </c>
      <c r="D61" s="6" t="s">
        <v>1449</v>
      </c>
      <c r="E61" s="92">
        <v>50</v>
      </c>
      <c r="F61" s="88">
        <v>1</v>
      </c>
    </row>
    <row r="62" spans="1:6">
      <c r="A62" s="88">
        <v>2026</v>
      </c>
      <c r="B62" s="6" t="s">
        <v>845</v>
      </c>
      <c r="C62" s="6" t="s">
        <v>105</v>
      </c>
      <c r="D62" s="6" t="s">
        <v>1443</v>
      </c>
      <c r="E62" s="92">
        <v>1660</v>
      </c>
    </row>
    <row r="63" spans="1:6">
      <c r="A63" s="88">
        <v>2027</v>
      </c>
      <c r="B63" s="6" t="s">
        <v>846</v>
      </c>
      <c r="C63" s="6" t="s">
        <v>105</v>
      </c>
      <c r="D63" s="6" t="s">
        <v>1443</v>
      </c>
      <c r="E63" s="92">
        <v>2062</v>
      </c>
    </row>
    <row r="64" spans="1:6">
      <c r="A64" s="88">
        <v>2027</v>
      </c>
      <c r="B64" s="6" t="s">
        <v>847</v>
      </c>
      <c r="C64" s="6" t="s">
        <v>105</v>
      </c>
      <c r="D64" s="6" t="s">
        <v>1443</v>
      </c>
      <c r="E64" s="92">
        <v>1513</v>
      </c>
    </row>
    <row r="65" spans="1:5">
      <c r="A65" s="88">
        <v>2027</v>
      </c>
      <c r="B65" s="6" t="s">
        <v>848</v>
      </c>
      <c r="C65" s="6" t="s">
        <v>105</v>
      </c>
      <c r="D65" s="6" t="s">
        <v>1443</v>
      </c>
      <c r="E65" s="92">
        <v>2245</v>
      </c>
    </row>
    <row r="66" spans="1:5">
      <c r="A66" s="88">
        <v>2027</v>
      </c>
      <c r="B66" s="6" t="s">
        <v>843</v>
      </c>
      <c r="C66" s="6" t="s">
        <v>105</v>
      </c>
      <c r="D66" s="6" t="s">
        <v>1443</v>
      </c>
      <c r="E66" s="92">
        <v>1898</v>
      </c>
    </row>
    <row r="67" spans="1:5">
      <c r="A67" s="88">
        <v>2027</v>
      </c>
      <c r="B67" s="6" t="s">
        <v>845</v>
      </c>
      <c r="C67" s="6" t="s">
        <v>105</v>
      </c>
      <c r="D67" s="6" t="s">
        <v>1443</v>
      </c>
      <c r="E67" s="92">
        <v>1898</v>
      </c>
    </row>
    <row r="68" spans="1:5">
      <c r="A68" s="88">
        <v>2028</v>
      </c>
      <c r="B68" s="6" t="s">
        <v>846</v>
      </c>
      <c r="C68" s="6" t="s">
        <v>105</v>
      </c>
      <c r="D68" s="6" t="s">
        <v>1443</v>
      </c>
      <c r="E68" s="92">
        <v>2097.8788</v>
      </c>
    </row>
    <row r="69" spans="1:5" ht="42">
      <c r="A69" s="88">
        <v>2028</v>
      </c>
      <c r="B69" s="6" t="s">
        <v>846</v>
      </c>
      <c r="C69" s="6" t="s">
        <v>105</v>
      </c>
      <c r="D69" s="6" t="s">
        <v>1450</v>
      </c>
      <c r="E69" s="92">
        <v>225</v>
      </c>
    </row>
    <row r="70" spans="1:5" ht="56">
      <c r="A70" s="88">
        <v>2028</v>
      </c>
      <c r="B70" s="6" t="s">
        <v>846</v>
      </c>
      <c r="C70" s="6" t="s">
        <v>105</v>
      </c>
      <c r="D70" s="6" t="s">
        <v>1449</v>
      </c>
      <c r="E70" s="92">
        <v>15</v>
      </c>
    </row>
    <row r="71" spans="1:5">
      <c r="A71" s="88">
        <v>2028</v>
      </c>
      <c r="B71" s="6" t="s">
        <v>847</v>
      </c>
      <c r="C71" s="6" t="s">
        <v>105</v>
      </c>
      <c r="D71" s="6" t="s">
        <v>1443</v>
      </c>
      <c r="E71" s="92">
        <v>1539.9313999999999</v>
      </c>
    </row>
    <row r="72" spans="1:5" ht="42">
      <c r="A72" s="88">
        <v>2028</v>
      </c>
      <c r="B72" s="6" t="s">
        <v>847</v>
      </c>
      <c r="C72" s="6" t="s">
        <v>105</v>
      </c>
      <c r="D72" s="6" t="s">
        <v>1450</v>
      </c>
      <c r="E72" s="92">
        <v>136</v>
      </c>
    </row>
    <row r="73" spans="1:5" ht="56">
      <c r="A73" s="88">
        <v>2028</v>
      </c>
      <c r="B73" s="6" t="s">
        <v>847</v>
      </c>
      <c r="C73" s="6" t="s">
        <v>105</v>
      </c>
      <c r="D73" s="6" t="s">
        <v>1449</v>
      </c>
      <c r="E73" s="92">
        <v>37</v>
      </c>
    </row>
    <row r="74" spans="1:5">
      <c r="A74" s="88">
        <v>2028</v>
      </c>
      <c r="B74" s="6" t="s">
        <v>848</v>
      </c>
      <c r="C74" s="6" t="s">
        <v>105</v>
      </c>
      <c r="D74" s="6" t="s">
        <v>1443</v>
      </c>
      <c r="E74" s="92">
        <v>2283.8384999999998</v>
      </c>
    </row>
    <row r="75" spans="1:5" ht="42">
      <c r="A75" s="88">
        <v>2028</v>
      </c>
      <c r="B75" s="6" t="s">
        <v>848</v>
      </c>
      <c r="C75" s="6" t="s">
        <v>105</v>
      </c>
      <c r="D75" s="6" t="s">
        <v>1450</v>
      </c>
      <c r="E75" s="92">
        <v>233</v>
      </c>
    </row>
    <row r="76" spans="1:5" ht="56">
      <c r="A76" s="88">
        <v>2028</v>
      </c>
      <c r="B76" s="6" t="s">
        <v>848</v>
      </c>
      <c r="C76" s="6" t="s">
        <v>105</v>
      </c>
      <c r="D76" s="6" t="s">
        <v>1449</v>
      </c>
      <c r="E76" s="92">
        <v>25</v>
      </c>
    </row>
    <row r="77" spans="1:5">
      <c r="A77" s="88">
        <v>2028</v>
      </c>
      <c r="B77" s="6" t="s">
        <v>843</v>
      </c>
      <c r="C77" s="6" t="s">
        <v>105</v>
      </c>
      <c r="D77" s="6" t="s">
        <v>1443</v>
      </c>
      <c r="E77" s="92">
        <v>1931</v>
      </c>
    </row>
    <row r="78" spans="1:5" ht="42">
      <c r="A78" s="88">
        <v>2028</v>
      </c>
      <c r="B78" s="6" t="s">
        <v>843</v>
      </c>
      <c r="C78" s="6" t="s">
        <v>105</v>
      </c>
      <c r="D78" s="6" t="s">
        <v>1450</v>
      </c>
      <c r="E78" s="92">
        <v>105</v>
      </c>
    </row>
    <row r="79" spans="1:5" ht="56">
      <c r="A79" s="88">
        <v>2028</v>
      </c>
      <c r="B79" s="6" t="s">
        <v>843</v>
      </c>
      <c r="C79" s="6" t="s">
        <v>105</v>
      </c>
      <c r="D79" s="6" t="s">
        <v>1449</v>
      </c>
      <c r="E79" s="92">
        <v>20</v>
      </c>
    </row>
    <row r="80" spans="1:5">
      <c r="A80" s="88">
        <v>2028</v>
      </c>
      <c r="B80" s="6" t="s">
        <v>845</v>
      </c>
      <c r="C80" s="6" t="s">
        <v>105</v>
      </c>
      <c r="D80" s="6" t="s">
        <v>1443</v>
      </c>
      <c r="E80" s="92">
        <v>1931</v>
      </c>
    </row>
    <row r="81" spans="1:5" ht="42">
      <c r="A81" s="88">
        <v>2028</v>
      </c>
      <c r="B81" s="6" t="s">
        <v>845</v>
      </c>
      <c r="C81" s="6" t="s">
        <v>105</v>
      </c>
      <c r="D81" s="6" t="s">
        <v>1450</v>
      </c>
      <c r="E81" s="92">
        <v>44</v>
      </c>
    </row>
    <row r="82" spans="1:5" ht="42">
      <c r="A82" s="88">
        <v>2028</v>
      </c>
      <c r="B82" s="6" t="s">
        <v>845</v>
      </c>
      <c r="C82" s="6" t="s">
        <v>105</v>
      </c>
      <c r="D82" s="6" t="s">
        <v>1451</v>
      </c>
      <c r="E82" s="92">
        <v>35</v>
      </c>
    </row>
    <row r="83" spans="1:5" ht="56">
      <c r="A83" s="88">
        <v>2028</v>
      </c>
      <c r="B83" s="6" t="s">
        <v>845</v>
      </c>
      <c r="C83" s="6" t="s">
        <v>105</v>
      </c>
      <c r="D83" s="6" t="s">
        <v>1448</v>
      </c>
      <c r="E83" s="92">
        <v>15</v>
      </c>
    </row>
    <row r="84" spans="1:5" ht="56">
      <c r="A84" s="88">
        <v>2028</v>
      </c>
      <c r="B84" s="6" t="s">
        <v>845</v>
      </c>
      <c r="C84" s="6" t="s">
        <v>105</v>
      </c>
      <c r="D84" s="6" t="s">
        <v>1449</v>
      </c>
      <c r="E84" s="92">
        <v>30</v>
      </c>
    </row>
    <row r="85" spans="1:5">
      <c r="A85" s="88">
        <v>2029</v>
      </c>
      <c r="B85" s="6" t="s">
        <v>846</v>
      </c>
      <c r="C85" s="6" t="s">
        <v>105</v>
      </c>
      <c r="D85" s="6" t="s">
        <v>1443</v>
      </c>
      <c r="E85" s="92">
        <v>2112</v>
      </c>
    </row>
    <row r="86" spans="1:5" ht="42">
      <c r="A86" s="88">
        <v>2029</v>
      </c>
      <c r="B86" s="6" t="s">
        <v>846</v>
      </c>
      <c r="C86" s="6" t="s">
        <v>105</v>
      </c>
      <c r="D86" s="6" t="s">
        <v>1450</v>
      </c>
      <c r="E86" s="92">
        <v>211</v>
      </c>
    </row>
    <row r="87" spans="1:5" ht="42">
      <c r="A87" s="88">
        <v>2029</v>
      </c>
      <c r="B87" s="6" t="s">
        <v>846</v>
      </c>
      <c r="C87" s="6" t="s">
        <v>105</v>
      </c>
      <c r="D87" s="6" t="s">
        <v>1451</v>
      </c>
      <c r="E87" s="92">
        <v>103</v>
      </c>
    </row>
    <row r="88" spans="1:5" ht="56">
      <c r="A88" s="88">
        <v>2029</v>
      </c>
      <c r="B88" s="6" t="s">
        <v>846</v>
      </c>
      <c r="C88" s="6" t="s">
        <v>105</v>
      </c>
      <c r="D88" s="6" t="s">
        <v>1448</v>
      </c>
      <c r="E88" s="92">
        <v>8</v>
      </c>
    </row>
    <row r="89" spans="1:5" ht="56">
      <c r="A89" s="88">
        <v>2029</v>
      </c>
      <c r="B89" s="6" t="s">
        <v>846</v>
      </c>
      <c r="C89" s="6" t="s">
        <v>105</v>
      </c>
      <c r="D89" s="6" t="s">
        <v>1449</v>
      </c>
      <c r="E89" s="92">
        <v>43</v>
      </c>
    </row>
    <row r="90" spans="1:5">
      <c r="A90" s="88">
        <v>2029</v>
      </c>
      <c r="B90" s="6" t="s">
        <v>847</v>
      </c>
      <c r="C90" s="6" t="s">
        <v>105</v>
      </c>
      <c r="D90" s="6" t="s">
        <v>1443</v>
      </c>
      <c r="E90" s="92">
        <v>1550</v>
      </c>
    </row>
    <row r="91" spans="1:5" ht="42">
      <c r="A91" s="88">
        <v>2029</v>
      </c>
      <c r="B91" s="6" t="s">
        <v>847</v>
      </c>
      <c r="C91" s="6" t="s">
        <v>105</v>
      </c>
      <c r="D91" s="6" t="s">
        <v>1450</v>
      </c>
      <c r="E91" s="92">
        <v>159</v>
      </c>
    </row>
    <row r="92" spans="1:5" ht="42">
      <c r="A92" s="88">
        <v>2029</v>
      </c>
      <c r="B92" s="6" t="s">
        <v>847</v>
      </c>
      <c r="C92" s="6" t="s">
        <v>105</v>
      </c>
      <c r="D92" s="6" t="s">
        <v>1451</v>
      </c>
      <c r="E92" s="92">
        <v>63</v>
      </c>
    </row>
    <row r="93" spans="1:5" ht="56">
      <c r="A93" s="88">
        <v>2029</v>
      </c>
      <c r="B93" s="6" t="s">
        <v>847</v>
      </c>
      <c r="C93" s="6" t="s">
        <v>105</v>
      </c>
      <c r="D93" s="6" t="s">
        <v>1448</v>
      </c>
      <c r="E93" s="92">
        <v>7</v>
      </c>
    </row>
    <row r="94" spans="1:5" ht="56">
      <c r="A94" s="88">
        <v>2029</v>
      </c>
      <c r="B94" s="6" t="s">
        <v>847</v>
      </c>
      <c r="C94" s="6" t="s">
        <v>105</v>
      </c>
      <c r="D94" s="6" t="s">
        <v>1449</v>
      </c>
      <c r="E94" s="92">
        <v>35</v>
      </c>
    </row>
    <row r="95" spans="1:5">
      <c r="A95" s="88">
        <v>2029</v>
      </c>
      <c r="B95" s="6" t="s">
        <v>848</v>
      </c>
      <c r="C95" s="6" t="s">
        <v>105</v>
      </c>
      <c r="D95" s="6" t="s">
        <v>1443</v>
      </c>
      <c r="E95" s="92">
        <v>2301</v>
      </c>
    </row>
    <row r="96" spans="1:5" ht="42">
      <c r="A96" s="88">
        <v>2029</v>
      </c>
      <c r="B96" s="6" t="s">
        <v>848</v>
      </c>
      <c r="C96" s="6" t="s">
        <v>105</v>
      </c>
      <c r="D96" s="6" t="s">
        <v>1450</v>
      </c>
      <c r="E96" s="92">
        <v>255</v>
      </c>
    </row>
    <row r="97" spans="1:5" ht="42">
      <c r="A97" s="88">
        <v>2029</v>
      </c>
      <c r="B97" s="6" t="s">
        <v>848</v>
      </c>
      <c r="C97" s="6" t="s">
        <v>105</v>
      </c>
      <c r="D97" s="6" t="s">
        <v>1451</v>
      </c>
      <c r="E97" s="92">
        <v>101</v>
      </c>
    </row>
    <row r="98" spans="1:5" ht="56">
      <c r="A98" s="88">
        <v>2029</v>
      </c>
      <c r="B98" s="6" t="s">
        <v>848</v>
      </c>
      <c r="C98" s="6" t="s">
        <v>105</v>
      </c>
      <c r="D98" s="6" t="s">
        <v>1448</v>
      </c>
      <c r="E98" s="92">
        <v>8</v>
      </c>
    </row>
    <row r="99" spans="1:5" ht="56">
      <c r="A99" s="88">
        <v>2029</v>
      </c>
      <c r="B99" s="6" t="s">
        <v>848</v>
      </c>
      <c r="C99" s="6" t="s">
        <v>105</v>
      </c>
      <c r="D99" s="6" t="s">
        <v>1449</v>
      </c>
      <c r="E99" s="92">
        <v>29</v>
      </c>
    </row>
    <row r="100" spans="1:5">
      <c r="A100" s="88">
        <v>2029</v>
      </c>
      <c r="B100" s="6" t="s">
        <v>843</v>
      </c>
      <c r="C100" s="6" t="s">
        <v>105</v>
      </c>
      <c r="D100" s="6" t="s">
        <v>1443</v>
      </c>
      <c r="E100" s="92">
        <v>1944</v>
      </c>
    </row>
    <row r="101" spans="1:5" ht="42">
      <c r="A101" s="88">
        <v>2029</v>
      </c>
      <c r="B101" s="6" t="s">
        <v>843</v>
      </c>
      <c r="C101" s="6" t="s">
        <v>105</v>
      </c>
      <c r="D101" s="6" t="s">
        <v>1450</v>
      </c>
      <c r="E101" s="92">
        <v>199</v>
      </c>
    </row>
    <row r="102" spans="1:5" ht="42">
      <c r="A102" s="88">
        <v>2029</v>
      </c>
      <c r="B102" s="6" t="s">
        <v>843</v>
      </c>
      <c r="C102" s="6" t="s">
        <v>105</v>
      </c>
      <c r="D102" s="6" t="s">
        <v>1451</v>
      </c>
      <c r="E102" s="92">
        <v>61</v>
      </c>
    </row>
    <row r="103" spans="1:5" ht="56">
      <c r="A103" s="88">
        <v>2029</v>
      </c>
      <c r="B103" s="6" t="s">
        <v>843</v>
      </c>
      <c r="C103" s="6" t="s">
        <v>105</v>
      </c>
      <c r="D103" s="6" t="s">
        <v>1448</v>
      </c>
      <c r="E103" s="92">
        <v>10</v>
      </c>
    </row>
    <row r="104" spans="1:5" ht="56">
      <c r="A104" s="88">
        <v>2029</v>
      </c>
      <c r="B104" s="6" t="s">
        <v>843</v>
      </c>
      <c r="C104" s="6" t="s">
        <v>105</v>
      </c>
      <c r="D104" s="6" t="s">
        <v>1449</v>
      </c>
      <c r="E104" s="92">
        <v>25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J81"/>
  <sheetViews>
    <sheetView topLeftCell="B1" workbookViewId="0">
      <selection activeCell="I5" sqref="I5"/>
    </sheetView>
  </sheetViews>
  <sheetFormatPr baseColWidth="10" defaultColWidth="8.6640625" defaultRowHeight="14"/>
  <cols>
    <col min="1" max="5" width="16" customWidth="1"/>
    <col min="6" max="9" width="18" customWidth="1"/>
    <col min="10" max="10" width="16" customWidth="1"/>
  </cols>
  <sheetData>
    <row r="1" spans="1:10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842</v>
      </c>
      <c r="G1" s="82" t="s">
        <v>1352</v>
      </c>
      <c r="H1" s="82" t="s">
        <v>1354</v>
      </c>
      <c r="I1" s="82" t="s">
        <v>1355</v>
      </c>
      <c r="J1" s="82" t="s">
        <v>1356</v>
      </c>
    </row>
    <row r="2" spans="1:10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>
        <f>SUMIFS(ni_bimestral_pos_ejec!$F:$F,ni_bimestral_pos_ejec!$C:$C,$C2,ni_bimestral_pos_ejec!$B:$B,$B2,ni_bimestral_pos_ejec!$D:$D,$D2,ni_bimestral_pos_ejec!$E:$E,$E2)</f>
        <v>1866</v>
      </c>
      <c r="G2" s="70">
        <f>SUMIFS(ri_bimestral_pos_ejec!$F:$F,ri_bimestral_pos_ejec!$C:$C,$C2,ri_bimestral_pos_ejec!$B:$B,$B2,ri_bimestral_pos_ejec!$D:$D,$D2,ri_bimestral_pos_ejec!$E:$E,$E2)</f>
        <v>0</v>
      </c>
      <c r="H2" s="70">
        <f>SUMIFS(pmp_mt_pos_ejec!$E:$E,pmp_mt_pos_ejec!$A:$A,$C2,pmp_mt_pos_ejec!$B:$B,$B2,pmp_mt_pos_ejec!$C:$C,$D2)</f>
        <v>14561</v>
      </c>
      <c r="I2" s="70">
        <f t="shared" ref="I2:I33" si="0">IF(H2=0,"",MAX(0,H2-F2-G2))</f>
        <v>12695</v>
      </c>
      <c r="J2" s="18" t="str">
        <f t="shared" ref="J2:J33" si="1">IF(H2=0,"Sin PMP",IF(ABS((F2+G2+I2)-H2)&lt;1,"OK","Revisar"))</f>
        <v>OK</v>
      </c>
    </row>
    <row r="3" spans="1:10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>
        <f>SUMIFS(ni_bimestral_pos_ejec!$F:$F,ni_bimestral_pos_ejec!$C:$C,$C3,ni_bimestral_pos_ejec!$B:$B,$B3,ni_bimestral_pos_ejec!$D:$D,$D3,ni_bimestral_pos_ejec!$E:$E,$E3)</f>
        <v>0</v>
      </c>
      <c r="G3" s="70">
        <f>SUMIFS(ri_bimestral_pos_ejec!$F:$F,ri_bimestral_pos_ejec!$C:$C,$C3,ri_bimestral_pos_ejec!$B:$B,$B3,ri_bimestral_pos_ejec!$D:$D,$D3,ri_bimestral_pos_ejec!$E:$E,$E3)</f>
        <v>0</v>
      </c>
      <c r="H3" s="70">
        <f>SUMIFS(pmp_mt_pos_ejec!$E:$E,pmp_mt_pos_ejec!$A:$A,$C3,pmp_mt_pos_ejec!$B:$B,$B3,pmp_mt_pos_ejec!$C:$C,$D3)</f>
        <v>14561</v>
      </c>
      <c r="I3" s="70">
        <f t="shared" si="0"/>
        <v>14561</v>
      </c>
      <c r="J3" s="18" t="str">
        <f t="shared" si="1"/>
        <v>OK</v>
      </c>
    </row>
    <row r="4" spans="1:10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>
        <f>SUMIFS(ni_bimestral_pos_ejec!$F:$F,ni_bimestral_pos_ejec!$C:$C,$C4,ni_bimestral_pos_ejec!$B:$B,$B4,ni_bimestral_pos_ejec!$D:$D,$D4,ni_bimestral_pos_ejec!$E:$E,$E4)</f>
        <v>952</v>
      </c>
      <c r="G4" s="70">
        <f>SUMIFS(ri_bimestral_pos_ejec!$F:$F,ri_bimestral_pos_ejec!$C:$C,$C4,ri_bimestral_pos_ejec!$B:$B,$B4,ri_bimestral_pos_ejec!$D:$D,$D4,ri_bimestral_pos_ejec!$E:$E,$E4)</f>
        <v>2023</v>
      </c>
      <c r="H4" s="70">
        <f>SUMIFS(pmp_mt_pos_ejec!$E:$E,pmp_mt_pos_ejec!$A:$A,$C4,pmp_mt_pos_ejec!$B:$B,$B4,pmp_mt_pos_ejec!$C:$C,$D4)</f>
        <v>10207</v>
      </c>
      <c r="I4" s="70">
        <f t="shared" si="0"/>
        <v>7232</v>
      </c>
      <c r="J4" s="18" t="str">
        <f t="shared" si="1"/>
        <v>OK</v>
      </c>
    </row>
    <row r="5" spans="1:10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>
        <f>SUMIFS(ni_bimestral_pos_ejec!$F:$F,ni_bimestral_pos_ejec!$C:$C,$C5,ni_bimestral_pos_ejec!$B:$B,$B5,ni_bimestral_pos_ejec!$D:$D,$D5,ni_bimestral_pos_ejec!$E:$E,$E5)</f>
        <v>0</v>
      </c>
      <c r="G5" s="70">
        <f>SUMIFS(ri_bimestral_pos_ejec!$F:$F,ri_bimestral_pos_ejec!$C:$C,$C5,ri_bimestral_pos_ejec!$B:$B,$B5,ri_bimestral_pos_ejec!$D:$D,$D5,ri_bimestral_pos_ejec!$E:$E,$E5)</f>
        <v>0</v>
      </c>
      <c r="H5" s="70">
        <f>SUMIFS(pmp_mt_pos_ejec!$E:$E,pmp_mt_pos_ejec!$A:$A,$C5,pmp_mt_pos_ejec!$B:$B,$B5,pmp_mt_pos_ejec!$C:$C,$D5)</f>
        <v>10207</v>
      </c>
      <c r="I5" s="70">
        <f t="shared" si="0"/>
        <v>10207</v>
      </c>
      <c r="J5" s="18" t="str">
        <f t="shared" si="1"/>
        <v>OK</v>
      </c>
    </row>
    <row r="6" spans="1:10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>
        <f>SUMIFS(ni_bimestral_pos_ejec!$F:$F,ni_bimestral_pos_ejec!$C:$C,$C6,ni_bimestral_pos_ejec!$B:$B,$B6,ni_bimestral_pos_ejec!$D:$D,$D6,ni_bimestral_pos_ejec!$E:$E,$E6)</f>
        <v>1660</v>
      </c>
      <c r="G6" s="70">
        <f>SUMIFS(ri_bimestral_pos_ejec!$F:$F,ri_bimestral_pos_ejec!$C:$C,$C6,ri_bimestral_pos_ejec!$B:$B,$B6,ri_bimestral_pos_ejec!$D:$D,$D6,ri_bimestral_pos_ejec!$E:$E,$E6)</f>
        <v>1697</v>
      </c>
      <c r="H6" s="70">
        <f>SUMIFS(pmp_mt_pos_ejec!$E:$E,pmp_mt_pos_ejec!$A:$A,$C6,pmp_mt_pos_ejec!$B:$B,$B6,pmp_mt_pos_ejec!$C:$C,$D6)</f>
        <v>0</v>
      </c>
      <c r="I6" s="70" t="str">
        <f t="shared" si="0"/>
        <v/>
      </c>
      <c r="J6" s="18" t="str">
        <f t="shared" si="1"/>
        <v>Sin PMP</v>
      </c>
    </row>
    <row r="7" spans="1:10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>
        <f>SUMIFS(ni_bimestral_pos_ejec!$F:$F,ni_bimestral_pos_ejec!$C:$C,$C7,ni_bimestral_pos_ejec!$B:$B,$B7,ni_bimestral_pos_ejec!$D:$D,$D7,ni_bimestral_pos_ejec!$E:$E,$E7)</f>
        <v>0</v>
      </c>
      <c r="G7" s="70">
        <f>SUMIFS(ri_bimestral_pos_ejec!$F:$F,ri_bimestral_pos_ejec!$C:$C,$C7,ri_bimestral_pos_ejec!$B:$B,$B7,ri_bimestral_pos_ejec!$D:$D,$D7,ri_bimestral_pos_ejec!$E:$E,$E7)</f>
        <v>0</v>
      </c>
      <c r="H7" s="70">
        <f>SUMIFS(pmp_mt_pos_ejec!$E:$E,pmp_mt_pos_ejec!$A:$A,$C7,pmp_mt_pos_ejec!$B:$B,$B7,pmp_mt_pos_ejec!$C:$C,$D7)</f>
        <v>0</v>
      </c>
      <c r="I7" s="70" t="str">
        <f t="shared" si="0"/>
        <v/>
      </c>
      <c r="J7" s="18" t="str">
        <f t="shared" si="1"/>
        <v>Sin PMP</v>
      </c>
    </row>
    <row r="8" spans="1:10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>
        <f>SUMIFS(ni_bimestral_pos_ejec!$F:$F,ni_bimestral_pos_ejec!$C:$C,$C8,ni_bimestral_pos_ejec!$B:$B,$B8,ni_bimestral_pos_ejec!$D:$D,$D8,ni_bimestral_pos_ejec!$E:$E,$E8)</f>
        <v>867</v>
      </c>
      <c r="G8" s="70">
        <f>SUMIFS(ri_bimestral_pos_ejec!$F:$F,ri_bimestral_pos_ejec!$C:$C,$C8,ri_bimestral_pos_ejec!$B:$B,$B8,ri_bimestral_pos_ejec!$D:$D,$D8,ri_bimestral_pos_ejec!$E:$E,$E8)</f>
        <v>2702</v>
      </c>
      <c r="H8" s="70">
        <f>SUMIFS(pmp_mt_pos_ejec!$E:$E,pmp_mt_pos_ejec!$A:$A,$C8,pmp_mt_pos_ejec!$B:$B,$B8,pmp_mt_pos_ejec!$C:$C,$D8)</f>
        <v>0</v>
      </c>
      <c r="I8" s="70" t="str">
        <f t="shared" si="0"/>
        <v/>
      </c>
      <c r="J8" s="18" t="str">
        <f t="shared" si="1"/>
        <v>Sin PMP</v>
      </c>
    </row>
    <row r="9" spans="1:10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>
        <f>SUMIFS(ni_bimestral_pos_ejec!$F:$F,ni_bimestral_pos_ejec!$C:$C,$C9,ni_bimestral_pos_ejec!$B:$B,$B9,ni_bimestral_pos_ejec!$D:$D,$D9,ni_bimestral_pos_ejec!$E:$E,$E9)</f>
        <v>0</v>
      </c>
      <c r="G9" s="70">
        <f>SUMIFS(ri_bimestral_pos_ejec!$F:$F,ri_bimestral_pos_ejec!$C:$C,$C9,ri_bimestral_pos_ejec!$B:$B,$B9,ri_bimestral_pos_ejec!$D:$D,$D9,ri_bimestral_pos_ejec!$E:$E,$E9)</f>
        <v>0</v>
      </c>
      <c r="H9" s="70">
        <f>SUMIFS(pmp_mt_pos_ejec!$E:$E,pmp_mt_pos_ejec!$A:$A,$C9,pmp_mt_pos_ejec!$B:$B,$B9,pmp_mt_pos_ejec!$C:$C,$D9)</f>
        <v>0</v>
      </c>
      <c r="I9" s="70" t="str">
        <f t="shared" si="0"/>
        <v/>
      </c>
      <c r="J9" s="18" t="str">
        <f t="shared" si="1"/>
        <v>Sin PMP</v>
      </c>
    </row>
    <row r="10" spans="1:10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>
        <f>SUMIFS(ni_bimestral_pos_ejec!$F:$F,ni_bimestral_pos_ejec!$C:$C,$C10,ni_bimestral_pos_ejec!$B:$B,$B10,ni_bimestral_pos_ejec!$D:$D,$D10,ni_bimestral_pos_ejec!$E:$E,$E10)</f>
        <v>2062</v>
      </c>
      <c r="G10" s="70">
        <f>SUMIFS(ri_bimestral_pos_ejec!$F:$F,ri_bimestral_pos_ejec!$C:$C,$C10,ri_bimestral_pos_ejec!$B:$B,$B10,ri_bimestral_pos_ejec!$D:$D,$D10,ri_bimestral_pos_ejec!$E:$E,$E10)</f>
        <v>3107</v>
      </c>
      <c r="H10" s="70">
        <f>SUMIFS(pmp_mt_pos_ejec!$E:$E,pmp_mt_pos_ejec!$A:$A,$C10,pmp_mt_pos_ejec!$B:$B,$B10,pmp_mt_pos_ejec!$C:$C,$D10)</f>
        <v>0</v>
      </c>
      <c r="I10" s="70" t="str">
        <f t="shared" si="0"/>
        <v/>
      </c>
      <c r="J10" s="18" t="str">
        <f t="shared" si="1"/>
        <v>Sin PMP</v>
      </c>
    </row>
    <row r="11" spans="1:10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>
        <f>SUMIFS(ni_bimestral_pos_ejec!$F:$F,ni_bimestral_pos_ejec!$C:$C,$C11,ni_bimestral_pos_ejec!$B:$B,$B11,ni_bimestral_pos_ejec!$D:$D,$D11,ni_bimestral_pos_ejec!$E:$E,$E11)</f>
        <v>0</v>
      </c>
      <c r="G11" s="70">
        <f>SUMIFS(ri_bimestral_pos_ejec!$F:$F,ri_bimestral_pos_ejec!$C:$C,$C11,ri_bimestral_pos_ejec!$B:$B,$B11,ri_bimestral_pos_ejec!$D:$D,$D11,ri_bimestral_pos_ejec!$E:$E,$E11)</f>
        <v>0</v>
      </c>
      <c r="H11" s="70">
        <f>SUMIFS(pmp_mt_pos_ejec!$E:$E,pmp_mt_pos_ejec!$A:$A,$C11,pmp_mt_pos_ejec!$B:$B,$B11,pmp_mt_pos_ejec!$C:$C,$D11)</f>
        <v>0</v>
      </c>
      <c r="I11" s="70" t="str">
        <f t="shared" si="0"/>
        <v/>
      </c>
      <c r="J11" s="18" t="str">
        <f t="shared" si="1"/>
        <v>Sin PMP</v>
      </c>
    </row>
    <row r="12" spans="1:10">
      <c r="A12" s="18">
        <v>2026</v>
      </c>
      <c r="B12" s="18" t="s">
        <v>846</v>
      </c>
      <c r="C12" s="18">
        <v>2027</v>
      </c>
      <c r="D12" s="18" t="s">
        <v>106</v>
      </c>
      <c r="E12" s="18" t="s">
        <v>844</v>
      </c>
      <c r="F12" s="70">
        <f>SUMIFS(ni_bimestral_pos_ejec!$F:$F,ni_bimestral_pos_ejec!$C:$C,$C12,ni_bimestral_pos_ejec!$B:$B,$B12,ni_bimestral_pos_ejec!$D:$D,$D12,ni_bimestral_pos_ejec!$E:$E,$E12)</f>
        <v>1020</v>
      </c>
      <c r="G12" s="70">
        <f>SUMIFS(ri_bimestral_pos_ejec!$F:$F,ri_bimestral_pos_ejec!$C:$C,$C12,ri_bimestral_pos_ejec!$B:$B,$B12,ri_bimestral_pos_ejec!$D:$D,$D12,ri_bimestral_pos_ejec!$E:$E,$E12)</f>
        <v>3104</v>
      </c>
      <c r="H12" s="70">
        <f>SUMIFS(pmp_mt_pos_ejec!$E:$E,pmp_mt_pos_ejec!$A:$A,$C12,pmp_mt_pos_ejec!$B:$B,$B12,pmp_mt_pos_ejec!$C:$C,$D12)</f>
        <v>0</v>
      </c>
      <c r="I12" s="70" t="str">
        <f t="shared" si="0"/>
        <v/>
      </c>
      <c r="J12" s="18" t="str">
        <f t="shared" si="1"/>
        <v>Sin PMP</v>
      </c>
    </row>
    <row r="13" spans="1:10">
      <c r="A13" s="18">
        <v>2026</v>
      </c>
      <c r="B13" s="18" t="s">
        <v>846</v>
      </c>
      <c r="C13" s="18">
        <v>2027</v>
      </c>
      <c r="D13" s="18" t="s">
        <v>106</v>
      </c>
      <c r="E13" s="18" t="s">
        <v>849</v>
      </c>
      <c r="F13" s="70">
        <f>SUMIFS(ni_bimestral_pos_ejec!$F:$F,ni_bimestral_pos_ejec!$C:$C,$C13,ni_bimestral_pos_ejec!$B:$B,$B13,ni_bimestral_pos_ejec!$D:$D,$D13,ni_bimestral_pos_ejec!$E:$E,$E13)</f>
        <v>0</v>
      </c>
      <c r="G13" s="70">
        <f>SUMIFS(ri_bimestral_pos_ejec!$F:$F,ri_bimestral_pos_ejec!$C:$C,$C13,ri_bimestral_pos_ejec!$B:$B,$B13,ri_bimestral_pos_ejec!$D:$D,$D13,ri_bimestral_pos_ejec!$E:$E,$E13)</f>
        <v>0</v>
      </c>
      <c r="H13" s="70">
        <f>SUMIFS(pmp_mt_pos_ejec!$E:$E,pmp_mt_pos_ejec!$A:$A,$C13,pmp_mt_pos_ejec!$B:$B,$B13,pmp_mt_pos_ejec!$C:$C,$D13)</f>
        <v>0</v>
      </c>
      <c r="I13" s="70" t="str">
        <f t="shared" si="0"/>
        <v/>
      </c>
      <c r="J13" s="18" t="str">
        <f t="shared" si="1"/>
        <v>Sin PMP</v>
      </c>
    </row>
    <row r="14" spans="1:10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>
        <f>SUMIFS(ni_bimestral_pos_ejec!$F:$F,ni_bimestral_pos_ejec!$C:$C,$C14,ni_bimestral_pos_ejec!$B:$B,$B14,ni_bimestral_pos_ejec!$D:$D,$D14,ni_bimestral_pos_ejec!$E:$E,$E14)</f>
        <v>1513</v>
      </c>
      <c r="G14" s="70">
        <f>SUMIFS(ri_bimestral_pos_ejec!$F:$F,ri_bimestral_pos_ejec!$C:$C,$C14,ri_bimestral_pos_ejec!$B:$B,$B14,ri_bimestral_pos_ejec!$D:$D,$D14,ri_bimestral_pos_ejec!$E:$E,$E14)</f>
        <v>4809</v>
      </c>
      <c r="H14" s="70">
        <f>SUMIFS(pmp_mt_pos_ejec!$E:$E,pmp_mt_pos_ejec!$A:$A,$C14,pmp_mt_pos_ejec!$B:$B,$B14,pmp_mt_pos_ejec!$C:$C,$D14)</f>
        <v>0</v>
      </c>
      <c r="I14" s="70" t="str">
        <f t="shared" si="0"/>
        <v/>
      </c>
      <c r="J14" s="18" t="str">
        <f t="shared" si="1"/>
        <v>Sin PMP</v>
      </c>
    </row>
    <row r="15" spans="1:10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>
        <f>SUMIFS(ni_bimestral_pos_ejec!$F:$F,ni_bimestral_pos_ejec!$C:$C,$C15,ni_bimestral_pos_ejec!$B:$B,$B15,ni_bimestral_pos_ejec!$D:$D,$D15,ni_bimestral_pos_ejec!$E:$E,$E15)</f>
        <v>0</v>
      </c>
      <c r="G15" s="70">
        <f>SUMIFS(ri_bimestral_pos_ejec!$F:$F,ri_bimestral_pos_ejec!$C:$C,$C15,ri_bimestral_pos_ejec!$B:$B,$B15,ri_bimestral_pos_ejec!$D:$D,$D15,ri_bimestral_pos_ejec!$E:$E,$E15)</f>
        <v>0</v>
      </c>
      <c r="H15" s="70">
        <f>SUMIFS(pmp_mt_pos_ejec!$E:$E,pmp_mt_pos_ejec!$A:$A,$C15,pmp_mt_pos_ejec!$B:$B,$B15,pmp_mt_pos_ejec!$C:$C,$D15)</f>
        <v>0</v>
      </c>
      <c r="I15" s="70" t="str">
        <f t="shared" si="0"/>
        <v/>
      </c>
      <c r="J15" s="18" t="str">
        <f t="shared" si="1"/>
        <v>Sin PMP</v>
      </c>
    </row>
    <row r="16" spans="1:10">
      <c r="A16" s="18">
        <v>2026</v>
      </c>
      <c r="B16" s="18" t="s">
        <v>847</v>
      </c>
      <c r="C16" s="18">
        <v>2027</v>
      </c>
      <c r="D16" s="18" t="s">
        <v>106</v>
      </c>
      <c r="E16" s="18" t="s">
        <v>844</v>
      </c>
      <c r="F16" s="70">
        <f>SUMIFS(ni_bimestral_pos_ejec!$F:$F,ni_bimestral_pos_ejec!$C:$C,$C16,ni_bimestral_pos_ejec!$B:$B,$B16,ni_bimestral_pos_ejec!$D:$D,$D16,ni_bimestral_pos_ejec!$E:$E,$E16)</f>
        <v>778</v>
      </c>
      <c r="G16" s="70">
        <f>SUMIFS(ri_bimestral_pos_ejec!$F:$F,ri_bimestral_pos_ejec!$C:$C,$C16,ri_bimestral_pos_ejec!$B:$B,$B16,ri_bimestral_pos_ejec!$D:$D,$D16,ri_bimestral_pos_ejec!$E:$E,$E16)</f>
        <v>3528</v>
      </c>
      <c r="H16" s="70">
        <f>SUMIFS(pmp_mt_pos_ejec!$E:$E,pmp_mt_pos_ejec!$A:$A,$C16,pmp_mt_pos_ejec!$B:$B,$B16,pmp_mt_pos_ejec!$C:$C,$D16)</f>
        <v>0</v>
      </c>
      <c r="I16" s="70" t="str">
        <f t="shared" si="0"/>
        <v/>
      </c>
      <c r="J16" s="18" t="str">
        <f t="shared" si="1"/>
        <v>Sin PMP</v>
      </c>
    </row>
    <row r="17" spans="1:10">
      <c r="A17" s="18">
        <v>2026</v>
      </c>
      <c r="B17" s="18" t="s">
        <v>847</v>
      </c>
      <c r="C17" s="18">
        <v>2027</v>
      </c>
      <c r="D17" s="18" t="s">
        <v>106</v>
      </c>
      <c r="E17" s="18" t="s">
        <v>849</v>
      </c>
      <c r="F17" s="70">
        <f>SUMIFS(ni_bimestral_pos_ejec!$F:$F,ni_bimestral_pos_ejec!$C:$C,$C17,ni_bimestral_pos_ejec!$B:$B,$B17,ni_bimestral_pos_ejec!$D:$D,$D17,ni_bimestral_pos_ejec!$E:$E,$E17)</f>
        <v>0</v>
      </c>
      <c r="G17" s="70">
        <f>SUMIFS(ri_bimestral_pos_ejec!$F:$F,ri_bimestral_pos_ejec!$C:$C,$C17,ri_bimestral_pos_ejec!$B:$B,$B17,ri_bimestral_pos_ejec!$D:$D,$D17,ri_bimestral_pos_ejec!$E:$E,$E17)</f>
        <v>0</v>
      </c>
      <c r="H17" s="70">
        <f>SUMIFS(pmp_mt_pos_ejec!$E:$E,pmp_mt_pos_ejec!$A:$A,$C17,pmp_mt_pos_ejec!$B:$B,$B17,pmp_mt_pos_ejec!$C:$C,$D17)</f>
        <v>0</v>
      </c>
      <c r="I17" s="70" t="str">
        <f t="shared" si="0"/>
        <v/>
      </c>
      <c r="J17" s="18" t="str">
        <f t="shared" si="1"/>
        <v>Sin PMP</v>
      </c>
    </row>
    <row r="18" spans="1:10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>
        <f>SUMIFS(ni_bimestral_pos_ejec!$F:$F,ni_bimestral_pos_ejec!$C:$C,$C18,ni_bimestral_pos_ejec!$B:$B,$B18,ni_bimestral_pos_ejec!$D:$D,$D18,ni_bimestral_pos_ejec!$E:$E,$E18)</f>
        <v>2245</v>
      </c>
      <c r="G18" s="70">
        <f>SUMIFS(ri_bimestral_pos_ejec!$F:$F,ri_bimestral_pos_ejec!$C:$C,$C18,ri_bimestral_pos_ejec!$B:$B,$B18,ri_bimestral_pos_ejec!$D:$D,$D18,ri_bimestral_pos_ejec!$E:$E,$E18)</f>
        <v>5886</v>
      </c>
      <c r="H18" s="70">
        <f>SUMIFS(pmp_mt_pos_ejec!$E:$E,pmp_mt_pos_ejec!$A:$A,$C18,pmp_mt_pos_ejec!$B:$B,$B18,pmp_mt_pos_ejec!$C:$C,$D18)</f>
        <v>0</v>
      </c>
      <c r="I18" s="70" t="str">
        <f t="shared" si="0"/>
        <v/>
      </c>
      <c r="J18" s="18" t="str">
        <f t="shared" si="1"/>
        <v>Sin PMP</v>
      </c>
    </row>
    <row r="19" spans="1:10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>
        <f>SUMIFS(ni_bimestral_pos_ejec!$F:$F,ni_bimestral_pos_ejec!$C:$C,$C19,ni_bimestral_pos_ejec!$B:$B,$B19,ni_bimestral_pos_ejec!$D:$D,$D19,ni_bimestral_pos_ejec!$E:$E,$E19)</f>
        <v>0</v>
      </c>
      <c r="G19" s="70">
        <f>SUMIFS(ri_bimestral_pos_ejec!$F:$F,ri_bimestral_pos_ejec!$C:$C,$C19,ri_bimestral_pos_ejec!$B:$B,$B19,ri_bimestral_pos_ejec!$D:$D,$D19,ri_bimestral_pos_ejec!$E:$E,$E19)</f>
        <v>0</v>
      </c>
      <c r="H19" s="70">
        <f>SUMIFS(pmp_mt_pos_ejec!$E:$E,pmp_mt_pos_ejec!$A:$A,$C19,pmp_mt_pos_ejec!$B:$B,$B19,pmp_mt_pos_ejec!$C:$C,$D19)</f>
        <v>0</v>
      </c>
      <c r="I19" s="70" t="str">
        <f t="shared" si="0"/>
        <v/>
      </c>
      <c r="J19" s="18" t="str">
        <f t="shared" si="1"/>
        <v>Sin PMP</v>
      </c>
    </row>
    <row r="20" spans="1:10">
      <c r="A20" s="18">
        <v>2026</v>
      </c>
      <c r="B20" s="18" t="s">
        <v>848</v>
      </c>
      <c r="C20" s="18">
        <v>2027</v>
      </c>
      <c r="D20" s="18" t="s">
        <v>106</v>
      </c>
      <c r="E20" s="18" t="s">
        <v>844</v>
      </c>
      <c r="F20" s="70">
        <f>SUMIFS(ni_bimestral_pos_ejec!$F:$F,ni_bimestral_pos_ejec!$C:$C,$C20,ni_bimestral_pos_ejec!$B:$B,$B20,ni_bimestral_pos_ejec!$D:$D,$D20,ni_bimestral_pos_ejec!$E:$E,$E20)</f>
        <v>1016</v>
      </c>
      <c r="G20" s="70">
        <f>SUMIFS(ri_bimestral_pos_ejec!$F:$F,ri_bimestral_pos_ejec!$C:$C,$C20,ri_bimestral_pos_ejec!$B:$B,$B20,ri_bimestral_pos_ejec!$D:$D,$D20,ri_bimestral_pos_ejec!$E:$E,$E20)</f>
        <v>3798</v>
      </c>
      <c r="H20" s="70">
        <f>SUMIFS(pmp_mt_pos_ejec!$E:$E,pmp_mt_pos_ejec!$A:$A,$C20,pmp_mt_pos_ejec!$B:$B,$B20,pmp_mt_pos_ejec!$C:$C,$D20)</f>
        <v>0</v>
      </c>
      <c r="I20" s="70" t="str">
        <f t="shared" si="0"/>
        <v/>
      </c>
      <c r="J20" s="18" t="str">
        <f t="shared" si="1"/>
        <v>Sin PMP</v>
      </c>
    </row>
    <row r="21" spans="1:10">
      <c r="A21" s="18">
        <v>2026</v>
      </c>
      <c r="B21" s="18" t="s">
        <v>848</v>
      </c>
      <c r="C21" s="18">
        <v>2027</v>
      </c>
      <c r="D21" s="18" t="s">
        <v>106</v>
      </c>
      <c r="E21" s="18" t="s">
        <v>849</v>
      </c>
      <c r="F21" s="70">
        <f>SUMIFS(ni_bimestral_pos_ejec!$F:$F,ni_bimestral_pos_ejec!$C:$C,$C21,ni_bimestral_pos_ejec!$B:$B,$B21,ni_bimestral_pos_ejec!$D:$D,$D21,ni_bimestral_pos_ejec!$E:$E,$E21)</f>
        <v>0</v>
      </c>
      <c r="G21" s="70">
        <f>SUMIFS(ri_bimestral_pos_ejec!$F:$F,ri_bimestral_pos_ejec!$C:$C,$C21,ri_bimestral_pos_ejec!$B:$B,$B21,ri_bimestral_pos_ejec!$D:$D,$D21,ri_bimestral_pos_ejec!$E:$E,$E21)</f>
        <v>0</v>
      </c>
      <c r="H21" s="70">
        <f>SUMIFS(pmp_mt_pos_ejec!$E:$E,pmp_mt_pos_ejec!$A:$A,$C21,pmp_mt_pos_ejec!$B:$B,$B21,pmp_mt_pos_ejec!$C:$C,$D21)</f>
        <v>0</v>
      </c>
      <c r="I21" s="70" t="str">
        <f t="shared" si="0"/>
        <v/>
      </c>
      <c r="J21" s="18" t="str">
        <f t="shared" si="1"/>
        <v>Sin PMP</v>
      </c>
    </row>
    <row r="22" spans="1:10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>
        <f>SUMIFS(ni_bimestral_pos_ejec!$F:$F,ni_bimestral_pos_ejec!$C:$C,$C22,ni_bimestral_pos_ejec!$B:$B,$B22,ni_bimestral_pos_ejec!$D:$D,$D22,ni_bimestral_pos_ejec!$E:$E,$E22)</f>
        <v>1898</v>
      </c>
      <c r="G22" s="70">
        <f>SUMIFS(ri_bimestral_pos_ejec!$F:$F,ri_bimestral_pos_ejec!$C:$C,$C22,ri_bimestral_pos_ejec!$B:$B,$B22,ri_bimestral_pos_ejec!$D:$D,$D22,ri_bimestral_pos_ejec!$E:$E,$E22)</f>
        <v>7563</v>
      </c>
      <c r="H22" s="70">
        <f>SUMIFS(pmp_mt_pos_ejec!$E:$E,pmp_mt_pos_ejec!$A:$A,$C22,pmp_mt_pos_ejec!$B:$B,$B22,pmp_mt_pos_ejec!$C:$C,$D22)</f>
        <v>15271</v>
      </c>
      <c r="I22" s="70">
        <f t="shared" si="0"/>
        <v>5810</v>
      </c>
      <c r="J22" s="18" t="str">
        <f t="shared" si="1"/>
        <v>OK</v>
      </c>
    </row>
    <row r="23" spans="1:10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>
        <f>SUMIFS(ni_bimestral_pos_ejec!$F:$F,ni_bimestral_pos_ejec!$C:$C,$C23,ni_bimestral_pos_ejec!$B:$B,$B23,ni_bimestral_pos_ejec!$D:$D,$D23,ni_bimestral_pos_ejec!$E:$E,$E23)</f>
        <v>0</v>
      </c>
      <c r="G23" s="70">
        <f>SUMIFS(ri_bimestral_pos_ejec!$F:$F,ri_bimestral_pos_ejec!$C:$C,$C23,ri_bimestral_pos_ejec!$B:$B,$B23,ri_bimestral_pos_ejec!$D:$D,$D23,ri_bimestral_pos_ejec!$E:$E,$E23)</f>
        <v>0</v>
      </c>
      <c r="H23" s="70">
        <f>SUMIFS(pmp_mt_pos_ejec!$E:$E,pmp_mt_pos_ejec!$A:$A,$C23,pmp_mt_pos_ejec!$B:$B,$B23,pmp_mt_pos_ejec!$C:$C,$D23)</f>
        <v>15271</v>
      </c>
      <c r="I23" s="70">
        <f t="shared" si="0"/>
        <v>15271</v>
      </c>
      <c r="J23" s="18" t="str">
        <f t="shared" si="1"/>
        <v>OK</v>
      </c>
    </row>
    <row r="24" spans="1:10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>
        <f>SUMIFS(ni_bimestral_pos_ejec!$F:$F,ni_bimestral_pos_ejec!$C:$C,$C24,ni_bimestral_pos_ejec!$B:$B,$B24,ni_bimestral_pos_ejec!$D:$D,$D24,ni_bimestral_pos_ejec!$E:$E,$E24)</f>
        <v>1159</v>
      </c>
      <c r="G24" s="70">
        <f>SUMIFS(ri_bimestral_pos_ejec!$F:$F,ri_bimestral_pos_ejec!$C:$C,$C24,ri_bimestral_pos_ejec!$B:$B,$B24,ri_bimestral_pos_ejec!$D:$D,$D24,ri_bimestral_pos_ejec!$E:$E,$E24)</f>
        <v>4070</v>
      </c>
      <c r="H24" s="70">
        <f>SUMIFS(pmp_mt_pos_ejec!$E:$E,pmp_mt_pos_ejec!$A:$A,$C24,pmp_mt_pos_ejec!$B:$B,$B24,pmp_mt_pos_ejec!$C:$C,$D24)</f>
        <v>10729</v>
      </c>
      <c r="I24" s="70">
        <f t="shared" si="0"/>
        <v>5500</v>
      </c>
      <c r="J24" s="18" t="str">
        <f t="shared" si="1"/>
        <v>OK</v>
      </c>
    </row>
    <row r="25" spans="1:10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>
        <f>SUMIFS(ni_bimestral_pos_ejec!$F:$F,ni_bimestral_pos_ejec!$C:$C,$C25,ni_bimestral_pos_ejec!$B:$B,$B25,ni_bimestral_pos_ejec!$D:$D,$D25,ni_bimestral_pos_ejec!$E:$E,$E25)</f>
        <v>0</v>
      </c>
      <c r="G25" s="70">
        <f>SUMIFS(ri_bimestral_pos_ejec!$F:$F,ri_bimestral_pos_ejec!$C:$C,$C25,ri_bimestral_pos_ejec!$B:$B,$B25,ri_bimestral_pos_ejec!$D:$D,$D25,ri_bimestral_pos_ejec!$E:$E,$E25)</f>
        <v>0</v>
      </c>
      <c r="H25" s="70">
        <f>SUMIFS(pmp_mt_pos_ejec!$E:$E,pmp_mt_pos_ejec!$A:$A,$C25,pmp_mt_pos_ejec!$B:$B,$B25,pmp_mt_pos_ejec!$C:$C,$D25)</f>
        <v>10729</v>
      </c>
      <c r="I25" s="70">
        <f t="shared" si="0"/>
        <v>10729</v>
      </c>
      <c r="J25" s="18" t="str">
        <f t="shared" si="1"/>
        <v>OK</v>
      </c>
    </row>
    <row r="26" spans="1:10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>
        <f>SUMIFS(ni_bimestral_pos_ejec!$F:$F,ni_bimestral_pos_ejec!$C:$C,$C26,ni_bimestral_pos_ejec!$B:$B,$B26,ni_bimestral_pos_ejec!$D:$D,$D26,ni_bimestral_pos_ejec!$E:$E,$E26)</f>
        <v>1898</v>
      </c>
      <c r="G26" s="70">
        <f>SUMIFS(ri_bimestral_pos_ejec!$F:$F,ri_bimestral_pos_ejec!$C:$C,$C26,ri_bimestral_pos_ejec!$B:$B,$B26,ri_bimestral_pos_ejec!$D:$D,$D26,ri_bimestral_pos_ejec!$E:$E,$E26)</f>
        <v>8762</v>
      </c>
      <c r="H26" s="70">
        <f>SUMIFS(pmp_mt_pos_ejec!$E:$E,pmp_mt_pos_ejec!$A:$A,$C26,pmp_mt_pos_ejec!$B:$B,$B26,pmp_mt_pos_ejec!$C:$C,$D26)</f>
        <v>0</v>
      </c>
      <c r="I26" s="70" t="str">
        <f t="shared" si="0"/>
        <v/>
      </c>
      <c r="J26" s="18" t="str">
        <f t="shared" si="1"/>
        <v>Sin PMP</v>
      </c>
    </row>
    <row r="27" spans="1:10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>
        <f>SUMIFS(ni_bimestral_pos_ejec!$F:$F,ni_bimestral_pos_ejec!$C:$C,$C27,ni_bimestral_pos_ejec!$B:$B,$B27,ni_bimestral_pos_ejec!$D:$D,$D27,ni_bimestral_pos_ejec!$E:$E,$E27)</f>
        <v>0</v>
      </c>
      <c r="G27" s="70">
        <f>SUMIFS(ri_bimestral_pos_ejec!$F:$F,ri_bimestral_pos_ejec!$C:$C,$C27,ri_bimestral_pos_ejec!$B:$B,$B27,ri_bimestral_pos_ejec!$D:$D,$D27,ri_bimestral_pos_ejec!$E:$E,$E27)</f>
        <v>0</v>
      </c>
      <c r="H27" s="70">
        <f>SUMIFS(pmp_mt_pos_ejec!$E:$E,pmp_mt_pos_ejec!$A:$A,$C27,pmp_mt_pos_ejec!$B:$B,$B27,pmp_mt_pos_ejec!$C:$C,$D27)</f>
        <v>0</v>
      </c>
      <c r="I27" s="70" t="str">
        <f t="shared" si="0"/>
        <v/>
      </c>
      <c r="J27" s="18" t="str">
        <f t="shared" si="1"/>
        <v>Sin PMP</v>
      </c>
    </row>
    <row r="28" spans="1:10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>
        <f>SUMIFS(ni_bimestral_pos_ejec!$F:$F,ni_bimestral_pos_ejec!$C:$C,$C28,ni_bimestral_pos_ejec!$B:$B,$B28,ni_bimestral_pos_ejec!$D:$D,$D28,ni_bimestral_pos_ejec!$E:$E,$E28)</f>
        <v>1045</v>
      </c>
      <c r="G28" s="70">
        <f>SUMIFS(ri_bimestral_pos_ejec!$F:$F,ri_bimestral_pos_ejec!$C:$C,$C28,ri_bimestral_pos_ejec!$B:$B,$B28,ri_bimestral_pos_ejec!$D:$D,$D28,ri_bimestral_pos_ejec!$E:$E,$E28)</f>
        <v>4672</v>
      </c>
      <c r="H28" s="70">
        <f>SUMIFS(pmp_mt_pos_ejec!$E:$E,pmp_mt_pos_ejec!$A:$A,$C28,pmp_mt_pos_ejec!$B:$B,$B28,pmp_mt_pos_ejec!$C:$C,$D28)</f>
        <v>0</v>
      </c>
      <c r="I28" s="70" t="str">
        <f t="shared" si="0"/>
        <v/>
      </c>
      <c r="J28" s="18" t="str">
        <f t="shared" si="1"/>
        <v>Sin PMP</v>
      </c>
    </row>
    <row r="29" spans="1:10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>
        <f>SUMIFS(ni_bimestral_pos_ejec!$F:$F,ni_bimestral_pos_ejec!$C:$C,$C29,ni_bimestral_pos_ejec!$B:$B,$B29,ni_bimestral_pos_ejec!$D:$D,$D29,ni_bimestral_pos_ejec!$E:$E,$E29)</f>
        <v>0</v>
      </c>
      <c r="G29" s="70">
        <f>SUMIFS(ri_bimestral_pos_ejec!$F:$F,ri_bimestral_pos_ejec!$C:$C,$C29,ri_bimestral_pos_ejec!$B:$B,$B29,ri_bimestral_pos_ejec!$D:$D,$D29,ri_bimestral_pos_ejec!$E:$E,$E29)</f>
        <v>0</v>
      </c>
      <c r="H29" s="70">
        <f>SUMIFS(pmp_mt_pos_ejec!$E:$E,pmp_mt_pos_ejec!$A:$A,$C29,pmp_mt_pos_ejec!$B:$B,$B29,pmp_mt_pos_ejec!$C:$C,$D29)</f>
        <v>0</v>
      </c>
      <c r="I29" s="70" t="str">
        <f t="shared" si="0"/>
        <v/>
      </c>
      <c r="J29" s="18" t="str">
        <f t="shared" si="1"/>
        <v>Sin PMP</v>
      </c>
    </row>
    <row r="30" spans="1:10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>
        <f>SUMIFS(ni_bimestral_pos_ejec!$F:$F,ni_bimestral_pos_ejec!$C:$C,$C30,ni_bimestral_pos_ejec!$B:$B,$B30,ni_bimestral_pos_ejec!$D:$D,$D30,ni_bimestral_pos_ejec!$E:$E,$E30)</f>
        <v>2338</v>
      </c>
      <c r="G30" s="70">
        <f>SUMIFS(ri_bimestral_pos_ejec!$F:$F,ri_bimestral_pos_ejec!$C:$C,$C30,ri_bimestral_pos_ejec!$B:$B,$B30,ri_bimestral_pos_ejec!$D:$D,$D30,ri_bimestral_pos_ejec!$E:$E,$E30)</f>
        <v>9833</v>
      </c>
      <c r="H30" s="70">
        <f>SUMIFS(pmp_mt_pos_ejec!$E:$E,pmp_mt_pos_ejec!$A:$A,$C30,pmp_mt_pos_ejec!$B:$B,$B30,pmp_mt_pos_ejec!$C:$C,$D30)</f>
        <v>0</v>
      </c>
      <c r="I30" s="70" t="str">
        <f t="shared" si="0"/>
        <v/>
      </c>
      <c r="J30" s="18" t="str">
        <f t="shared" si="1"/>
        <v>Sin PMP</v>
      </c>
    </row>
    <row r="31" spans="1:10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>
        <f>SUMIFS(ni_bimestral_pos_ejec!$F:$F,ni_bimestral_pos_ejec!$C:$C,$C31,ni_bimestral_pos_ejec!$B:$B,$B31,ni_bimestral_pos_ejec!$D:$D,$D31,ni_bimestral_pos_ejec!$E:$E,$E31)</f>
        <v>0</v>
      </c>
      <c r="G31" s="70">
        <f>SUMIFS(ri_bimestral_pos_ejec!$F:$F,ri_bimestral_pos_ejec!$C:$C,$C31,ri_bimestral_pos_ejec!$B:$B,$B31,ri_bimestral_pos_ejec!$D:$D,$D31,ri_bimestral_pos_ejec!$E:$E,$E31)</f>
        <v>0</v>
      </c>
      <c r="H31" s="70">
        <f>SUMIFS(pmp_mt_pos_ejec!$E:$E,pmp_mt_pos_ejec!$A:$A,$C31,pmp_mt_pos_ejec!$B:$B,$B31,pmp_mt_pos_ejec!$C:$C,$D31)</f>
        <v>0</v>
      </c>
      <c r="I31" s="70" t="str">
        <f t="shared" si="0"/>
        <v/>
      </c>
      <c r="J31" s="18" t="str">
        <f t="shared" si="1"/>
        <v>Sin PMP</v>
      </c>
    </row>
    <row r="32" spans="1:10">
      <c r="A32" s="18">
        <v>2027</v>
      </c>
      <c r="B32" s="18" t="s">
        <v>846</v>
      </c>
      <c r="C32" s="18">
        <v>2028</v>
      </c>
      <c r="D32" s="18" t="s">
        <v>106</v>
      </c>
      <c r="E32" s="18" t="s">
        <v>844</v>
      </c>
      <c r="F32" s="70">
        <f>SUMIFS(ni_bimestral_pos_ejec!$F:$F,ni_bimestral_pos_ejec!$C:$C,$C32,ni_bimestral_pos_ejec!$B:$B,$B32,ni_bimestral_pos_ejec!$D:$D,$D32,ni_bimestral_pos_ejec!$E:$E,$E32)</f>
        <v>1105</v>
      </c>
      <c r="G32" s="70">
        <f>SUMIFS(ri_bimestral_pos_ejec!$F:$F,ri_bimestral_pos_ejec!$C:$C,$C32,ri_bimestral_pos_ejec!$B:$B,$B32,ri_bimestral_pos_ejec!$D:$D,$D32,ri_bimestral_pos_ejec!$E:$E,$E32)</f>
        <v>4949</v>
      </c>
      <c r="H32" s="70">
        <f>SUMIFS(pmp_mt_pos_ejec!$E:$E,pmp_mt_pos_ejec!$A:$A,$C32,pmp_mt_pos_ejec!$B:$B,$B32,pmp_mt_pos_ejec!$C:$C,$D32)</f>
        <v>0</v>
      </c>
      <c r="I32" s="70" t="str">
        <f t="shared" si="0"/>
        <v/>
      </c>
      <c r="J32" s="18" t="str">
        <f t="shared" si="1"/>
        <v>Sin PMP</v>
      </c>
    </row>
    <row r="33" spans="1:10">
      <c r="A33" s="18">
        <v>2027</v>
      </c>
      <c r="B33" s="18" t="s">
        <v>846</v>
      </c>
      <c r="C33" s="18">
        <v>2028</v>
      </c>
      <c r="D33" s="18" t="s">
        <v>106</v>
      </c>
      <c r="E33" s="18" t="s">
        <v>849</v>
      </c>
      <c r="F33" s="70">
        <f>SUMIFS(ni_bimestral_pos_ejec!$F:$F,ni_bimestral_pos_ejec!$C:$C,$C33,ni_bimestral_pos_ejec!$B:$B,$B33,ni_bimestral_pos_ejec!$D:$D,$D33,ni_bimestral_pos_ejec!$E:$E,$E33)</f>
        <v>0</v>
      </c>
      <c r="G33" s="70">
        <f>SUMIFS(ri_bimestral_pos_ejec!$F:$F,ri_bimestral_pos_ejec!$C:$C,$C33,ri_bimestral_pos_ejec!$B:$B,$B33,ri_bimestral_pos_ejec!$D:$D,$D33,ri_bimestral_pos_ejec!$E:$E,$E33)</f>
        <v>0</v>
      </c>
      <c r="H33" s="70">
        <f>SUMIFS(pmp_mt_pos_ejec!$E:$E,pmp_mt_pos_ejec!$A:$A,$C33,pmp_mt_pos_ejec!$B:$B,$B33,pmp_mt_pos_ejec!$C:$C,$D33)</f>
        <v>0</v>
      </c>
      <c r="I33" s="70" t="str">
        <f t="shared" si="0"/>
        <v/>
      </c>
      <c r="J33" s="18" t="str">
        <f t="shared" si="1"/>
        <v>Sin PMP</v>
      </c>
    </row>
    <row r="34" spans="1:10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>
        <f>SUMIFS(ni_bimestral_pos_ejec!$F:$F,ni_bimestral_pos_ejec!$C:$C,$C34,ni_bimestral_pos_ejec!$B:$B,$B34,ni_bimestral_pos_ejec!$D:$D,$D34,ni_bimestral_pos_ejec!$E:$E,$E34)</f>
        <v>1713</v>
      </c>
      <c r="G34" s="70">
        <f>SUMIFS(ri_bimestral_pos_ejec!$F:$F,ri_bimestral_pos_ejec!$C:$C,$C34,ri_bimestral_pos_ejec!$B:$B,$B34,ri_bimestral_pos_ejec!$D:$D,$D34,ri_bimestral_pos_ejec!$E:$E,$E34)</f>
        <v>11303</v>
      </c>
      <c r="H34" s="70">
        <f>SUMIFS(pmp_mt_pos_ejec!$E:$E,pmp_mt_pos_ejec!$A:$A,$C34,pmp_mt_pos_ejec!$B:$B,$B34,pmp_mt_pos_ejec!$C:$C,$D34)</f>
        <v>0</v>
      </c>
      <c r="I34" s="70" t="str">
        <f t="shared" ref="I34:I65" si="2">IF(H34=0,"",MAX(0,H34-F34-G34))</f>
        <v/>
      </c>
      <c r="J34" s="18" t="str">
        <f t="shared" ref="J34:J65" si="3">IF(H34=0,"Sin PMP",IF(ABS((F34+G34+I34)-H34)&lt;1,"OK","Revisar"))</f>
        <v>Sin PMP</v>
      </c>
    </row>
    <row r="35" spans="1:10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>
        <f>SUMIFS(ni_bimestral_pos_ejec!$F:$F,ni_bimestral_pos_ejec!$C:$C,$C35,ni_bimestral_pos_ejec!$B:$B,$B35,ni_bimestral_pos_ejec!$D:$D,$D35,ni_bimestral_pos_ejec!$E:$E,$E35)</f>
        <v>0</v>
      </c>
      <c r="G35" s="70">
        <f>SUMIFS(ri_bimestral_pos_ejec!$F:$F,ri_bimestral_pos_ejec!$C:$C,$C35,ri_bimestral_pos_ejec!$B:$B,$B35,ri_bimestral_pos_ejec!$D:$D,$D35,ri_bimestral_pos_ejec!$E:$E,$E35)</f>
        <v>0</v>
      </c>
      <c r="H35" s="70">
        <f>SUMIFS(pmp_mt_pos_ejec!$E:$E,pmp_mt_pos_ejec!$A:$A,$C35,pmp_mt_pos_ejec!$B:$B,$B35,pmp_mt_pos_ejec!$C:$C,$D35)</f>
        <v>0</v>
      </c>
      <c r="I35" s="70" t="str">
        <f t="shared" si="2"/>
        <v/>
      </c>
      <c r="J35" s="18" t="str">
        <f t="shared" si="3"/>
        <v>Sin PMP</v>
      </c>
    </row>
    <row r="36" spans="1:10">
      <c r="A36" s="18">
        <v>2027</v>
      </c>
      <c r="B36" s="18" t="s">
        <v>847</v>
      </c>
      <c r="C36" s="18">
        <v>2028</v>
      </c>
      <c r="D36" s="18" t="s">
        <v>106</v>
      </c>
      <c r="E36" s="18" t="s">
        <v>844</v>
      </c>
      <c r="F36" s="70">
        <f>SUMIFS(ni_bimestral_pos_ejec!$F:$F,ni_bimestral_pos_ejec!$C:$C,$C36,ni_bimestral_pos_ejec!$B:$B,$B36,ni_bimestral_pos_ejec!$D:$D,$D36,ni_bimestral_pos_ejec!$E:$E,$E36)</f>
        <v>872</v>
      </c>
      <c r="G36" s="70">
        <f>SUMIFS(ri_bimestral_pos_ejec!$F:$F,ri_bimestral_pos_ejec!$C:$C,$C36,ri_bimestral_pos_ejec!$B:$B,$B36,ri_bimestral_pos_ejec!$D:$D,$D36,ri_bimestral_pos_ejec!$E:$E,$E36)</f>
        <v>5352</v>
      </c>
      <c r="H36" s="70">
        <f>SUMIFS(pmp_mt_pos_ejec!$E:$E,pmp_mt_pos_ejec!$A:$A,$C36,pmp_mt_pos_ejec!$B:$B,$B36,pmp_mt_pos_ejec!$C:$C,$D36)</f>
        <v>0</v>
      </c>
      <c r="I36" s="70" t="str">
        <f t="shared" si="2"/>
        <v/>
      </c>
      <c r="J36" s="18" t="str">
        <f t="shared" si="3"/>
        <v>Sin PMP</v>
      </c>
    </row>
    <row r="37" spans="1:10">
      <c r="A37" s="18">
        <v>2027</v>
      </c>
      <c r="B37" s="18" t="s">
        <v>847</v>
      </c>
      <c r="C37" s="18">
        <v>2028</v>
      </c>
      <c r="D37" s="18" t="s">
        <v>106</v>
      </c>
      <c r="E37" s="18" t="s">
        <v>849</v>
      </c>
      <c r="F37" s="70">
        <f>SUMIFS(ni_bimestral_pos_ejec!$F:$F,ni_bimestral_pos_ejec!$C:$C,$C37,ni_bimestral_pos_ejec!$B:$B,$B37,ni_bimestral_pos_ejec!$D:$D,$D37,ni_bimestral_pos_ejec!$E:$E,$E37)</f>
        <v>0</v>
      </c>
      <c r="G37" s="70">
        <f>SUMIFS(ri_bimestral_pos_ejec!$F:$F,ri_bimestral_pos_ejec!$C:$C,$C37,ri_bimestral_pos_ejec!$B:$B,$B37,ri_bimestral_pos_ejec!$D:$D,$D37,ri_bimestral_pos_ejec!$E:$E,$E37)</f>
        <v>0</v>
      </c>
      <c r="H37" s="70">
        <f>SUMIFS(pmp_mt_pos_ejec!$E:$E,pmp_mt_pos_ejec!$A:$A,$C37,pmp_mt_pos_ejec!$B:$B,$B37,pmp_mt_pos_ejec!$C:$C,$D37)</f>
        <v>0</v>
      </c>
      <c r="I37" s="70" t="str">
        <f t="shared" si="2"/>
        <v/>
      </c>
      <c r="J37" s="18" t="str">
        <f t="shared" si="3"/>
        <v>Sin PMP</v>
      </c>
    </row>
    <row r="38" spans="1:10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>
        <f>SUMIFS(ni_bimestral_pos_ejec!$F:$F,ni_bimestral_pos_ejec!$C:$C,$C38,ni_bimestral_pos_ejec!$B:$B,$B38,ni_bimestral_pos_ejec!$D:$D,$D38,ni_bimestral_pos_ejec!$E:$E,$E38)</f>
        <v>2542</v>
      </c>
      <c r="G38" s="70">
        <f>SUMIFS(ri_bimestral_pos_ejec!$F:$F,ri_bimestral_pos_ejec!$C:$C,$C38,ri_bimestral_pos_ejec!$B:$B,$B38,ri_bimestral_pos_ejec!$D:$D,$D38,ri_bimestral_pos_ejec!$E:$E,$E38)</f>
        <v>12071</v>
      </c>
      <c r="H38" s="70">
        <f>SUMIFS(pmp_mt_pos_ejec!$E:$E,pmp_mt_pos_ejec!$A:$A,$C38,pmp_mt_pos_ejec!$B:$B,$B38,pmp_mt_pos_ejec!$C:$C,$D38)</f>
        <v>0</v>
      </c>
      <c r="I38" s="70" t="str">
        <f t="shared" si="2"/>
        <v/>
      </c>
      <c r="J38" s="18" t="str">
        <f t="shared" si="3"/>
        <v>Sin PMP</v>
      </c>
    </row>
    <row r="39" spans="1:10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>
        <f>SUMIFS(ni_bimestral_pos_ejec!$F:$F,ni_bimestral_pos_ejec!$C:$C,$C39,ni_bimestral_pos_ejec!$B:$B,$B39,ni_bimestral_pos_ejec!$D:$D,$D39,ni_bimestral_pos_ejec!$E:$E,$E39)</f>
        <v>0</v>
      </c>
      <c r="G39" s="70">
        <f>SUMIFS(ri_bimestral_pos_ejec!$F:$F,ri_bimestral_pos_ejec!$C:$C,$C39,ri_bimestral_pos_ejec!$B:$B,$B39,ri_bimestral_pos_ejec!$D:$D,$D39,ri_bimestral_pos_ejec!$E:$E,$E39)</f>
        <v>0</v>
      </c>
      <c r="H39" s="70">
        <f>SUMIFS(pmp_mt_pos_ejec!$E:$E,pmp_mt_pos_ejec!$A:$A,$C39,pmp_mt_pos_ejec!$B:$B,$B39,pmp_mt_pos_ejec!$C:$C,$D39)</f>
        <v>0</v>
      </c>
      <c r="I39" s="70" t="str">
        <f t="shared" si="2"/>
        <v/>
      </c>
      <c r="J39" s="18" t="str">
        <f t="shared" si="3"/>
        <v>Sin PMP</v>
      </c>
    </row>
    <row r="40" spans="1:10">
      <c r="A40" s="18">
        <v>2027</v>
      </c>
      <c r="B40" s="18" t="s">
        <v>848</v>
      </c>
      <c r="C40" s="18">
        <v>2028</v>
      </c>
      <c r="D40" s="18" t="s">
        <v>106</v>
      </c>
      <c r="E40" s="18" t="s">
        <v>844</v>
      </c>
      <c r="F40" s="70">
        <f>SUMIFS(ni_bimestral_pos_ejec!$F:$F,ni_bimestral_pos_ejec!$C:$C,$C40,ni_bimestral_pos_ejec!$B:$B,$B40,ni_bimestral_pos_ejec!$D:$D,$D40,ni_bimestral_pos_ejec!$E:$E,$E40)</f>
        <v>1131</v>
      </c>
      <c r="G40" s="70">
        <f>SUMIFS(ri_bimestral_pos_ejec!$F:$F,ri_bimestral_pos_ejec!$C:$C,$C40,ri_bimestral_pos_ejec!$B:$B,$B40,ri_bimestral_pos_ejec!$D:$D,$D40,ri_bimestral_pos_ejec!$E:$E,$E40)</f>
        <v>5847</v>
      </c>
      <c r="H40" s="70">
        <f>SUMIFS(pmp_mt_pos_ejec!$E:$E,pmp_mt_pos_ejec!$A:$A,$C40,pmp_mt_pos_ejec!$B:$B,$B40,pmp_mt_pos_ejec!$C:$C,$D40)</f>
        <v>0</v>
      </c>
      <c r="I40" s="70" t="str">
        <f t="shared" si="2"/>
        <v/>
      </c>
      <c r="J40" s="18" t="str">
        <f t="shared" si="3"/>
        <v>Sin PMP</v>
      </c>
    </row>
    <row r="41" spans="1:10">
      <c r="A41" s="18">
        <v>2027</v>
      </c>
      <c r="B41" s="18" t="s">
        <v>848</v>
      </c>
      <c r="C41" s="18">
        <v>2028</v>
      </c>
      <c r="D41" s="18" t="s">
        <v>106</v>
      </c>
      <c r="E41" s="18" t="s">
        <v>849</v>
      </c>
      <c r="F41" s="70">
        <f>SUMIFS(ni_bimestral_pos_ejec!$F:$F,ni_bimestral_pos_ejec!$C:$C,$C41,ni_bimestral_pos_ejec!$B:$B,$B41,ni_bimestral_pos_ejec!$D:$D,$D41,ni_bimestral_pos_ejec!$E:$E,$E41)</f>
        <v>0</v>
      </c>
      <c r="G41" s="70">
        <f>SUMIFS(ri_bimestral_pos_ejec!$F:$F,ri_bimestral_pos_ejec!$C:$C,$C41,ri_bimestral_pos_ejec!$B:$B,$B41,ri_bimestral_pos_ejec!$D:$D,$D41,ri_bimestral_pos_ejec!$E:$E,$E41)</f>
        <v>0</v>
      </c>
      <c r="H41" s="70">
        <f>SUMIFS(pmp_mt_pos_ejec!$E:$E,pmp_mt_pos_ejec!$A:$A,$C41,pmp_mt_pos_ejec!$B:$B,$B41,pmp_mt_pos_ejec!$C:$C,$D41)</f>
        <v>0</v>
      </c>
      <c r="I41" s="70" t="str">
        <f t="shared" si="2"/>
        <v/>
      </c>
      <c r="J41" s="18" t="str">
        <f t="shared" si="3"/>
        <v>Sin PMP</v>
      </c>
    </row>
    <row r="42" spans="1:10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>
        <f>SUMIFS(ni_bimestral_pos_ejec!$F:$F,ni_bimestral_pos_ejec!$C:$C,$C42,ni_bimestral_pos_ejec!$B:$B,$B42,ni_bimestral_pos_ejec!$D:$D,$D42,ni_bimestral_pos_ejec!$E:$E,$E42)</f>
        <v>2056</v>
      </c>
      <c r="G42" s="70">
        <f>SUMIFS(ri_bimestral_pos_ejec!$F:$F,ri_bimestral_pos_ejec!$C:$C,$C42,ri_bimestral_pos_ejec!$B:$B,$B42,ri_bimestral_pos_ejec!$D:$D,$D42,ri_bimestral_pos_ejec!$E:$E,$E42)</f>
        <v>13052</v>
      </c>
      <c r="H42" s="70">
        <f>SUMIFS(pmp_mt_pos_ejec!$E:$E,pmp_mt_pos_ejec!$A:$A,$C42,pmp_mt_pos_ejec!$B:$B,$B42,pmp_mt_pos_ejec!$C:$C,$D42)</f>
        <v>16108</v>
      </c>
      <c r="I42" s="70">
        <f t="shared" si="2"/>
        <v>1000</v>
      </c>
      <c r="J42" s="18" t="str">
        <f t="shared" si="3"/>
        <v>OK</v>
      </c>
    </row>
    <row r="43" spans="1:10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>
        <f>SUMIFS(ni_bimestral_pos_ejec!$F:$F,ni_bimestral_pos_ejec!$C:$C,$C43,ni_bimestral_pos_ejec!$B:$B,$B43,ni_bimestral_pos_ejec!$D:$D,$D43,ni_bimestral_pos_ejec!$E:$E,$E43)</f>
        <v>0</v>
      </c>
      <c r="G43" s="70">
        <f>SUMIFS(ri_bimestral_pos_ejec!$F:$F,ri_bimestral_pos_ejec!$C:$C,$C43,ri_bimestral_pos_ejec!$B:$B,$B43,ri_bimestral_pos_ejec!$D:$D,$D43,ri_bimestral_pos_ejec!$E:$E,$E43)</f>
        <v>0</v>
      </c>
      <c r="H43" s="70">
        <f>SUMIFS(pmp_mt_pos_ejec!$E:$E,pmp_mt_pos_ejec!$A:$A,$C43,pmp_mt_pos_ejec!$B:$B,$B43,pmp_mt_pos_ejec!$C:$C,$D43)</f>
        <v>16108</v>
      </c>
      <c r="I43" s="70">
        <f t="shared" si="2"/>
        <v>16108</v>
      </c>
      <c r="J43" s="18" t="str">
        <f t="shared" si="3"/>
        <v>OK</v>
      </c>
    </row>
    <row r="44" spans="1:10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>
        <f>SUMIFS(ni_bimestral_pos_ejec!$F:$F,ni_bimestral_pos_ejec!$C:$C,$C44,ni_bimestral_pos_ejec!$B:$B,$B44,ni_bimestral_pos_ejec!$D:$D,$D44,ni_bimestral_pos_ejec!$E:$E,$E44)</f>
        <v>1254</v>
      </c>
      <c r="G44" s="70">
        <f>SUMIFS(ri_bimestral_pos_ejec!$F:$F,ri_bimestral_pos_ejec!$C:$C,$C44,ri_bimestral_pos_ejec!$B:$B,$B44,ri_bimestral_pos_ejec!$D:$D,$D44,ri_bimestral_pos_ejec!$E:$E,$E44)</f>
        <v>6377</v>
      </c>
      <c r="H44" s="70">
        <f>SUMIFS(pmp_mt_pos_ejec!$E:$E,pmp_mt_pos_ejec!$A:$A,$C44,pmp_mt_pos_ejec!$B:$B,$B44,pmp_mt_pos_ejec!$C:$C,$D44)</f>
        <v>12095</v>
      </c>
      <c r="I44" s="70">
        <f t="shared" si="2"/>
        <v>4464</v>
      </c>
      <c r="J44" s="18" t="str">
        <f t="shared" si="3"/>
        <v>OK</v>
      </c>
    </row>
    <row r="45" spans="1:10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>
        <f>SUMIFS(ni_bimestral_pos_ejec!$F:$F,ni_bimestral_pos_ejec!$C:$C,$C45,ni_bimestral_pos_ejec!$B:$B,$B45,ni_bimestral_pos_ejec!$D:$D,$D45,ni_bimestral_pos_ejec!$E:$E,$E45)</f>
        <v>36</v>
      </c>
      <c r="G45" s="70">
        <f>SUMIFS(ri_bimestral_pos_ejec!$F:$F,ri_bimestral_pos_ejec!$C:$C,$C45,ri_bimestral_pos_ejec!$B:$B,$B45,ri_bimestral_pos_ejec!$D:$D,$D45,ri_bimestral_pos_ejec!$E:$E,$E45)</f>
        <v>0</v>
      </c>
      <c r="H45" s="70">
        <f>SUMIFS(pmp_mt_pos_ejec!$E:$E,pmp_mt_pos_ejec!$A:$A,$C45,pmp_mt_pos_ejec!$B:$B,$B45,pmp_mt_pos_ejec!$C:$C,$D45)</f>
        <v>12095</v>
      </c>
      <c r="I45" s="70">
        <f t="shared" si="2"/>
        <v>12059</v>
      </c>
      <c r="J45" s="18" t="str">
        <f t="shared" si="3"/>
        <v>OK</v>
      </c>
    </row>
    <row r="46" spans="1:10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>
        <f>SUMIFS(ni_bimestral_pos_ejec!$F:$F,ni_bimestral_pos_ejec!$C:$C,$C46,ni_bimestral_pos_ejec!$B:$B,$B46,ni_bimestral_pos_ejec!$D:$D,$D46,ni_bimestral_pos_ejec!$E:$E,$E46)</f>
        <v>2020</v>
      </c>
      <c r="G46" s="70">
        <f>SUMIFS(ri_bimestral_pos_ejec!$F:$F,ri_bimestral_pos_ejec!$C:$C,$C46,ri_bimestral_pos_ejec!$B:$B,$B46,ri_bimestral_pos_ejec!$D:$D,$D46,ri_bimestral_pos_ejec!$E:$E,$E46)</f>
        <v>13294</v>
      </c>
      <c r="H46" s="70">
        <f>SUMIFS(pmp_mt_pos_ejec!$E:$E,pmp_mt_pos_ejec!$A:$A,$C46,pmp_mt_pos_ejec!$B:$B,$B46,pmp_mt_pos_ejec!$C:$C,$D46)</f>
        <v>0</v>
      </c>
      <c r="I46" s="70" t="str">
        <f t="shared" si="2"/>
        <v/>
      </c>
      <c r="J46" s="18" t="str">
        <f t="shared" si="3"/>
        <v>Sin PMP</v>
      </c>
    </row>
    <row r="47" spans="1:10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>
        <f>SUMIFS(ni_bimestral_pos_ejec!$F:$F,ni_bimestral_pos_ejec!$C:$C,$C47,ni_bimestral_pos_ejec!$B:$B,$B47,ni_bimestral_pos_ejec!$D:$D,$D47,ni_bimestral_pos_ejec!$E:$E,$E47)</f>
        <v>35</v>
      </c>
      <c r="G47" s="70">
        <f>SUMIFS(ri_bimestral_pos_ejec!$F:$F,ri_bimestral_pos_ejec!$C:$C,$C47,ri_bimestral_pos_ejec!$B:$B,$B47,ri_bimestral_pos_ejec!$D:$D,$D47,ri_bimestral_pos_ejec!$E:$E,$E47)</f>
        <v>0</v>
      </c>
      <c r="H47" s="70">
        <f>SUMIFS(pmp_mt_pos_ejec!$E:$E,pmp_mt_pos_ejec!$A:$A,$C47,pmp_mt_pos_ejec!$B:$B,$B47,pmp_mt_pos_ejec!$C:$C,$D47)</f>
        <v>0</v>
      </c>
      <c r="I47" s="70" t="str">
        <f t="shared" si="2"/>
        <v/>
      </c>
      <c r="J47" s="18" t="str">
        <f t="shared" si="3"/>
        <v>Sin PMP</v>
      </c>
    </row>
    <row r="48" spans="1:10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>
        <f>SUMIFS(ni_bimestral_pos_ejec!$F:$F,ni_bimestral_pos_ejec!$C:$C,$C48,ni_bimestral_pos_ejec!$B:$B,$B48,ni_bimestral_pos_ejec!$D:$D,$D48,ni_bimestral_pos_ejec!$E:$E,$E48)</f>
        <v>1086</v>
      </c>
      <c r="G48" s="70">
        <f>SUMIFS(ri_bimestral_pos_ejec!$F:$F,ri_bimestral_pos_ejec!$C:$C,$C48,ri_bimestral_pos_ejec!$B:$B,$B48,ri_bimestral_pos_ejec!$D:$D,$D48,ri_bimestral_pos_ejec!$E:$E,$E48)</f>
        <v>6525</v>
      </c>
      <c r="H48" s="70">
        <f>SUMIFS(pmp_mt_pos_ejec!$E:$E,pmp_mt_pos_ejec!$A:$A,$C48,pmp_mt_pos_ejec!$B:$B,$B48,pmp_mt_pos_ejec!$C:$C,$D48)</f>
        <v>0</v>
      </c>
      <c r="I48" s="70" t="str">
        <f t="shared" si="2"/>
        <v/>
      </c>
      <c r="J48" s="18" t="str">
        <f t="shared" si="3"/>
        <v>Sin PMP</v>
      </c>
    </row>
    <row r="49" spans="1:10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>
        <f>SUMIFS(ni_bimestral_pos_ejec!$F:$F,ni_bimestral_pos_ejec!$C:$C,$C49,ni_bimestral_pos_ejec!$B:$B,$B49,ni_bimestral_pos_ejec!$D:$D,$D49,ni_bimestral_pos_ejec!$E:$E,$E49)</f>
        <v>31</v>
      </c>
      <c r="G49" s="70">
        <f>SUMIFS(ri_bimestral_pos_ejec!$F:$F,ri_bimestral_pos_ejec!$C:$C,$C49,ri_bimestral_pos_ejec!$B:$B,$B49,ri_bimestral_pos_ejec!$D:$D,$D49,ri_bimestral_pos_ejec!$E:$E,$E49)</f>
        <v>0</v>
      </c>
      <c r="H49" s="70">
        <f>SUMIFS(pmp_mt_pos_ejec!$E:$E,pmp_mt_pos_ejec!$A:$A,$C49,pmp_mt_pos_ejec!$B:$B,$B49,pmp_mt_pos_ejec!$C:$C,$D49)</f>
        <v>0</v>
      </c>
      <c r="I49" s="70" t="str">
        <f t="shared" si="2"/>
        <v/>
      </c>
      <c r="J49" s="18" t="str">
        <f t="shared" si="3"/>
        <v>Sin PMP</v>
      </c>
    </row>
    <row r="50" spans="1:10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>
        <f>SUMIFS(ni_bimestral_pos_ejec!$F:$F,ni_bimestral_pos_ejec!$C:$C,$C50,ni_bimestral_pos_ejec!$B:$B,$B50,ni_bimestral_pos_ejec!$D:$D,$D50,ni_bimestral_pos_ejec!$E:$E,$E50)</f>
        <v>2374</v>
      </c>
      <c r="G50" s="70">
        <f>SUMIFS(ri_bimestral_pos_ejec!$F:$F,ri_bimestral_pos_ejec!$C:$C,$C50,ri_bimestral_pos_ejec!$B:$B,$B50,ri_bimestral_pos_ejec!$D:$D,$D50,ri_bimestral_pos_ejec!$E:$E,$E50)</f>
        <v>13470</v>
      </c>
      <c r="H50" s="70">
        <f>SUMIFS(pmp_mt_pos_ejec!$E:$E,pmp_mt_pos_ejec!$A:$A,$C50,pmp_mt_pos_ejec!$B:$B,$B50,pmp_mt_pos_ejec!$C:$C,$D50)</f>
        <v>0</v>
      </c>
      <c r="I50" s="70" t="str">
        <f t="shared" si="2"/>
        <v/>
      </c>
      <c r="J50" s="18" t="str">
        <f t="shared" si="3"/>
        <v>Sin PMP</v>
      </c>
    </row>
    <row r="51" spans="1:10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>
        <f>SUMIFS(ni_bimestral_pos_ejec!$F:$F,ni_bimestral_pos_ejec!$C:$C,$C51,ni_bimestral_pos_ejec!$B:$B,$B51,ni_bimestral_pos_ejec!$D:$D,$D51,ni_bimestral_pos_ejec!$E:$E,$E51)</f>
        <v>103</v>
      </c>
      <c r="G51" s="70">
        <f>SUMIFS(ri_bimestral_pos_ejec!$F:$F,ri_bimestral_pos_ejec!$C:$C,$C51,ri_bimestral_pos_ejec!$B:$B,$B51,ri_bimestral_pos_ejec!$D:$D,$D51,ri_bimestral_pos_ejec!$E:$E,$E51)</f>
        <v>0</v>
      </c>
      <c r="H51" s="70">
        <f>SUMIFS(pmp_mt_pos_ejec!$E:$E,pmp_mt_pos_ejec!$A:$A,$C51,pmp_mt_pos_ejec!$B:$B,$B51,pmp_mt_pos_ejec!$C:$C,$D51)</f>
        <v>0</v>
      </c>
      <c r="I51" s="70" t="str">
        <f t="shared" si="2"/>
        <v/>
      </c>
      <c r="J51" s="18" t="str">
        <f t="shared" si="3"/>
        <v>Sin PMP</v>
      </c>
    </row>
    <row r="52" spans="1:10">
      <c r="A52" s="18">
        <v>2028</v>
      </c>
      <c r="B52" s="18" t="s">
        <v>846</v>
      </c>
      <c r="C52" s="18">
        <v>2029</v>
      </c>
      <c r="D52" s="18" t="s">
        <v>106</v>
      </c>
      <c r="E52" s="18" t="s">
        <v>844</v>
      </c>
      <c r="F52" s="70">
        <f>SUMIFS(ni_bimestral_pos_ejec!$F:$F,ni_bimestral_pos_ejec!$C:$C,$C52,ni_bimestral_pos_ejec!$B:$B,$B52,ni_bimestral_pos_ejec!$D:$D,$D52,ni_bimestral_pos_ejec!$E:$E,$E52)</f>
        <v>1220</v>
      </c>
      <c r="G52" s="70">
        <f>SUMIFS(ri_bimestral_pos_ejec!$F:$F,ri_bimestral_pos_ejec!$C:$C,$C52,ri_bimestral_pos_ejec!$B:$B,$B52,ri_bimestral_pos_ejec!$D:$D,$D52,ri_bimestral_pos_ejec!$E:$E,$E52)</f>
        <v>6633</v>
      </c>
      <c r="H52" s="70">
        <f>SUMIFS(pmp_mt_pos_ejec!$E:$E,pmp_mt_pos_ejec!$A:$A,$C52,pmp_mt_pos_ejec!$B:$B,$B52,pmp_mt_pos_ejec!$C:$C,$D52)</f>
        <v>0</v>
      </c>
      <c r="I52" s="70" t="str">
        <f t="shared" si="2"/>
        <v/>
      </c>
      <c r="J52" s="18" t="str">
        <f t="shared" si="3"/>
        <v>Sin PMP</v>
      </c>
    </row>
    <row r="53" spans="1:10">
      <c r="A53" s="18">
        <v>2028</v>
      </c>
      <c r="B53" s="18" t="s">
        <v>846</v>
      </c>
      <c r="C53" s="18">
        <v>2029</v>
      </c>
      <c r="D53" s="18" t="s">
        <v>106</v>
      </c>
      <c r="E53" s="18" t="s">
        <v>849</v>
      </c>
      <c r="F53" s="70">
        <f>SUMIFS(ni_bimestral_pos_ejec!$F:$F,ni_bimestral_pos_ejec!$C:$C,$C53,ni_bimestral_pos_ejec!$B:$B,$B53,ni_bimestral_pos_ejec!$D:$D,$D53,ni_bimestral_pos_ejec!$E:$E,$E53)</f>
        <v>33</v>
      </c>
      <c r="G53" s="70">
        <f>SUMIFS(ri_bimestral_pos_ejec!$F:$F,ri_bimestral_pos_ejec!$C:$C,$C53,ri_bimestral_pos_ejec!$B:$B,$B53,ri_bimestral_pos_ejec!$D:$D,$D53,ri_bimestral_pos_ejec!$E:$E,$E53)</f>
        <v>0</v>
      </c>
      <c r="H53" s="70">
        <f>SUMIFS(pmp_mt_pos_ejec!$E:$E,pmp_mt_pos_ejec!$A:$A,$C53,pmp_mt_pos_ejec!$B:$B,$B53,pmp_mt_pos_ejec!$C:$C,$D53)</f>
        <v>0</v>
      </c>
      <c r="I53" s="70" t="str">
        <f t="shared" si="2"/>
        <v/>
      </c>
      <c r="J53" s="18" t="str">
        <f t="shared" si="3"/>
        <v>Sin PMP</v>
      </c>
    </row>
    <row r="54" spans="1:10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>
        <f>SUMIFS(ni_bimestral_pos_ejec!$F:$F,ni_bimestral_pos_ejec!$C:$C,$C54,ni_bimestral_pos_ejec!$B:$B,$B54,ni_bimestral_pos_ejec!$D:$D,$D54,ni_bimestral_pos_ejec!$E:$E,$E54)</f>
        <v>1751</v>
      </c>
      <c r="G54" s="70">
        <f>SUMIFS(ri_bimestral_pos_ejec!$F:$F,ri_bimestral_pos_ejec!$C:$C,$C54,ri_bimestral_pos_ejec!$B:$B,$B54,ri_bimestral_pos_ejec!$D:$D,$D54,ri_bimestral_pos_ejec!$E:$E,$E54)</f>
        <v>13844</v>
      </c>
      <c r="H54" s="70">
        <f>SUMIFS(pmp_mt_pos_ejec!$E:$E,pmp_mt_pos_ejec!$A:$A,$C54,pmp_mt_pos_ejec!$B:$B,$B54,pmp_mt_pos_ejec!$C:$C,$D54)</f>
        <v>0</v>
      </c>
      <c r="I54" s="70" t="str">
        <f t="shared" si="2"/>
        <v/>
      </c>
      <c r="J54" s="18" t="str">
        <f t="shared" si="3"/>
        <v>Sin PMP</v>
      </c>
    </row>
    <row r="55" spans="1:10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>
        <f>SUMIFS(ni_bimestral_pos_ejec!$F:$F,ni_bimestral_pos_ejec!$C:$C,$C55,ni_bimestral_pos_ejec!$B:$B,$B55,ni_bimestral_pos_ejec!$D:$D,$D55,ni_bimestral_pos_ejec!$E:$E,$E55)</f>
        <v>63</v>
      </c>
      <c r="G55" s="70">
        <f>SUMIFS(ri_bimestral_pos_ejec!$F:$F,ri_bimestral_pos_ejec!$C:$C,$C55,ri_bimestral_pos_ejec!$B:$B,$B55,ri_bimestral_pos_ejec!$D:$D,$D55,ri_bimestral_pos_ejec!$E:$E,$E55)</f>
        <v>0</v>
      </c>
      <c r="H55" s="70">
        <f>SUMIFS(pmp_mt_pos_ejec!$E:$E,pmp_mt_pos_ejec!$A:$A,$C55,pmp_mt_pos_ejec!$B:$B,$B55,pmp_mt_pos_ejec!$C:$C,$D55)</f>
        <v>0</v>
      </c>
      <c r="I55" s="70" t="str">
        <f t="shared" si="2"/>
        <v/>
      </c>
      <c r="J55" s="18" t="str">
        <f t="shared" si="3"/>
        <v>Sin PMP</v>
      </c>
    </row>
    <row r="56" spans="1:10">
      <c r="A56" s="18">
        <v>2028</v>
      </c>
      <c r="B56" s="18" t="s">
        <v>847</v>
      </c>
      <c r="C56" s="18">
        <v>2029</v>
      </c>
      <c r="D56" s="18" t="s">
        <v>106</v>
      </c>
      <c r="E56" s="18" t="s">
        <v>844</v>
      </c>
      <c r="F56" s="70">
        <f>SUMIFS(ni_bimestral_pos_ejec!$F:$F,ni_bimestral_pos_ejec!$C:$C,$C56,ni_bimestral_pos_ejec!$B:$B,$B56,ni_bimestral_pos_ejec!$D:$D,$D56,ni_bimestral_pos_ejec!$E:$E,$E56)</f>
        <v>970</v>
      </c>
      <c r="G56" s="70">
        <f>SUMIFS(ri_bimestral_pos_ejec!$F:$F,ri_bimestral_pos_ejec!$C:$C,$C56,ri_bimestral_pos_ejec!$B:$B,$B56,ri_bimestral_pos_ejec!$D:$D,$D56,ri_bimestral_pos_ejec!$E:$E,$E56)</f>
        <v>7373</v>
      </c>
      <c r="H56" s="70">
        <f>SUMIFS(pmp_mt_pos_ejec!$E:$E,pmp_mt_pos_ejec!$A:$A,$C56,pmp_mt_pos_ejec!$B:$B,$B56,pmp_mt_pos_ejec!$C:$C,$D56)</f>
        <v>0</v>
      </c>
      <c r="I56" s="70" t="str">
        <f t="shared" si="2"/>
        <v/>
      </c>
      <c r="J56" s="18" t="str">
        <f t="shared" si="3"/>
        <v>Sin PMP</v>
      </c>
    </row>
    <row r="57" spans="1:10">
      <c r="A57" s="18">
        <v>2028</v>
      </c>
      <c r="B57" s="18" t="s">
        <v>847</v>
      </c>
      <c r="C57" s="18">
        <v>2029</v>
      </c>
      <c r="D57" s="18" t="s">
        <v>106</v>
      </c>
      <c r="E57" s="18" t="s">
        <v>849</v>
      </c>
      <c r="F57" s="70">
        <f>SUMIFS(ni_bimestral_pos_ejec!$F:$F,ni_bimestral_pos_ejec!$C:$C,$C57,ni_bimestral_pos_ejec!$B:$B,$B57,ni_bimestral_pos_ejec!$D:$D,$D57,ni_bimestral_pos_ejec!$E:$E,$E57)</f>
        <v>28</v>
      </c>
      <c r="G57" s="70">
        <f>SUMIFS(ri_bimestral_pos_ejec!$F:$F,ri_bimestral_pos_ejec!$C:$C,$C57,ri_bimestral_pos_ejec!$B:$B,$B57,ri_bimestral_pos_ejec!$D:$D,$D57,ri_bimestral_pos_ejec!$E:$E,$E57)</f>
        <v>0</v>
      </c>
      <c r="H57" s="70">
        <f>SUMIFS(pmp_mt_pos_ejec!$E:$E,pmp_mt_pos_ejec!$A:$A,$C57,pmp_mt_pos_ejec!$B:$B,$B57,pmp_mt_pos_ejec!$C:$C,$D57)</f>
        <v>0</v>
      </c>
      <c r="I57" s="70" t="str">
        <f t="shared" si="2"/>
        <v/>
      </c>
      <c r="J57" s="18" t="str">
        <f t="shared" si="3"/>
        <v>Sin PMP</v>
      </c>
    </row>
    <row r="58" spans="1:10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>
        <f>SUMIFS(ni_bimestral_pos_ejec!$F:$F,ni_bimestral_pos_ejec!$C:$C,$C58,ni_bimestral_pos_ejec!$B:$B,$B58,ni_bimestral_pos_ejec!$D:$D,$D58,ni_bimestral_pos_ejec!$E:$E,$E58)</f>
        <v>2593</v>
      </c>
      <c r="G58" s="70">
        <f>SUMIFS(ri_bimestral_pos_ejec!$F:$F,ri_bimestral_pos_ejec!$C:$C,$C58,ri_bimestral_pos_ejec!$B:$B,$B58,ri_bimestral_pos_ejec!$D:$D,$D58,ri_bimestral_pos_ejec!$E:$E,$E58)</f>
        <v>14119</v>
      </c>
      <c r="H58" s="70">
        <f>SUMIFS(pmp_mt_pos_ejec!$E:$E,pmp_mt_pos_ejec!$A:$A,$C58,pmp_mt_pos_ejec!$B:$B,$B58,pmp_mt_pos_ejec!$C:$C,$D58)</f>
        <v>0</v>
      </c>
      <c r="I58" s="70" t="str">
        <f t="shared" si="2"/>
        <v/>
      </c>
      <c r="J58" s="18" t="str">
        <f t="shared" si="3"/>
        <v>Sin PMP</v>
      </c>
    </row>
    <row r="59" spans="1:10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>
        <f>SUMIFS(ni_bimestral_pos_ejec!$F:$F,ni_bimestral_pos_ejec!$C:$C,$C59,ni_bimestral_pos_ejec!$B:$B,$B59,ni_bimestral_pos_ejec!$D:$D,$D59,ni_bimestral_pos_ejec!$E:$E,$E59)</f>
        <v>101</v>
      </c>
      <c r="G59" s="70">
        <f>SUMIFS(ri_bimestral_pos_ejec!$F:$F,ri_bimestral_pos_ejec!$C:$C,$C59,ri_bimestral_pos_ejec!$B:$B,$B59,ri_bimestral_pos_ejec!$D:$D,$D59,ri_bimestral_pos_ejec!$E:$E,$E59)</f>
        <v>0</v>
      </c>
      <c r="H59" s="70">
        <f>SUMIFS(pmp_mt_pos_ejec!$E:$E,pmp_mt_pos_ejec!$A:$A,$C59,pmp_mt_pos_ejec!$B:$B,$B59,pmp_mt_pos_ejec!$C:$C,$D59)</f>
        <v>0</v>
      </c>
      <c r="I59" s="70" t="str">
        <f t="shared" si="2"/>
        <v/>
      </c>
      <c r="J59" s="18" t="str">
        <f t="shared" si="3"/>
        <v>Sin PMP</v>
      </c>
    </row>
    <row r="60" spans="1:10">
      <c r="A60" s="18">
        <v>2028</v>
      </c>
      <c r="B60" s="18" t="s">
        <v>848</v>
      </c>
      <c r="C60" s="18">
        <v>2029</v>
      </c>
      <c r="D60" s="18" t="s">
        <v>106</v>
      </c>
      <c r="E60" s="18" t="s">
        <v>844</v>
      </c>
      <c r="F60" s="70">
        <f>SUMIFS(ni_bimestral_pos_ejec!$F:$F,ni_bimestral_pos_ejec!$C:$C,$C60,ni_bimestral_pos_ejec!$B:$B,$B60,ni_bimestral_pos_ejec!$D:$D,$D60,ni_bimestral_pos_ejec!$E:$E,$E60)</f>
        <v>1248</v>
      </c>
      <c r="G60" s="70">
        <f>SUMIFS(ri_bimestral_pos_ejec!$F:$F,ri_bimestral_pos_ejec!$C:$C,$C60,ri_bimestral_pos_ejec!$B:$B,$B60,ri_bimestral_pos_ejec!$D:$D,$D60,ri_bimestral_pos_ejec!$E:$E,$E60)</f>
        <v>7521</v>
      </c>
      <c r="H60" s="70">
        <f>SUMIFS(pmp_mt_pos_ejec!$E:$E,pmp_mt_pos_ejec!$A:$A,$C60,pmp_mt_pos_ejec!$B:$B,$B60,pmp_mt_pos_ejec!$C:$C,$D60)</f>
        <v>0</v>
      </c>
      <c r="I60" s="70" t="str">
        <f t="shared" si="2"/>
        <v/>
      </c>
      <c r="J60" s="18" t="str">
        <f t="shared" si="3"/>
        <v>Sin PMP</v>
      </c>
    </row>
    <row r="61" spans="1:10">
      <c r="A61" s="18">
        <v>2028</v>
      </c>
      <c r="B61" s="18" t="s">
        <v>848</v>
      </c>
      <c r="C61" s="18">
        <v>2029</v>
      </c>
      <c r="D61" s="18" t="s">
        <v>106</v>
      </c>
      <c r="E61" s="18" t="s">
        <v>849</v>
      </c>
      <c r="F61" s="70">
        <f>SUMIFS(ni_bimestral_pos_ejec!$F:$F,ni_bimestral_pos_ejec!$C:$C,$C61,ni_bimestral_pos_ejec!$B:$B,$B61,ni_bimestral_pos_ejec!$D:$D,$D61,ni_bimestral_pos_ejec!$E:$E,$E61)</f>
        <v>36</v>
      </c>
      <c r="G61" s="70">
        <f>SUMIFS(ri_bimestral_pos_ejec!$F:$F,ri_bimestral_pos_ejec!$C:$C,$C61,ri_bimestral_pos_ejec!$B:$B,$B61,ri_bimestral_pos_ejec!$D:$D,$D61,ri_bimestral_pos_ejec!$E:$E,$E61)</f>
        <v>0</v>
      </c>
      <c r="H61" s="70">
        <f>SUMIFS(pmp_mt_pos_ejec!$E:$E,pmp_mt_pos_ejec!$A:$A,$C61,pmp_mt_pos_ejec!$B:$B,$B61,pmp_mt_pos_ejec!$C:$C,$D61)</f>
        <v>0</v>
      </c>
      <c r="I61" s="70" t="str">
        <f t="shared" si="2"/>
        <v/>
      </c>
      <c r="J61" s="18" t="str">
        <f t="shared" si="3"/>
        <v>Sin PMP</v>
      </c>
    </row>
    <row r="62" spans="1:10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>
        <f>SUMIFS(ni_bimestral_pos_ejec!$F:$F,ni_bimestral_pos_ejec!$C:$C,$C62,ni_bimestral_pos_ejec!$B:$B,$B62,ni_bimestral_pos_ejec!$D:$D,$D62,ni_bimestral_pos_ejec!$E:$E,$E62)</f>
        <v>2178</v>
      </c>
      <c r="G62" s="70">
        <f>SUMIFS(ri_bimestral_pos_ejec!$F:$F,ri_bimestral_pos_ejec!$C:$C,$C62,ri_bimestral_pos_ejec!$B:$B,$B62,ri_bimestral_pos_ejec!$D:$D,$D62,ri_bimestral_pos_ejec!$E:$E,$E62)</f>
        <v>14902</v>
      </c>
      <c r="H62" s="70">
        <f>SUMIFS(pmp_mt_pos_ejec!$E:$E,pmp_mt_pos_ejec!$A:$A,$C62,pmp_mt_pos_ejec!$B:$B,$B62,pmp_mt_pos_ejec!$C:$C,$D62)</f>
        <v>17341</v>
      </c>
      <c r="I62" s="70">
        <f t="shared" si="2"/>
        <v>261</v>
      </c>
      <c r="J62" s="18" t="str">
        <f t="shared" si="3"/>
        <v>OK</v>
      </c>
    </row>
    <row r="63" spans="1:10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>
        <f>SUMIFS(ni_bimestral_pos_ejec!$F:$F,ni_bimestral_pos_ejec!$C:$C,$C63,ni_bimestral_pos_ejec!$B:$B,$B63,ni_bimestral_pos_ejec!$D:$D,$D63,ni_bimestral_pos_ejec!$E:$E,$E63)</f>
        <v>61</v>
      </c>
      <c r="G63" s="70">
        <f>SUMIFS(ri_bimestral_pos_ejec!$F:$F,ri_bimestral_pos_ejec!$C:$C,$C63,ri_bimestral_pos_ejec!$B:$B,$B63,ri_bimestral_pos_ejec!$D:$D,$D63,ri_bimestral_pos_ejec!$E:$E,$E63)</f>
        <v>0</v>
      </c>
      <c r="H63" s="70">
        <f>SUMIFS(pmp_mt_pos_ejec!$E:$E,pmp_mt_pos_ejec!$A:$A,$C63,pmp_mt_pos_ejec!$B:$B,$B63,pmp_mt_pos_ejec!$C:$C,$D63)</f>
        <v>17341</v>
      </c>
      <c r="I63" s="70">
        <f t="shared" si="2"/>
        <v>17280</v>
      </c>
      <c r="J63" s="18" t="str">
        <f t="shared" si="3"/>
        <v>OK</v>
      </c>
    </row>
    <row r="64" spans="1:10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>
        <f>SUMIFS(ni_bimestral_pos_ejec!$F:$F,ni_bimestral_pos_ejec!$C:$C,$C64,ni_bimestral_pos_ejec!$B:$B,$B64,ni_bimestral_pos_ejec!$D:$D,$D64,ni_bimestral_pos_ejec!$E:$E,$E64)</f>
        <v>1310</v>
      </c>
      <c r="G64" s="70">
        <f>SUMIFS(ri_bimestral_pos_ejec!$F:$F,ri_bimestral_pos_ejec!$C:$C,$C64,ri_bimestral_pos_ejec!$B:$B,$B64,ri_bimestral_pos_ejec!$D:$D,$D64,ri_bimestral_pos_ejec!$E:$E,$E64)</f>
        <v>7764</v>
      </c>
      <c r="H64" s="70">
        <f>SUMIFS(pmp_mt_pos_ejec!$E:$E,pmp_mt_pos_ejec!$A:$A,$C64,pmp_mt_pos_ejec!$B:$B,$B64,pmp_mt_pos_ejec!$C:$C,$D64)</f>
        <v>12757</v>
      </c>
      <c r="I64" s="70">
        <f t="shared" si="2"/>
        <v>3683</v>
      </c>
      <c r="J64" s="18" t="str">
        <f t="shared" si="3"/>
        <v>OK</v>
      </c>
    </row>
    <row r="65" spans="1:10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>
        <f>SUMIFS(ni_bimestral_pos_ejec!$F:$F,ni_bimestral_pos_ejec!$C:$C,$C65,ni_bimestral_pos_ejec!$B:$B,$B65,ni_bimestral_pos_ejec!$D:$D,$D65,ni_bimestral_pos_ejec!$E:$E,$E65)</f>
        <v>49</v>
      </c>
      <c r="G65" s="70">
        <f>SUMIFS(ri_bimestral_pos_ejec!$F:$F,ri_bimestral_pos_ejec!$C:$C,$C65,ri_bimestral_pos_ejec!$B:$B,$B65,ri_bimestral_pos_ejec!$D:$D,$D65,ri_bimestral_pos_ejec!$E:$E,$E65)</f>
        <v>0</v>
      </c>
      <c r="H65" s="70">
        <f>SUMIFS(pmp_mt_pos_ejec!$E:$E,pmp_mt_pos_ejec!$A:$A,$C65,pmp_mt_pos_ejec!$B:$B,$B65,pmp_mt_pos_ejec!$C:$C,$D65)</f>
        <v>12757</v>
      </c>
      <c r="I65" s="70">
        <f t="shared" si="2"/>
        <v>12708</v>
      </c>
      <c r="J65" s="18" t="str">
        <f t="shared" si="3"/>
        <v>OK</v>
      </c>
    </row>
    <row r="66" spans="1:10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>
        <f>SUMIFS(ni_bimestral_pos_ejec!$F:$F,ni_bimestral_pos_ejec!$C:$C,$C66,ni_bimestral_pos_ejec!$B:$B,$B66,ni_bimestral_pos_ejec!$D:$D,$D66,ni_bimestral_pos_ejec!$E:$E,$E66)</f>
        <v>2177</v>
      </c>
      <c r="G66" s="70">
        <f>SUMIFS(ri_bimestral_pos_ejec!$F:$F,ri_bimestral_pos_ejec!$C:$C,$C66,ri_bimestral_pos_ejec!$B:$B,$B66,ri_bimestral_pos_ejec!$D:$D,$D66,ri_bimestral_pos_ejec!$E:$E,$E66)</f>
        <v>15196</v>
      </c>
      <c r="H66" s="70">
        <f>SUMIFS(pmp_mt_pos_ejec!$E:$E,pmp_mt_pos_ejec!$A:$A,$C66,pmp_mt_pos_ejec!$B:$B,$B66,pmp_mt_pos_ejec!$C:$C,$D66)</f>
        <v>0</v>
      </c>
      <c r="I66" s="70" t="str">
        <f t="shared" ref="I66:I81" si="4">IF(H66=0,"",MAX(0,H66-F66-G66))</f>
        <v/>
      </c>
      <c r="J66" s="18" t="str">
        <f t="shared" ref="J66:J81" si="5">IF(H66=0,"Sin PMP",IF(ABS((F66+G66+I66)-H66)&lt;1,"OK","Revisar"))</f>
        <v>Sin PMP</v>
      </c>
    </row>
    <row r="67" spans="1:10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>
        <f>SUMIFS(ni_bimestral_pos_ejec!$F:$F,ni_bimestral_pos_ejec!$C:$C,$C67,ni_bimestral_pos_ejec!$B:$B,$B67,ni_bimestral_pos_ejec!$D:$D,$D67,ni_bimestral_pos_ejec!$E:$E,$E67)</f>
        <v>61</v>
      </c>
      <c r="G67" s="70">
        <f>SUMIFS(ri_bimestral_pos_ejec!$F:$F,ri_bimestral_pos_ejec!$C:$C,$C67,ri_bimestral_pos_ejec!$B:$B,$B67,ri_bimestral_pos_ejec!$D:$D,$D67,ri_bimestral_pos_ejec!$E:$E,$E67)</f>
        <v>0</v>
      </c>
      <c r="H67" s="70">
        <f>SUMIFS(pmp_mt_pos_ejec!$E:$E,pmp_mt_pos_ejec!$A:$A,$C67,pmp_mt_pos_ejec!$B:$B,$B67,pmp_mt_pos_ejec!$C:$C,$D67)</f>
        <v>0</v>
      </c>
      <c r="I67" s="70" t="str">
        <f t="shared" si="4"/>
        <v/>
      </c>
      <c r="J67" s="18" t="str">
        <f t="shared" si="5"/>
        <v>Sin PMP</v>
      </c>
    </row>
    <row r="68" spans="1:10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>
        <f>SUMIFS(ni_bimestral_pos_ejec!$F:$F,ni_bimestral_pos_ejec!$C:$C,$C68,ni_bimestral_pos_ejec!$B:$B,$B68,ni_bimestral_pos_ejec!$D:$D,$D68,ni_bimestral_pos_ejec!$E:$E,$E68)</f>
        <v>1207</v>
      </c>
      <c r="G68" s="70">
        <f>SUMIFS(ri_bimestral_pos_ejec!$F:$F,ri_bimestral_pos_ejec!$C:$C,$C68,ri_bimestral_pos_ejec!$B:$B,$B68,ri_bimestral_pos_ejec!$D:$D,$D68,ri_bimestral_pos_ejec!$E:$E,$E68)</f>
        <v>8479</v>
      </c>
      <c r="H68" s="70">
        <f>SUMIFS(pmp_mt_pos_ejec!$E:$E,pmp_mt_pos_ejec!$A:$A,$C68,pmp_mt_pos_ejec!$B:$B,$B68,pmp_mt_pos_ejec!$C:$C,$D68)</f>
        <v>0</v>
      </c>
      <c r="I68" s="70" t="str">
        <f t="shared" si="4"/>
        <v/>
      </c>
      <c r="J68" s="18" t="str">
        <f t="shared" si="5"/>
        <v>Sin PMP</v>
      </c>
    </row>
    <row r="69" spans="1:10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>
        <f>SUMIFS(ni_bimestral_pos_ejec!$F:$F,ni_bimestral_pos_ejec!$C:$C,$C69,ni_bimestral_pos_ejec!$B:$B,$B69,ni_bimestral_pos_ejec!$D:$D,$D69,ni_bimestral_pos_ejec!$E:$E,$E69)</f>
        <v>43</v>
      </c>
      <c r="G69" s="70">
        <f>SUMIFS(ri_bimestral_pos_ejec!$F:$F,ri_bimestral_pos_ejec!$C:$C,$C69,ri_bimestral_pos_ejec!$B:$B,$B69,ri_bimestral_pos_ejec!$D:$D,$D69,ri_bimestral_pos_ejec!$E:$E,$E69)</f>
        <v>0</v>
      </c>
      <c r="H69" s="70">
        <f>SUMIFS(pmp_mt_pos_ejec!$E:$E,pmp_mt_pos_ejec!$A:$A,$C69,pmp_mt_pos_ejec!$B:$B,$B69,pmp_mt_pos_ejec!$C:$C,$D69)</f>
        <v>0</v>
      </c>
      <c r="I69" s="70" t="str">
        <f t="shared" si="4"/>
        <v/>
      </c>
      <c r="J69" s="18" t="str">
        <f t="shared" si="5"/>
        <v>Sin PMP</v>
      </c>
    </row>
    <row r="70" spans="1:10">
      <c r="A70" s="18">
        <v>2029</v>
      </c>
      <c r="B70" s="18" t="s">
        <v>846</v>
      </c>
      <c r="C70" s="18">
        <v>2030</v>
      </c>
      <c r="D70" s="18" t="s">
        <v>105</v>
      </c>
      <c r="E70" s="18" t="s">
        <v>844</v>
      </c>
      <c r="F70" s="70">
        <f>SUMIFS(ni_bimestral_pos_ejec!$F:$F,ni_bimestral_pos_ejec!$C:$C,$C70,ni_bimestral_pos_ejec!$B:$B,$B70,ni_bimestral_pos_ejec!$D:$D,$D70,ni_bimestral_pos_ejec!$E:$E,$E70)</f>
        <v>2445</v>
      </c>
      <c r="G70" s="70">
        <f>SUMIFS(ri_bimestral_pos_ejec!$F:$F,ri_bimestral_pos_ejec!$C:$C,$C70,ri_bimestral_pos_ejec!$B:$B,$B70,ri_bimestral_pos_ejec!$D:$D,$D70,ri_bimestral_pos_ejec!$E:$E,$E70)</f>
        <v>14986</v>
      </c>
      <c r="H70" s="70">
        <f>SUMIFS(pmp_mt_pos_ejec!$E:$E,pmp_mt_pos_ejec!$A:$A,$C70,pmp_mt_pos_ejec!$B:$B,$B70,pmp_mt_pos_ejec!$C:$C,$D70)</f>
        <v>0</v>
      </c>
      <c r="I70" s="70" t="str">
        <f t="shared" si="4"/>
        <v/>
      </c>
      <c r="J70" s="18" t="str">
        <f t="shared" si="5"/>
        <v>Sin PMP</v>
      </c>
    </row>
    <row r="71" spans="1:10">
      <c r="A71" s="18">
        <v>2029</v>
      </c>
      <c r="B71" s="18" t="s">
        <v>846</v>
      </c>
      <c r="C71" s="18">
        <v>2030</v>
      </c>
      <c r="D71" s="18" t="s">
        <v>105</v>
      </c>
      <c r="E71" s="18" t="s">
        <v>849</v>
      </c>
      <c r="F71" s="70">
        <f>SUMIFS(ni_bimestral_pos_ejec!$F:$F,ni_bimestral_pos_ejec!$C:$C,$C71,ni_bimestral_pos_ejec!$B:$B,$B71,ni_bimestral_pos_ejec!$D:$D,$D71,ni_bimestral_pos_ejec!$E:$E,$E71)</f>
        <v>109</v>
      </c>
      <c r="G71" s="70">
        <f>SUMIFS(ri_bimestral_pos_ejec!$F:$F,ri_bimestral_pos_ejec!$C:$C,$C71,ri_bimestral_pos_ejec!$B:$B,$B71,ri_bimestral_pos_ejec!$D:$D,$D71,ri_bimestral_pos_ejec!$E:$E,$E71)</f>
        <v>0</v>
      </c>
      <c r="H71" s="70">
        <f>SUMIFS(pmp_mt_pos_ejec!$E:$E,pmp_mt_pos_ejec!$A:$A,$C71,pmp_mt_pos_ejec!$B:$B,$B71,pmp_mt_pos_ejec!$C:$C,$D71)</f>
        <v>0</v>
      </c>
      <c r="I71" s="70" t="str">
        <f t="shared" si="4"/>
        <v/>
      </c>
      <c r="J71" s="18" t="str">
        <f t="shared" si="5"/>
        <v>Sin PMP</v>
      </c>
    </row>
    <row r="72" spans="1:10">
      <c r="A72" s="18">
        <v>2029</v>
      </c>
      <c r="B72" s="18" t="s">
        <v>846</v>
      </c>
      <c r="C72" s="18">
        <v>2030</v>
      </c>
      <c r="D72" s="18" t="s">
        <v>106</v>
      </c>
      <c r="E72" s="18" t="s">
        <v>844</v>
      </c>
      <c r="F72" s="70">
        <f>SUMIFS(ni_bimestral_pos_ejec!$F:$F,ni_bimestral_pos_ejec!$C:$C,$C72,ni_bimestral_pos_ejec!$B:$B,$B72,ni_bimestral_pos_ejec!$D:$D,$D72,ni_bimestral_pos_ejec!$E:$E,$E72)</f>
        <v>1305</v>
      </c>
      <c r="G72" s="70">
        <f>SUMIFS(ri_bimestral_pos_ejec!$F:$F,ri_bimestral_pos_ejec!$C:$C,$C72,ri_bimestral_pos_ejec!$B:$B,$B72,ri_bimestral_pos_ejec!$D:$D,$D72,ri_bimestral_pos_ejec!$E:$E,$E72)</f>
        <v>8122</v>
      </c>
      <c r="H72" s="70">
        <f>SUMIFS(pmp_mt_pos_ejec!$E:$E,pmp_mt_pos_ejec!$A:$A,$C72,pmp_mt_pos_ejec!$B:$B,$B72,pmp_mt_pos_ejec!$C:$C,$D72)</f>
        <v>0</v>
      </c>
      <c r="I72" s="70" t="str">
        <f t="shared" si="4"/>
        <v/>
      </c>
      <c r="J72" s="18" t="str">
        <f t="shared" si="5"/>
        <v>Sin PMP</v>
      </c>
    </row>
    <row r="73" spans="1:10">
      <c r="A73" s="18">
        <v>2029</v>
      </c>
      <c r="B73" s="18" t="s">
        <v>846</v>
      </c>
      <c r="C73" s="18">
        <v>2030</v>
      </c>
      <c r="D73" s="18" t="s">
        <v>106</v>
      </c>
      <c r="E73" s="18" t="s">
        <v>849</v>
      </c>
      <c r="F73" s="70">
        <f>SUMIFS(ni_bimestral_pos_ejec!$F:$F,ni_bimestral_pos_ejec!$C:$C,$C73,ni_bimestral_pos_ejec!$B:$B,$B73,ni_bimestral_pos_ejec!$D:$D,$D73,ni_bimestral_pos_ejec!$E:$E,$E73)</f>
        <v>45</v>
      </c>
      <c r="G73" s="70">
        <f>SUMIFS(ri_bimestral_pos_ejec!$F:$F,ri_bimestral_pos_ejec!$C:$C,$C73,ri_bimestral_pos_ejec!$B:$B,$B73,ri_bimestral_pos_ejec!$D:$D,$D73,ri_bimestral_pos_ejec!$E:$E,$E73)</f>
        <v>0</v>
      </c>
      <c r="H73" s="70">
        <f>SUMIFS(pmp_mt_pos_ejec!$E:$E,pmp_mt_pos_ejec!$A:$A,$C73,pmp_mt_pos_ejec!$B:$B,$B73,pmp_mt_pos_ejec!$C:$C,$D73)</f>
        <v>0</v>
      </c>
      <c r="I73" s="70" t="str">
        <f t="shared" si="4"/>
        <v/>
      </c>
      <c r="J73" s="18" t="str">
        <f t="shared" si="5"/>
        <v>Sin PMP</v>
      </c>
    </row>
    <row r="74" spans="1:10">
      <c r="A74" s="18">
        <v>2029</v>
      </c>
      <c r="B74" s="18" t="s">
        <v>847</v>
      </c>
      <c r="C74" s="18">
        <v>2030</v>
      </c>
      <c r="D74" s="18" t="s">
        <v>105</v>
      </c>
      <c r="E74" s="18" t="s">
        <v>844</v>
      </c>
      <c r="F74" s="70">
        <f>SUMIFS(ni_bimestral_pos_ejec!$F:$F,ni_bimestral_pos_ejec!$C:$C,$C74,ni_bimestral_pos_ejec!$B:$B,$B74,ni_bimestral_pos_ejec!$D:$D,$D74,ni_bimestral_pos_ejec!$E:$E,$E74)</f>
        <v>1813</v>
      </c>
      <c r="G74" s="70">
        <f>SUMIFS(ri_bimestral_pos_ejec!$F:$F,ri_bimestral_pos_ejec!$C:$C,$C74,ri_bimestral_pos_ejec!$B:$B,$B74,ri_bimestral_pos_ejec!$D:$D,$D74,ri_bimestral_pos_ejec!$E:$E,$E74)</f>
        <v>15496</v>
      </c>
      <c r="H74" s="70">
        <f>SUMIFS(pmp_mt_pos_ejec!$E:$E,pmp_mt_pos_ejec!$A:$A,$C74,pmp_mt_pos_ejec!$B:$B,$B74,pmp_mt_pos_ejec!$C:$C,$D74)</f>
        <v>0</v>
      </c>
      <c r="I74" s="70" t="str">
        <f t="shared" si="4"/>
        <v/>
      </c>
      <c r="J74" s="18" t="str">
        <f t="shared" si="5"/>
        <v>Sin PMP</v>
      </c>
    </row>
    <row r="75" spans="1:10">
      <c r="A75" s="18">
        <v>2029</v>
      </c>
      <c r="B75" s="18" t="s">
        <v>847</v>
      </c>
      <c r="C75" s="18">
        <v>2030</v>
      </c>
      <c r="D75" s="18" t="s">
        <v>105</v>
      </c>
      <c r="E75" s="18" t="s">
        <v>849</v>
      </c>
      <c r="F75" s="70">
        <f>SUMIFS(ni_bimestral_pos_ejec!$F:$F,ni_bimestral_pos_ejec!$C:$C,$C75,ni_bimestral_pos_ejec!$B:$B,$B75,ni_bimestral_pos_ejec!$D:$D,$D75,ni_bimestral_pos_ejec!$E:$E,$E75)</f>
        <v>70</v>
      </c>
      <c r="G75" s="70">
        <f>SUMIFS(ri_bimestral_pos_ejec!$F:$F,ri_bimestral_pos_ejec!$C:$C,$C75,ri_bimestral_pos_ejec!$B:$B,$B75,ri_bimestral_pos_ejec!$D:$D,$D75,ri_bimestral_pos_ejec!$E:$E,$E75)</f>
        <v>0</v>
      </c>
      <c r="H75" s="70">
        <f>SUMIFS(pmp_mt_pos_ejec!$E:$E,pmp_mt_pos_ejec!$A:$A,$C75,pmp_mt_pos_ejec!$B:$B,$B75,pmp_mt_pos_ejec!$C:$C,$D75)</f>
        <v>0</v>
      </c>
      <c r="I75" s="70" t="str">
        <f t="shared" si="4"/>
        <v/>
      </c>
      <c r="J75" s="18" t="str">
        <f t="shared" si="5"/>
        <v>Sin PMP</v>
      </c>
    </row>
    <row r="76" spans="1:10">
      <c r="A76" s="18">
        <v>2029</v>
      </c>
      <c r="B76" s="18" t="s">
        <v>847</v>
      </c>
      <c r="C76" s="18">
        <v>2030</v>
      </c>
      <c r="D76" s="18" t="s">
        <v>106</v>
      </c>
      <c r="E76" s="18" t="s">
        <v>844</v>
      </c>
      <c r="F76" s="70">
        <f>SUMIFS(ni_bimestral_pos_ejec!$F:$F,ni_bimestral_pos_ejec!$C:$C,$C76,ni_bimestral_pos_ejec!$B:$B,$B76,ni_bimestral_pos_ejec!$D:$D,$D76,ni_bimestral_pos_ejec!$E:$E,$E76)</f>
        <v>1096</v>
      </c>
      <c r="G76" s="70">
        <f>SUMIFS(ri_bimestral_pos_ejec!$F:$F,ri_bimestral_pos_ejec!$C:$C,$C76,ri_bimestral_pos_ejec!$B:$B,$B76,ri_bimestral_pos_ejec!$D:$D,$D76,ri_bimestral_pos_ejec!$E:$E,$E76)</f>
        <v>9538</v>
      </c>
      <c r="H76" s="70">
        <f>SUMIFS(pmp_mt_pos_ejec!$E:$E,pmp_mt_pos_ejec!$A:$A,$C76,pmp_mt_pos_ejec!$B:$B,$B76,pmp_mt_pos_ejec!$C:$C,$D76)</f>
        <v>0</v>
      </c>
      <c r="I76" s="70" t="str">
        <f t="shared" si="4"/>
        <v/>
      </c>
      <c r="J76" s="18" t="str">
        <f t="shared" si="5"/>
        <v>Sin PMP</v>
      </c>
    </row>
    <row r="77" spans="1:10">
      <c r="A77" s="18">
        <v>2029</v>
      </c>
      <c r="B77" s="18" t="s">
        <v>847</v>
      </c>
      <c r="C77" s="18">
        <v>2030</v>
      </c>
      <c r="D77" s="18" t="s">
        <v>106</v>
      </c>
      <c r="E77" s="18" t="s">
        <v>849</v>
      </c>
      <c r="F77" s="70">
        <f>SUMIFS(ni_bimestral_pos_ejec!$F:$F,ni_bimestral_pos_ejec!$C:$C,$C77,ni_bimestral_pos_ejec!$B:$B,$B77,ni_bimestral_pos_ejec!$D:$D,$D77,ni_bimestral_pos_ejec!$E:$E,$E77)</f>
        <v>41</v>
      </c>
      <c r="G77" s="70">
        <f>SUMIFS(ri_bimestral_pos_ejec!$F:$F,ri_bimestral_pos_ejec!$C:$C,$C77,ri_bimestral_pos_ejec!$B:$B,$B77,ri_bimestral_pos_ejec!$D:$D,$D77,ri_bimestral_pos_ejec!$E:$E,$E77)</f>
        <v>0</v>
      </c>
      <c r="H77" s="70">
        <f>SUMIFS(pmp_mt_pos_ejec!$E:$E,pmp_mt_pos_ejec!$A:$A,$C77,pmp_mt_pos_ejec!$B:$B,$B77,pmp_mt_pos_ejec!$C:$C,$D77)</f>
        <v>0</v>
      </c>
      <c r="I77" s="70" t="str">
        <f t="shared" si="4"/>
        <v/>
      </c>
      <c r="J77" s="18" t="str">
        <f t="shared" si="5"/>
        <v>Sin PMP</v>
      </c>
    </row>
    <row r="78" spans="1:10">
      <c r="A78" s="18">
        <v>2029</v>
      </c>
      <c r="B78" s="18" t="s">
        <v>848</v>
      </c>
      <c r="C78" s="18">
        <v>2030</v>
      </c>
      <c r="D78" s="18" t="s">
        <v>105</v>
      </c>
      <c r="E78" s="18" t="s">
        <v>844</v>
      </c>
      <c r="F78" s="70">
        <f>SUMIFS(ni_bimestral_pos_ejec!$F:$F,ni_bimestral_pos_ejec!$C:$C,$C78,ni_bimestral_pos_ejec!$B:$B,$B78,ni_bimestral_pos_ejec!$D:$D,$D78,ni_bimestral_pos_ejec!$E:$E,$E78)</f>
        <v>2647</v>
      </c>
      <c r="G78" s="70">
        <f>SUMIFS(ri_bimestral_pos_ejec!$F:$F,ri_bimestral_pos_ejec!$C:$C,$C78,ri_bimestral_pos_ejec!$B:$B,$B78,ri_bimestral_pos_ejec!$D:$D,$D78,ri_bimestral_pos_ejec!$E:$E,$E78)</f>
        <v>15802</v>
      </c>
      <c r="H78" s="70">
        <f>SUMIFS(pmp_mt_pos_ejec!$E:$E,pmp_mt_pos_ejec!$A:$A,$C78,pmp_mt_pos_ejec!$B:$B,$B78,pmp_mt_pos_ejec!$C:$C,$D78)</f>
        <v>0</v>
      </c>
      <c r="I78" s="70" t="str">
        <f t="shared" si="4"/>
        <v/>
      </c>
      <c r="J78" s="18" t="str">
        <f t="shared" si="5"/>
        <v>Sin PMP</v>
      </c>
    </row>
    <row r="79" spans="1:10">
      <c r="A79" s="18">
        <v>2029</v>
      </c>
      <c r="B79" s="18" t="s">
        <v>848</v>
      </c>
      <c r="C79" s="18">
        <v>2030</v>
      </c>
      <c r="D79" s="18" t="s">
        <v>105</v>
      </c>
      <c r="E79" s="18" t="s">
        <v>849</v>
      </c>
      <c r="F79" s="70">
        <f>SUMIFS(ni_bimestral_pos_ejec!$F:$F,ni_bimestral_pos_ejec!$C:$C,$C79,ni_bimestral_pos_ejec!$B:$B,$B79,ni_bimestral_pos_ejec!$D:$D,$D79,ni_bimestral_pos_ejec!$E:$E,$E79)</f>
        <v>110</v>
      </c>
      <c r="G79" s="70">
        <f>SUMIFS(ri_bimestral_pos_ejec!$F:$F,ri_bimestral_pos_ejec!$C:$C,$C79,ri_bimestral_pos_ejec!$B:$B,$B79,ri_bimestral_pos_ejec!$D:$D,$D79,ri_bimestral_pos_ejec!$E:$E,$E79)</f>
        <v>0</v>
      </c>
      <c r="H79" s="70">
        <f>SUMIFS(pmp_mt_pos_ejec!$E:$E,pmp_mt_pos_ejec!$A:$A,$C79,pmp_mt_pos_ejec!$B:$B,$B79,pmp_mt_pos_ejec!$C:$C,$D79)</f>
        <v>0</v>
      </c>
      <c r="I79" s="70" t="str">
        <f t="shared" si="4"/>
        <v/>
      </c>
      <c r="J79" s="18" t="str">
        <f t="shared" si="5"/>
        <v>Sin PMP</v>
      </c>
    </row>
    <row r="80" spans="1:10">
      <c r="A80" s="18">
        <v>2029</v>
      </c>
      <c r="B80" s="18" t="s">
        <v>848</v>
      </c>
      <c r="C80" s="18">
        <v>2030</v>
      </c>
      <c r="D80" s="18" t="s">
        <v>106</v>
      </c>
      <c r="E80" s="18" t="s">
        <v>844</v>
      </c>
      <c r="F80" s="70">
        <f>SUMIFS(ni_bimestral_pos_ejec!$F:$F,ni_bimestral_pos_ejec!$C:$C,$C80,ni_bimestral_pos_ejec!$B:$B,$B80,ni_bimestral_pos_ejec!$D:$D,$D80,ni_bimestral_pos_ejec!$E:$E,$E80)</f>
        <v>1399</v>
      </c>
      <c r="G80" s="70">
        <f>SUMIFS(ri_bimestral_pos_ejec!$F:$F,ri_bimestral_pos_ejec!$C:$C,$C80,ri_bimestral_pos_ejec!$B:$B,$B80,ri_bimestral_pos_ejec!$D:$D,$D80,ri_bimestral_pos_ejec!$E:$E,$E80)</f>
        <v>10052</v>
      </c>
      <c r="H80" s="70">
        <f>SUMIFS(pmp_mt_pos_ejec!$E:$E,pmp_mt_pos_ejec!$A:$A,$C80,pmp_mt_pos_ejec!$B:$B,$B80,pmp_mt_pos_ejec!$C:$C,$D80)</f>
        <v>0</v>
      </c>
      <c r="I80" s="70" t="str">
        <f t="shared" si="4"/>
        <v/>
      </c>
      <c r="J80" s="18" t="str">
        <f t="shared" si="5"/>
        <v>Sin PMP</v>
      </c>
    </row>
    <row r="81" spans="1:10">
      <c r="A81" s="18">
        <v>2029</v>
      </c>
      <c r="B81" s="18" t="s">
        <v>848</v>
      </c>
      <c r="C81" s="18">
        <v>2030</v>
      </c>
      <c r="D81" s="18" t="s">
        <v>106</v>
      </c>
      <c r="E81" s="18" t="s">
        <v>849</v>
      </c>
      <c r="F81" s="70">
        <f>SUMIFS(ni_bimestral_pos_ejec!$F:$F,ni_bimestral_pos_ejec!$C:$C,$C81,ni_bimestral_pos_ejec!$B:$B,$B81,ni_bimestral_pos_ejec!$D:$D,$D81,ni_bimestral_pos_ejec!$E:$E,$E81)</f>
        <v>49</v>
      </c>
      <c r="G81" s="70">
        <f>SUMIFS(ri_bimestral_pos_ejec!$F:$F,ri_bimestral_pos_ejec!$C:$C,$C81,ri_bimestral_pos_ejec!$B:$B,$B81,ri_bimestral_pos_ejec!$D:$D,$D81,ri_bimestral_pos_ejec!$E:$E,$E81)</f>
        <v>0</v>
      </c>
      <c r="H81" s="70">
        <f>SUMIFS(pmp_mt_pos_ejec!$E:$E,pmp_mt_pos_ejec!$A:$A,$C81,pmp_mt_pos_ejec!$B:$B,$B81,pmp_mt_pos_ejec!$C:$C,$D81)</f>
        <v>0</v>
      </c>
      <c r="I81" s="70" t="str">
        <f t="shared" si="4"/>
        <v/>
      </c>
      <c r="J81" s="18" t="str">
        <f t="shared" si="5"/>
        <v>Sin PMP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B9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1357</v>
      </c>
      <c r="B1" s="82" t="s">
        <v>1358</v>
      </c>
    </row>
    <row r="2" spans="1:2">
      <c r="A2" s="18" t="s">
        <v>1359</v>
      </c>
      <c r="B2" s="18" t="s">
        <v>1360</v>
      </c>
    </row>
    <row r="3" spans="1:2">
      <c r="A3" s="18" t="s">
        <v>1361</v>
      </c>
      <c r="B3" s="18" t="s">
        <v>1362</v>
      </c>
    </row>
    <row r="4" spans="1:2">
      <c r="A4" s="18" t="s">
        <v>1363</v>
      </c>
      <c r="B4" s="18" t="s">
        <v>1364</v>
      </c>
    </row>
    <row r="5" spans="1:2">
      <c r="A5" s="18" t="s">
        <v>1365</v>
      </c>
      <c r="B5" s="18" t="s">
        <v>1366</v>
      </c>
    </row>
    <row r="6" spans="1:2">
      <c r="A6" s="18" t="s">
        <v>1367</v>
      </c>
      <c r="B6" s="18" t="s">
        <v>1368</v>
      </c>
    </row>
    <row r="7" spans="1:2">
      <c r="A7" s="18" t="s">
        <v>130</v>
      </c>
      <c r="B7" s="18" t="s">
        <v>1369</v>
      </c>
    </row>
    <row r="8" spans="1:2">
      <c r="A8" s="18" t="s">
        <v>920</v>
      </c>
      <c r="B8" s="18" t="s">
        <v>1370</v>
      </c>
    </row>
    <row r="9" spans="1:2" ht="28">
      <c r="A9" s="18" t="s">
        <v>416</v>
      </c>
      <c r="B9" s="18" t="s">
        <v>1371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951</v>
      </c>
      <c r="B1" s="82" t="s">
        <v>940</v>
      </c>
    </row>
    <row r="2" spans="1:2">
      <c r="A2" s="18" t="s">
        <v>1326</v>
      </c>
      <c r="B2" s="18" t="s">
        <v>1372</v>
      </c>
    </row>
    <row r="3" spans="1:2">
      <c r="A3" s="18" t="s">
        <v>1373</v>
      </c>
      <c r="B3" s="18" t="s">
        <v>1374</v>
      </c>
    </row>
    <row r="4" spans="1:2">
      <c r="A4" s="18" t="s">
        <v>1373</v>
      </c>
      <c r="B4" s="18" t="s">
        <v>1375</v>
      </c>
    </row>
    <row r="5" spans="1:2">
      <c r="A5" s="18" t="s">
        <v>1376</v>
      </c>
      <c r="B5" s="18" t="s">
        <v>1368</v>
      </c>
    </row>
    <row r="6" spans="1:2">
      <c r="A6" s="18" t="s">
        <v>1377</v>
      </c>
      <c r="B6" s="18" t="s">
        <v>1378</v>
      </c>
    </row>
    <row r="7" spans="1:2">
      <c r="A7" s="18" t="s">
        <v>1379</v>
      </c>
      <c r="B7" s="18" t="s">
        <v>1380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3" t="s">
        <v>951</v>
      </c>
      <c r="B1" s="83" t="s">
        <v>940</v>
      </c>
    </row>
    <row r="2" spans="1:2">
      <c r="A2" s="18" t="s">
        <v>1381</v>
      </c>
      <c r="B2" s="18" t="s">
        <v>1382</v>
      </c>
    </row>
    <row r="3" spans="1:2">
      <c r="A3" s="18" t="s">
        <v>1383</v>
      </c>
      <c r="B3" s="18" t="s">
        <v>1384</v>
      </c>
    </row>
    <row r="4" spans="1:2">
      <c r="A4" s="18" t="s">
        <v>945</v>
      </c>
      <c r="B4" s="18" t="s">
        <v>1385</v>
      </c>
    </row>
    <row r="5" spans="1:2">
      <c r="A5" s="18" t="s">
        <v>1232</v>
      </c>
      <c r="B5" s="18" t="s">
        <v>1386</v>
      </c>
    </row>
    <row r="6" spans="1:2">
      <c r="A6" s="18" t="s">
        <v>1387</v>
      </c>
      <c r="B6" s="18" t="s">
        <v>1388</v>
      </c>
    </row>
    <row r="7" spans="1:2">
      <c r="A7" s="18" t="s">
        <v>1248</v>
      </c>
      <c r="B7" s="18" t="s">
        <v>1389</v>
      </c>
    </row>
    <row r="8" spans="1:2">
      <c r="A8" s="18" t="s">
        <v>1390</v>
      </c>
      <c r="B8" s="18" t="s">
        <v>1391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4" t="s">
        <v>951</v>
      </c>
      <c r="B1" s="84" t="s">
        <v>940</v>
      </c>
    </row>
    <row r="2" spans="1:2">
      <c r="A2" s="18" t="s">
        <v>1328</v>
      </c>
      <c r="B2" s="18" t="s">
        <v>1392</v>
      </c>
    </row>
    <row r="3" spans="1:2">
      <c r="A3" s="18" t="s">
        <v>414</v>
      </c>
      <c r="B3" s="18" t="s">
        <v>1393</v>
      </c>
    </row>
    <row r="4" spans="1:2">
      <c r="A4" s="18" t="s">
        <v>1322</v>
      </c>
      <c r="B4" s="18" t="s">
        <v>1394</v>
      </c>
    </row>
    <row r="5" spans="1:2">
      <c r="A5" s="18" t="s">
        <v>1367</v>
      </c>
      <c r="B5" s="18" t="s">
        <v>1395</v>
      </c>
    </row>
    <row r="6" spans="1:2">
      <c r="A6" s="18" t="s">
        <v>1057</v>
      </c>
      <c r="B6" s="18" t="s">
        <v>1396</v>
      </c>
    </row>
    <row r="7" spans="1:2">
      <c r="A7" s="18" t="s">
        <v>1397</v>
      </c>
      <c r="B7" s="18" t="s">
        <v>1398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5" t="s">
        <v>951</v>
      </c>
      <c r="B1" s="85" t="s">
        <v>940</v>
      </c>
    </row>
    <row r="2" spans="1:2">
      <c r="A2" s="18" t="s">
        <v>1399</v>
      </c>
      <c r="B2" s="18" t="s">
        <v>1400</v>
      </c>
    </row>
    <row r="3" spans="1:2">
      <c r="A3" s="18" t="s">
        <v>1232</v>
      </c>
      <c r="B3" s="18" t="s">
        <v>1401</v>
      </c>
    </row>
    <row r="4" spans="1:2">
      <c r="A4" s="18" t="s">
        <v>769</v>
      </c>
      <c r="B4" s="18" t="s">
        <v>1402</v>
      </c>
    </row>
    <row r="5" spans="1:2">
      <c r="A5" s="18" t="s">
        <v>1072</v>
      </c>
      <c r="B5" s="18" t="s">
        <v>1403</v>
      </c>
    </row>
    <row r="6" spans="1:2">
      <c r="A6" s="18" t="s">
        <v>1404</v>
      </c>
      <c r="B6" s="18" t="s">
        <v>1405</v>
      </c>
    </row>
    <row r="7" spans="1:2">
      <c r="A7" s="18" t="s">
        <v>1057</v>
      </c>
      <c r="B7" s="18" t="s">
        <v>1406</v>
      </c>
    </row>
    <row r="8" spans="1:2">
      <c r="A8" s="18" t="s">
        <v>1397</v>
      </c>
      <c r="B8" s="18" t="s">
        <v>1407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B10"/>
  <sheetViews>
    <sheetView workbookViewId="0"/>
  </sheetViews>
  <sheetFormatPr baseColWidth="10" defaultColWidth="8.6640625" defaultRowHeight="14"/>
  <cols>
    <col min="1" max="1" width="28" customWidth="1"/>
    <col min="2" max="2" width="112" customWidth="1"/>
  </cols>
  <sheetData>
    <row r="1" spans="1:2">
      <c r="A1" s="86" t="s">
        <v>951</v>
      </c>
      <c r="B1" s="86" t="s">
        <v>940</v>
      </c>
    </row>
    <row r="2" spans="1:2">
      <c r="A2" s="18" t="s">
        <v>1408</v>
      </c>
      <c r="B2" s="18" t="s">
        <v>1409</v>
      </c>
    </row>
    <row r="3" spans="1:2">
      <c r="A3" s="18" t="s">
        <v>1410</v>
      </c>
      <c r="B3" s="18" t="s">
        <v>1411</v>
      </c>
    </row>
    <row r="4" spans="1:2">
      <c r="A4" s="18" t="s">
        <v>1412</v>
      </c>
      <c r="B4" s="18" t="s">
        <v>1413</v>
      </c>
    </row>
    <row r="5" spans="1:2">
      <c r="A5" s="18" t="s">
        <v>1414</v>
      </c>
      <c r="B5" s="18" t="s">
        <v>1415</v>
      </c>
    </row>
    <row r="6" spans="1:2">
      <c r="A6" s="18" t="s">
        <v>1416</v>
      </c>
      <c r="B6" s="18" t="s">
        <v>1417</v>
      </c>
    </row>
    <row r="7" spans="1:2">
      <c r="A7" s="18" t="s">
        <v>1418</v>
      </c>
      <c r="B7" s="18" t="s">
        <v>1419</v>
      </c>
    </row>
    <row r="8" spans="1:2">
      <c r="A8" s="18" t="s">
        <v>1420</v>
      </c>
      <c r="B8" s="18" t="s">
        <v>1421</v>
      </c>
    </row>
    <row r="9" spans="1:2">
      <c r="A9" s="18" t="s">
        <v>1422</v>
      </c>
      <c r="B9" s="18" t="s">
        <v>1423</v>
      </c>
    </row>
    <row r="10" spans="1:2">
      <c r="A10" s="18" t="s">
        <v>1397</v>
      </c>
      <c r="B10" s="18" t="s">
        <v>1424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B10"/>
  <sheetViews>
    <sheetView workbookViewId="0"/>
  </sheetViews>
  <sheetFormatPr baseColWidth="10" defaultColWidth="8.6640625" defaultRowHeight="14"/>
  <cols>
    <col min="1" max="1" width="30" customWidth="1"/>
    <col min="2" max="2" width="115" customWidth="1"/>
  </cols>
  <sheetData>
    <row r="1" spans="1:2">
      <c r="A1" s="87" t="s">
        <v>951</v>
      </c>
      <c r="B1" s="87" t="s">
        <v>940</v>
      </c>
    </row>
    <row r="2" spans="1:2">
      <c r="A2" s="18" t="s">
        <v>1326</v>
      </c>
      <c r="B2" s="18" t="s">
        <v>1425</v>
      </c>
    </row>
    <row r="3" spans="1:2">
      <c r="A3" s="18" t="s">
        <v>1426</v>
      </c>
      <c r="B3" s="18" t="s">
        <v>1427</v>
      </c>
    </row>
    <row r="4" spans="1:2">
      <c r="A4" s="18" t="s">
        <v>1428</v>
      </c>
      <c r="B4" s="18" t="s">
        <v>1429</v>
      </c>
    </row>
    <row r="5" spans="1:2">
      <c r="A5" s="18" t="s">
        <v>1430</v>
      </c>
      <c r="B5" s="18" t="s">
        <v>1431</v>
      </c>
    </row>
    <row r="6" spans="1:2">
      <c r="A6" s="18" t="s">
        <v>1432</v>
      </c>
      <c r="B6" s="18" t="s">
        <v>1433</v>
      </c>
    </row>
    <row r="7" spans="1:2">
      <c r="A7" s="18" t="s">
        <v>1434</v>
      </c>
      <c r="B7" s="18" t="s">
        <v>1435</v>
      </c>
    </row>
    <row r="8" spans="1:2">
      <c r="A8" s="18" t="s">
        <v>1422</v>
      </c>
      <c r="B8" s="18" t="s">
        <v>1436</v>
      </c>
    </row>
    <row r="9" spans="1:2">
      <c r="A9" s="18" t="s">
        <v>1057</v>
      </c>
      <c r="B9" s="18" t="s">
        <v>1437</v>
      </c>
    </row>
    <row r="10" spans="1:2">
      <c r="A10" s="18" t="s">
        <v>1397</v>
      </c>
      <c r="B10" s="18" t="s">
        <v>1438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74</vt:i4>
      </vt:variant>
    </vt:vector>
  </HeadingPairs>
  <TitlesOfParts>
    <vt:vector size="74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  <vt:lpstr>parametros_pos_ejec</vt:lpstr>
      <vt:lpstr>ni_bimestral_pos_ejec</vt:lpstr>
      <vt:lpstr>crecimiento_anual_pos_ejec</vt:lpstr>
      <vt:lpstr>reparto_periodos_pos_ejec</vt:lpstr>
      <vt:lpstr>tasas_ri_bimestre_pos_ejec</vt:lpstr>
      <vt:lpstr>stock_ri_agosto_2029</vt:lpstr>
      <vt:lpstr>LEEME_pos_ejec</vt:lpstr>
      <vt:lpstr>mt_agosto_real_pos_ejec</vt:lpstr>
      <vt:lpstr>stock_ri_periodo_pos_ejec</vt:lpstr>
      <vt:lpstr>mt_periodo_real_pos_ejec</vt:lpstr>
      <vt:lpstr>LEEME_v105_pos_ejec</vt:lpstr>
      <vt:lpstr>LEEME_v108_pos_ejec</vt:lpstr>
      <vt:lpstr>LEEME_v114_pos_ejec</vt:lpstr>
      <vt:lpstr>LEEME_v115_pos_ejec</vt:lpstr>
      <vt:lpstr>LEEME_v116_pos_ejec</vt:lpstr>
      <vt:lpstr>LEEME_v117_pos_ejec</vt:lpstr>
      <vt:lpstr>LEEME_v118_pos_ejec</vt:lpstr>
      <vt:lpstr>LEEME_v119_pos_ejec</vt:lpstr>
      <vt:lpstr>LEEME_v120_pos_ejec</vt:lpstr>
      <vt:lpstr>LEEME_v121_pos_ejec</vt:lpstr>
      <vt:lpstr>reparto_ni_anual_pos_ejec</vt:lpstr>
      <vt:lpstr>LEEME_v122_pos_ejec</vt:lpstr>
      <vt:lpstr>LEEME_v123_pos_ejec</vt:lpstr>
      <vt:lpstr>crecimiento_bloques_pos_ejec</vt:lpstr>
      <vt:lpstr>tetra_historica_pos_ejec</vt:lpstr>
      <vt:lpstr>LEEME_v124_pos_ejec</vt:lpstr>
      <vt:lpstr>LEEME_v125_pos_ejec</vt:lpstr>
      <vt:lpstr>pmp_mt_pos_ejec</vt:lpstr>
      <vt:lpstr>LEEME_v127_pos_ejec</vt:lpstr>
      <vt:lpstr>caso_base_fijo_3pct</vt:lpstr>
      <vt:lpstr>instrucciones_tasas_reales</vt:lpstr>
      <vt:lpstr>LEEME_v129_pos_ejec</vt:lpstr>
      <vt:lpstr>LEEME_v136_pos_ejec</vt:lpstr>
      <vt:lpstr>mt_pos_ejec</vt:lpstr>
      <vt:lpstr>LEEME_v137_pos_ejec</vt:lpstr>
      <vt:lpstr>internacional_base</vt:lpstr>
      <vt:lpstr>internacional_crecimiento</vt:lpstr>
      <vt:lpstr>LEEME_v138_pos_ejec</vt:lpstr>
      <vt:lpstr>internacional_bimestres</vt:lpstr>
      <vt:lpstr>LEEME_v139_internacional</vt:lpstr>
      <vt:lpstr>internacional_agosto</vt:lpstr>
      <vt:lpstr>caso_base_meta_2036</vt:lpstr>
      <vt:lpstr>espacio_connect</vt:lpstr>
      <vt:lpstr>LEEME_v140</vt:lpstr>
      <vt:lpstr>LEEME_v141</vt:lpstr>
      <vt:lpstr>caso_base_formato_v142</vt:lpstr>
      <vt:lpstr>LEEME_v142</vt:lpstr>
      <vt:lpstr>ri_bimestral_pos_ejec</vt:lpstr>
      <vt:lpstr>mt_tetra_historica_pos_ejec</vt:lpstr>
      <vt:lpstr>ni_iniciativas_pos_ejec</vt:lpstr>
      <vt:lpstr>calculo_tetra_pmp_pos_ejec</vt:lpstr>
      <vt:lpstr>INSTRUCCIONES_captura_PMP_RI</vt:lpstr>
      <vt:lpstr>LEEME_v143_captura</vt:lpstr>
      <vt:lpstr>LEEME_v145</vt:lpstr>
      <vt:lpstr>LEEME_v146</vt:lpstr>
      <vt:lpstr>LEEME_v147</vt:lpstr>
      <vt:lpstr>LEEME_v150</vt:lpstr>
      <vt:lpstr>LEEME_v152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2026-10-19T15:02:20Z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